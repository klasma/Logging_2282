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45628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45628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45628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45628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45628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45628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45628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45628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51697-2024</t>
        </is>
      </c>
      <c r="B10" s="1" t="n">
        <v>45604</v>
      </c>
      <c r="C10" s="1" t="n">
        <v>45628</v>
      </c>
      <c r="D10" t="inlineStr">
        <is>
          <t>VÄSTERNORRLANDS LÄN</t>
        </is>
      </c>
      <c r="E10" t="inlineStr">
        <is>
          <t>KRAMFORS</t>
        </is>
      </c>
      <c r="G10" t="n">
        <v>2.8</v>
      </c>
      <c r="H10" t="n">
        <v>5</v>
      </c>
      <c r="I10" t="n">
        <v>5</v>
      </c>
      <c r="J10" t="n">
        <v>6</v>
      </c>
      <c r="K10" t="n">
        <v>1</v>
      </c>
      <c r="L10" t="n">
        <v>0</v>
      </c>
      <c r="M10" t="n">
        <v>0</v>
      </c>
      <c r="N10" t="n">
        <v>0</v>
      </c>
      <c r="O10" t="n">
        <v>7</v>
      </c>
      <c r="P10" t="n">
        <v>1</v>
      </c>
      <c r="Q10" t="n">
        <v>14</v>
      </c>
      <c r="R10" s="2" t="inlineStr">
        <is>
          <t>Knärot
Garnlav
Gul taggsvamp
Leptoporus mollis
Rosenticka
Tretåig hackspett
Ullticka
Brandticka
Mörk husmossa
Spindelblomster
Stuplav
Vedticka
Fläcknycklar
Revlummer</t>
        </is>
      </c>
      <c r="S10">
        <f>HYPERLINK("https://klasma.github.io/Logging_2282/artfynd/A 51697-2024 artfynd.xlsx", "A 51697-2024")</f>
        <v/>
      </c>
      <c r="T10">
        <f>HYPERLINK("https://klasma.github.io/Logging_2282/kartor/A 51697-2024 karta.png", "A 51697-2024")</f>
        <v/>
      </c>
      <c r="U10">
        <f>HYPERLINK("https://klasma.github.io/Logging_2282/knärot/A 51697-2024 karta knärot.png", "A 51697-2024")</f>
        <v/>
      </c>
      <c r="V10">
        <f>HYPERLINK("https://klasma.github.io/Logging_2282/klagomål/A 51697-2024 FSC-klagomål.docx", "A 51697-2024")</f>
        <v/>
      </c>
      <c r="W10">
        <f>HYPERLINK("https://klasma.github.io/Logging_2282/klagomålsmail/A 51697-2024 FSC-klagomål mail.docx", "A 51697-2024")</f>
        <v/>
      </c>
      <c r="X10">
        <f>HYPERLINK("https://klasma.github.io/Logging_2282/tillsyn/A 51697-2024 tillsynsbegäran.docx", "A 51697-2024")</f>
        <v/>
      </c>
      <c r="Y10">
        <f>HYPERLINK("https://klasma.github.io/Logging_2282/tillsynsmail/A 51697-2024 tillsynsbegäran mail.docx", "A 51697-2024")</f>
        <v/>
      </c>
      <c r="Z10">
        <f>HYPERLINK("https://klasma.github.io/Logging_2282/fåglar/A 51697-2024 prioriterade fågelarter.docx", "A 51697-2024")</f>
        <v/>
      </c>
    </row>
    <row r="11" ht="15" customHeight="1">
      <c r="A11" t="inlineStr">
        <is>
          <t>A 4648-2024</t>
        </is>
      </c>
      <c r="B11" s="1" t="n">
        <v>45328</v>
      </c>
      <c r="C11" s="1" t="n">
        <v>45628</v>
      </c>
      <c r="D11" t="inlineStr">
        <is>
          <t>VÄSTERNORRLANDS LÄN</t>
        </is>
      </c>
      <c r="E11" t="inlineStr">
        <is>
          <t>KRAMFORS</t>
        </is>
      </c>
      <c r="G11" t="n">
        <v>10.8</v>
      </c>
      <c r="H11" t="n">
        <v>1</v>
      </c>
      <c r="I11" t="n">
        <v>3</v>
      </c>
      <c r="J11" t="n">
        <v>9</v>
      </c>
      <c r="K11" t="n">
        <v>1</v>
      </c>
      <c r="L11" t="n">
        <v>0</v>
      </c>
      <c r="M11" t="n">
        <v>0</v>
      </c>
      <c r="N11" t="n">
        <v>0</v>
      </c>
      <c r="O11" t="n">
        <v>10</v>
      </c>
      <c r="P11" t="n">
        <v>1</v>
      </c>
      <c r="Q11" t="n">
        <v>13</v>
      </c>
      <c r="R11" s="2" t="inlineStr">
        <is>
          <t>Rynkskinn
Gammelgransskål
Garnlav
Granticka
Gränsticka
Lunglav
Rosenticka
Tretåig hackspett
Ullticka
Violettgrå tagellav
Skinnlav
Stor aspticka
Vedticka</t>
        </is>
      </c>
      <c r="S11">
        <f>HYPERLINK("https://klasma.github.io/Logging_2282/artfynd/A 4648-2024 artfynd.xlsx", "A 4648-2024")</f>
        <v/>
      </c>
      <c r="T11">
        <f>HYPERLINK("https://klasma.github.io/Logging_2282/kartor/A 4648-2024 karta.png", "A 4648-2024")</f>
        <v/>
      </c>
      <c r="V11">
        <f>HYPERLINK("https://klasma.github.io/Logging_2282/klagomål/A 4648-2024 FSC-klagomål.docx", "A 4648-2024")</f>
        <v/>
      </c>
      <c r="W11">
        <f>HYPERLINK("https://klasma.github.io/Logging_2282/klagomålsmail/A 4648-2024 FSC-klagomål mail.docx", "A 4648-2024")</f>
        <v/>
      </c>
      <c r="X11">
        <f>HYPERLINK("https://klasma.github.io/Logging_2282/tillsyn/A 4648-2024 tillsynsbegäran.docx", "A 4648-2024")</f>
        <v/>
      </c>
      <c r="Y11">
        <f>HYPERLINK("https://klasma.github.io/Logging_2282/tillsynsmail/A 4648-2024 tillsynsbegäran mail.docx", "A 4648-2024")</f>
        <v/>
      </c>
      <c r="Z11">
        <f>HYPERLINK("https://klasma.github.io/Logging_2282/fåglar/A 4648-2024 prioriterade fågelarter.docx", "A 4648-2024")</f>
        <v/>
      </c>
    </row>
    <row r="12" ht="15" customHeight="1">
      <c r="A12" t="inlineStr">
        <is>
          <t>A 37808-2022</t>
        </is>
      </c>
      <c r="B12" s="1" t="n">
        <v>44810</v>
      </c>
      <c r="C12" s="1" t="n">
        <v>45628</v>
      </c>
      <c r="D12" t="inlineStr">
        <is>
          <t>VÄSTERNORRLANDS LÄN</t>
        </is>
      </c>
      <c r="E12" t="inlineStr">
        <is>
          <t>KRAMFORS</t>
        </is>
      </c>
      <c r="G12" t="n">
        <v>1.1</v>
      </c>
      <c r="H12" t="n">
        <v>1</v>
      </c>
      <c r="I12" t="n">
        <v>5</v>
      </c>
      <c r="J12" t="n">
        <v>7</v>
      </c>
      <c r="K12" t="n">
        <v>0</v>
      </c>
      <c r="L12" t="n">
        <v>0</v>
      </c>
      <c r="M12" t="n">
        <v>0</v>
      </c>
      <c r="N12" t="n">
        <v>0</v>
      </c>
      <c r="O12" t="n">
        <v>7</v>
      </c>
      <c r="P12" t="n">
        <v>0</v>
      </c>
      <c r="Q12" t="n">
        <v>12</v>
      </c>
      <c r="R12" s="2" t="inlineStr">
        <is>
          <t>Doftskinn
Gammelgransskål
Garnlav
Lunglav
Spillkråka
Ullticka
Violettgrå tagellav
Bårdlav
Korallblylav
Skinnlav
Stor aspticka
Vedticka</t>
        </is>
      </c>
      <c r="S12">
        <f>HYPERLINK("https://klasma.github.io/Logging_2282/artfynd/A 37808-2022 artfynd.xlsx", "A 37808-2022")</f>
        <v/>
      </c>
      <c r="T12">
        <f>HYPERLINK("https://klasma.github.io/Logging_2282/kartor/A 37808-2022 karta.png", "A 37808-2022")</f>
        <v/>
      </c>
      <c r="V12">
        <f>HYPERLINK("https://klasma.github.io/Logging_2282/klagomål/A 37808-2022 FSC-klagomål.docx", "A 37808-2022")</f>
        <v/>
      </c>
      <c r="W12">
        <f>HYPERLINK("https://klasma.github.io/Logging_2282/klagomålsmail/A 37808-2022 FSC-klagomål mail.docx", "A 37808-2022")</f>
        <v/>
      </c>
      <c r="X12">
        <f>HYPERLINK("https://klasma.github.io/Logging_2282/tillsyn/A 37808-2022 tillsynsbegäran.docx", "A 37808-2022")</f>
        <v/>
      </c>
      <c r="Y12">
        <f>HYPERLINK("https://klasma.github.io/Logging_2282/tillsynsmail/A 37808-2022 tillsynsbegäran mail.docx", "A 37808-2022")</f>
        <v/>
      </c>
      <c r="Z12">
        <f>HYPERLINK("https://klasma.github.io/Logging_2282/fåglar/A 37808-2022 prioriterade fågelarter.docx", "A 37808-2022")</f>
        <v/>
      </c>
    </row>
    <row r="13" ht="15" customHeight="1">
      <c r="A13" t="inlineStr">
        <is>
          <t>A 18798-2024</t>
        </is>
      </c>
      <c r="B13" s="1" t="n">
        <v>45426</v>
      </c>
      <c r="C13" s="1" t="n">
        <v>45628</v>
      </c>
      <c r="D13" t="inlineStr">
        <is>
          <t>VÄSTERNORRLANDS LÄN</t>
        </is>
      </c>
      <c r="E13" t="inlineStr">
        <is>
          <t>KRAMFORS</t>
        </is>
      </c>
      <c r="G13" t="n">
        <v>19</v>
      </c>
      <c r="H13" t="n">
        <v>2</v>
      </c>
      <c r="I13" t="n">
        <v>5</v>
      </c>
      <c r="J13" t="n">
        <v>7</v>
      </c>
      <c r="K13" t="n">
        <v>0</v>
      </c>
      <c r="L13" t="n">
        <v>0</v>
      </c>
      <c r="M13" t="n">
        <v>0</v>
      </c>
      <c r="N13" t="n">
        <v>0</v>
      </c>
      <c r="O13" t="n">
        <v>7</v>
      </c>
      <c r="P13" t="n">
        <v>0</v>
      </c>
      <c r="Q13" t="n">
        <v>12</v>
      </c>
      <c r="R13" s="2" t="inlineStr">
        <is>
          <t>Doftskinn
Garnlav
Granticka
Nordfladdermus
Tretåig hackspett
Ullticka
Violettgrå tagellav
Bårdlav
Skinnlav
Stor aspticka
Stuplav
Vedticka</t>
        </is>
      </c>
      <c r="S13">
        <f>HYPERLINK("https://klasma.github.io/Logging_2282/artfynd/A 18798-2024 artfynd.xlsx", "A 18798-2024")</f>
        <v/>
      </c>
      <c r="T13">
        <f>HYPERLINK("https://klasma.github.io/Logging_2282/kartor/A 18798-2024 karta.png", "A 18798-2024")</f>
        <v/>
      </c>
      <c r="V13">
        <f>HYPERLINK("https://klasma.github.io/Logging_2282/klagomål/A 18798-2024 FSC-klagomål.docx", "A 18798-2024")</f>
        <v/>
      </c>
      <c r="W13">
        <f>HYPERLINK("https://klasma.github.io/Logging_2282/klagomålsmail/A 18798-2024 FSC-klagomål mail.docx", "A 18798-2024")</f>
        <v/>
      </c>
      <c r="X13">
        <f>HYPERLINK("https://klasma.github.io/Logging_2282/tillsyn/A 18798-2024 tillsynsbegäran.docx", "A 18798-2024")</f>
        <v/>
      </c>
      <c r="Y13">
        <f>HYPERLINK("https://klasma.github.io/Logging_2282/tillsynsmail/A 18798-2024 tillsynsbegäran mail.docx", "A 18798-2024")</f>
        <v/>
      </c>
      <c r="Z13">
        <f>HYPERLINK("https://klasma.github.io/Logging_2282/fåglar/A 18798-2024 prioriterade fågelarter.docx", "A 18798-2024")</f>
        <v/>
      </c>
    </row>
    <row r="14" ht="15" customHeight="1">
      <c r="A14" t="inlineStr">
        <is>
          <t>A 65357-2019</t>
        </is>
      </c>
      <c r="B14" s="1" t="n">
        <v>43803</v>
      </c>
      <c r="C14" s="1" t="n">
        <v>45628</v>
      </c>
      <c r="D14" t="inlineStr">
        <is>
          <t>VÄSTERNORRLANDS LÄN</t>
        </is>
      </c>
      <c r="E14" t="inlineStr">
        <is>
          <t>KRAMFORS</t>
        </is>
      </c>
      <c r="G14" t="n">
        <v>11.7</v>
      </c>
      <c r="H14" t="n">
        <v>1</v>
      </c>
      <c r="I14" t="n">
        <v>4</v>
      </c>
      <c r="J14" t="n">
        <v>5</v>
      </c>
      <c r="K14" t="n">
        <v>1</v>
      </c>
      <c r="L14" t="n">
        <v>0</v>
      </c>
      <c r="M14" t="n">
        <v>0</v>
      </c>
      <c r="N14" t="n">
        <v>0</v>
      </c>
      <c r="O14" t="n">
        <v>6</v>
      </c>
      <c r="P14" t="n">
        <v>1</v>
      </c>
      <c r="Q14" t="n">
        <v>11</v>
      </c>
      <c r="R14" s="2" t="inlineStr">
        <is>
          <t>Aspgelélav
Backtimjan
Gränsticka
Lunglav
Slåtterfibbla
Ullticka
Skinnlav
Stor aspticka
Tibast
Underviol
Blåsippa</t>
        </is>
      </c>
      <c r="S14">
        <f>HYPERLINK("https://klasma.github.io/Logging_2282/artfynd/A 65357-2019 artfynd.xlsx", "A 65357-2019")</f>
        <v/>
      </c>
      <c r="T14">
        <f>HYPERLINK("https://klasma.github.io/Logging_2282/kartor/A 65357-2019 karta.png", "A 65357-2019")</f>
        <v/>
      </c>
      <c r="V14">
        <f>HYPERLINK("https://klasma.github.io/Logging_2282/klagomål/A 65357-2019 FSC-klagomål.docx", "A 65357-2019")</f>
        <v/>
      </c>
      <c r="W14">
        <f>HYPERLINK("https://klasma.github.io/Logging_2282/klagomålsmail/A 65357-2019 FSC-klagomål mail.docx", "A 65357-2019")</f>
        <v/>
      </c>
      <c r="X14">
        <f>HYPERLINK("https://klasma.github.io/Logging_2282/tillsyn/A 65357-2019 tillsynsbegäran.docx", "A 65357-2019")</f>
        <v/>
      </c>
      <c r="Y14">
        <f>HYPERLINK("https://klasma.github.io/Logging_2282/tillsynsmail/A 65357-2019 tillsynsbegäran mail.docx", "A 65357-2019")</f>
        <v/>
      </c>
    </row>
    <row r="15" ht="15" customHeight="1">
      <c r="A15" t="inlineStr">
        <is>
          <t>A 3261-2020</t>
        </is>
      </c>
      <c r="B15" s="1" t="n">
        <v>43852</v>
      </c>
      <c r="C15" s="1" t="n">
        <v>45628</v>
      </c>
      <c r="D15" t="inlineStr">
        <is>
          <t>VÄSTERNORRLANDS LÄN</t>
        </is>
      </c>
      <c r="E15" t="inlineStr">
        <is>
          <t>KRAMFORS</t>
        </is>
      </c>
      <c r="G15" t="n">
        <v>5.9</v>
      </c>
      <c r="H15" t="n">
        <v>0</v>
      </c>
      <c r="I15" t="n">
        <v>3</v>
      </c>
      <c r="J15" t="n">
        <v>5</v>
      </c>
      <c r="K15" t="n">
        <v>2</v>
      </c>
      <c r="L15" t="n">
        <v>0</v>
      </c>
      <c r="M15" t="n">
        <v>0</v>
      </c>
      <c r="N15" t="n">
        <v>0</v>
      </c>
      <c r="O15" t="n">
        <v>7</v>
      </c>
      <c r="P15" t="n">
        <v>2</v>
      </c>
      <c r="Q15" t="n">
        <v>10</v>
      </c>
      <c r="R15" s="2" t="inlineStr">
        <is>
          <t>Aspfjädermossa
Aspgelélav
Gammelgransskål
Garnlav
Granticka
Lunglav
Ullticka
Korallblylav
Skinnlav
Vedticka</t>
        </is>
      </c>
      <c r="S15">
        <f>HYPERLINK("https://klasma.github.io/Logging_2282/artfynd/A 3261-2020 artfynd.xlsx", "A 3261-2020")</f>
        <v/>
      </c>
      <c r="T15">
        <f>HYPERLINK("https://klasma.github.io/Logging_2282/kartor/A 3261-2020 karta.png", "A 3261-2020")</f>
        <v/>
      </c>
      <c r="V15">
        <f>HYPERLINK("https://klasma.github.io/Logging_2282/klagomål/A 3261-2020 FSC-klagomål.docx", "A 3261-2020")</f>
        <v/>
      </c>
      <c r="W15">
        <f>HYPERLINK("https://klasma.github.io/Logging_2282/klagomålsmail/A 3261-2020 FSC-klagomål mail.docx", "A 3261-2020")</f>
        <v/>
      </c>
      <c r="X15">
        <f>HYPERLINK("https://klasma.github.io/Logging_2282/tillsyn/A 3261-2020 tillsynsbegäran.docx", "A 3261-2020")</f>
        <v/>
      </c>
      <c r="Y15">
        <f>HYPERLINK("https://klasma.github.io/Logging_2282/tillsynsmail/A 3261-2020 tillsynsbegäran mail.docx", "A 3261-2020")</f>
        <v/>
      </c>
    </row>
    <row r="16" ht="15" customHeight="1">
      <c r="A16" t="inlineStr">
        <is>
          <t>A 38950-2021</t>
        </is>
      </c>
      <c r="B16" s="1" t="n">
        <v>44411</v>
      </c>
      <c r="C16" s="1" t="n">
        <v>45628</v>
      </c>
      <c r="D16" t="inlineStr">
        <is>
          <t>VÄSTERNORRLANDS LÄN</t>
        </is>
      </c>
      <c r="E16" t="inlineStr">
        <is>
          <t>KRAMFORS</t>
        </is>
      </c>
      <c r="G16" t="n">
        <v>10</v>
      </c>
      <c r="H16" t="n">
        <v>1</v>
      </c>
      <c r="I16" t="n">
        <v>1</v>
      </c>
      <c r="J16" t="n">
        <v>8</v>
      </c>
      <c r="K16" t="n">
        <v>1</v>
      </c>
      <c r="L16" t="n">
        <v>0</v>
      </c>
      <c r="M16" t="n">
        <v>0</v>
      </c>
      <c r="N16" t="n">
        <v>0</v>
      </c>
      <c r="O16" t="n">
        <v>9</v>
      </c>
      <c r="P16" t="n">
        <v>1</v>
      </c>
      <c r="Q16" t="n">
        <v>10</v>
      </c>
      <c r="R16" s="2" t="inlineStr">
        <is>
          <t>Ringlav
Doftskinn
Garnlav
Granticka
Gränsticka
Gul taggsvamp
Talltita
Ullticka
Violettgrå tagellav
Vedticka</t>
        </is>
      </c>
      <c r="S16">
        <f>HYPERLINK("https://klasma.github.io/Logging_2282/artfynd/A 38950-2021 artfynd.xlsx", "A 38950-2021")</f>
        <v/>
      </c>
      <c r="T16">
        <f>HYPERLINK("https://klasma.github.io/Logging_2282/kartor/A 38950-2021 karta.png", "A 38950-2021")</f>
        <v/>
      </c>
      <c r="V16">
        <f>HYPERLINK("https://klasma.github.io/Logging_2282/klagomål/A 38950-2021 FSC-klagomål.docx", "A 38950-2021")</f>
        <v/>
      </c>
      <c r="W16">
        <f>HYPERLINK("https://klasma.github.io/Logging_2282/klagomålsmail/A 38950-2021 FSC-klagomål mail.docx", "A 38950-2021")</f>
        <v/>
      </c>
      <c r="X16">
        <f>HYPERLINK("https://klasma.github.io/Logging_2282/tillsyn/A 38950-2021 tillsynsbegäran.docx", "A 38950-2021")</f>
        <v/>
      </c>
      <c r="Y16">
        <f>HYPERLINK("https://klasma.github.io/Logging_2282/tillsynsmail/A 38950-2021 tillsynsbegäran mail.docx", "A 38950-2021")</f>
        <v/>
      </c>
      <c r="Z16">
        <f>HYPERLINK("https://klasma.github.io/Logging_2282/fåglar/A 38950-2021 prioriterade fågelarter.docx", "A 38950-2021")</f>
        <v/>
      </c>
    </row>
    <row r="17" ht="15" customHeight="1">
      <c r="A17" t="inlineStr">
        <is>
          <t>A 65056-2019</t>
        </is>
      </c>
      <c r="B17" s="1" t="n">
        <v>43801</v>
      </c>
      <c r="C17" s="1" t="n">
        <v>45628</v>
      </c>
      <c r="D17" t="inlineStr">
        <is>
          <t>VÄSTERNORRLANDS LÄN</t>
        </is>
      </c>
      <c r="E17" t="inlineStr">
        <is>
          <t>KRAMFORS</t>
        </is>
      </c>
      <c r="G17" t="n">
        <v>6.2</v>
      </c>
      <c r="H17" t="n">
        <v>1</v>
      </c>
      <c r="I17" t="n">
        <v>3</v>
      </c>
      <c r="J17" t="n">
        <v>6</v>
      </c>
      <c r="K17" t="n">
        <v>0</v>
      </c>
      <c r="L17" t="n">
        <v>0</v>
      </c>
      <c r="M17" t="n">
        <v>0</v>
      </c>
      <c r="N17" t="n">
        <v>0</v>
      </c>
      <c r="O17" t="n">
        <v>6</v>
      </c>
      <c r="P17" t="n">
        <v>0</v>
      </c>
      <c r="Q17" t="n">
        <v>9</v>
      </c>
      <c r="R17" s="2" t="inlineStr">
        <is>
          <t>Gammelgransskål
Garnlav
Lunglav
Tretåig hackspett
Ullticka
Violettgrå tagellav
Kattfotslav
Stuplav
Vedticka</t>
        </is>
      </c>
      <c r="S17">
        <f>HYPERLINK("https://klasma.github.io/Logging_2282/artfynd/A 65056-2019 artfynd.xlsx", "A 65056-2019")</f>
        <v/>
      </c>
      <c r="T17">
        <f>HYPERLINK("https://klasma.github.io/Logging_2282/kartor/A 65056-2019 karta.png", "A 65056-2019")</f>
        <v/>
      </c>
      <c r="V17">
        <f>HYPERLINK("https://klasma.github.io/Logging_2282/klagomål/A 65056-2019 FSC-klagomål.docx", "A 65056-2019")</f>
        <v/>
      </c>
      <c r="W17">
        <f>HYPERLINK("https://klasma.github.io/Logging_2282/klagomålsmail/A 65056-2019 FSC-klagomål mail.docx", "A 65056-2019")</f>
        <v/>
      </c>
      <c r="X17">
        <f>HYPERLINK("https://klasma.github.io/Logging_2282/tillsyn/A 65056-2019 tillsynsbegäran.docx", "A 65056-2019")</f>
        <v/>
      </c>
      <c r="Y17">
        <f>HYPERLINK("https://klasma.github.io/Logging_2282/tillsynsmail/A 65056-2019 tillsynsbegäran mail.docx", "A 65056-2019")</f>
        <v/>
      </c>
      <c r="Z17">
        <f>HYPERLINK("https://klasma.github.io/Logging_2282/fåglar/A 65056-2019 prioriterade fågelarter.docx", "A 65056-2019")</f>
        <v/>
      </c>
    </row>
    <row r="18" ht="15" customHeight="1">
      <c r="A18" t="inlineStr">
        <is>
          <t>A 16159-2020</t>
        </is>
      </c>
      <c r="B18" s="1" t="n">
        <v>43916</v>
      </c>
      <c r="C18" s="1" t="n">
        <v>45628</v>
      </c>
      <c r="D18" t="inlineStr">
        <is>
          <t>VÄSTERNORRLANDS LÄN</t>
        </is>
      </c>
      <c r="E18" t="inlineStr">
        <is>
          <t>KRAMFORS</t>
        </is>
      </c>
      <c r="G18" t="n">
        <v>9.1</v>
      </c>
      <c r="H18" t="n">
        <v>1</v>
      </c>
      <c r="I18" t="n">
        <v>3</v>
      </c>
      <c r="J18" t="n">
        <v>5</v>
      </c>
      <c r="K18" t="n">
        <v>1</v>
      </c>
      <c r="L18" t="n">
        <v>0</v>
      </c>
      <c r="M18" t="n">
        <v>0</v>
      </c>
      <c r="N18" t="n">
        <v>0</v>
      </c>
      <c r="O18" t="n">
        <v>6</v>
      </c>
      <c r="P18" t="n">
        <v>1</v>
      </c>
      <c r="Q18" t="n">
        <v>9</v>
      </c>
      <c r="R18" s="2" t="inlineStr">
        <is>
          <t>Rynkskinn
Garnlav
Granticka
Rosenticka
Tretåig hackspett
Ullticka
Skinnlav
Vedticka
Vågbandad barkbock</t>
        </is>
      </c>
      <c r="S18">
        <f>HYPERLINK("https://klasma.github.io/Logging_2282/artfynd/A 16159-2020 artfynd.xlsx", "A 16159-2020")</f>
        <v/>
      </c>
      <c r="T18">
        <f>HYPERLINK("https://klasma.github.io/Logging_2282/kartor/A 16159-2020 karta.png", "A 16159-2020")</f>
        <v/>
      </c>
      <c r="V18">
        <f>HYPERLINK("https://klasma.github.io/Logging_2282/klagomål/A 16159-2020 FSC-klagomål.docx", "A 16159-2020")</f>
        <v/>
      </c>
      <c r="W18">
        <f>HYPERLINK("https://klasma.github.io/Logging_2282/klagomålsmail/A 16159-2020 FSC-klagomål mail.docx", "A 16159-2020")</f>
        <v/>
      </c>
      <c r="X18">
        <f>HYPERLINK("https://klasma.github.io/Logging_2282/tillsyn/A 16159-2020 tillsynsbegäran.docx", "A 16159-2020")</f>
        <v/>
      </c>
      <c r="Y18">
        <f>HYPERLINK("https://klasma.github.io/Logging_2282/tillsynsmail/A 16159-2020 tillsynsbegäran mail.docx", "A 16159-2020")</f>
        <v/>
      </c>
      <c r="Z18">
        <f>HYPERLINK("https://klasma.github.io/Logging_2282/fåglar/A 16159-2020 prioriterade fågelarter.docx", "A 16159-2020")</f>
        <v/>
      </c>
    </row>
    <row r="19" ht="15" customHeight="1">
      <c r="A19" t="inlineStr">
        <is>
          <t>A 48962-2023</t>
        </is>
      </c>
      <c r="B19" s="1" t="n">
        <v>45204</v>
      </c>
      <c r="C19" s="1" t="n">
        <v>45628</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45628</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45628</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45577-2021</t>
        </is>
      </c>
      <c r="B22" s="1" t="n">
        <v>44440</v>
      </c>
      <c r="C22" s="1" t="n">
        <v>45628</v>
      </c>
      <c r="D22" t="inlineStr">
        <is>
          <t>VÄSTERNORRLANDS LÄN</t>
        </is>
      </c>
      <c r="E22" t="inlineStr">
        <is>
          <t>KRAMFORS</t>
        </is>
      </c>
      <c r="F22" t="inlineStr">
        <is>
          <t>Kommuner</t>
        </is>
      </c>
      <c r="G22" t="n">
        <v>6.7</v>
      </c>
      <c r="H22" t="n">
        <v>8</v>
      </c>
      <c r="I22" t="n">
        <v>0</v>
      </c>
      <c r="J22" t="n">
        <v>5</v>
      </c>
      <c r="K22" t="n">
        <v>1</v>
      </c>
      <c r="L22" t="n">
        <v>2</v>
      </c>
      <c r="M22" t="n">
        <v>0</v>
      </c>
      <c r="N22" t="n">
        <v>0</v>
      </c>
      <c r="O22" t="n">
        <v>8</v>
      </c>
      <c r="P22" t="n">
        <v>3</v>
      </c>
      <c r="Q22" t="n">
        <v>8</v>
      </c>
      <c r="R22" s="2" t="inlineStr">
        <is>
          <t>Ejder
Grönfink
Hussvala
Fiskmås
Gulsparv
Spillkråka
Svartvit flugsnappare
Tobisgrissla</t>
        </is>
      </c>
      <c r="S22">
        <f>HYPERLINK("https://klasma.github.io/Logging_2282/artfynd/A 45577-2021 artfynd.xlsx", "A 45577-2021")</f>
        <v/>
      </c>
      <c r="T22">
        <f>HYPERLINK("https://klasma.github.io/Logging_2282/kartor/A 45577-2021 karta.png", "A 45577-2021")</f>
        <v/>
      </c>
      <c r="V22">
        <f>HYPERLINK("https://klasma.github.io/Logging_2282/klagomål/A 45577-2021 FSC-klagomål.docx", "A 45577-2021")</f>
        <v/>
      </c>
      <c r="W22">
        <f>HYPERLINK("https://klasma.github.io/Logging_2282/klagomålsmail/A 45577-2021 FSC-klagomål mail.docx", "A 45577-2021")</f>
        <v/>
      </c>
      <c r="X22">
        <f>HYPERLINK("https://klasma.github.io/Logging_2282/tillsyn/A 45577-2021 tillsynsbegäran.docx", "A 45577-2021")</f>
        <v/>
      </c>
      <c r="Y22">
        <f>HYPERLINK("https://klasma.github.io/Logging_2282/tillsynsmail/A 45577-2021 tillsynsbegäran mail.docx", "A 45577-2021")</f>
        <v/>
      </c>
      <c r="Z22">
        <f>HYPERLINK("https://klasma.github.io/Logging_2282/fåglar/A 45577-2021 prioriterade fågelarter.docx", "A 45577-2021")</f>
        <v/>
      </c>
    </row>
    <row r="23" ht="15" customHeight="1">
      <c r="A23" t="inlineStr">
        <is>
          <t>A 32160-2024</t>
        </is>
      </c>
      <c r="B23" s="1" t="n">
        <v>45511</v>
      </c>
      <c r="C23" s="1" t="n">
        <v>45628</v>
      </c>
      <c r="D23" t="inlineStr">
        <is>
          <t>VÄSTERNORRLANDS LÄN</t>
        </is>
      </c>
      <c r="E23" t="inlineStr">
        <is>
          <t>KRAMFORS</t>
        </is>
      </c>
      <c r="G23" t="n">
        <v>11.4</v>
      </c>
      <c r="H23" t="n">
        <v>4</v>
      </c>
      <c r="I23" t="n">
        <v>0</v>
      </c>
      <c r="J23" t="n">
        <v>5</v>
      </c>
      <c r="K23" t="n">
        <v>1</v>
      </c>
      <c r="L23" t="n">
        <v>0</v>
      </c>
      <c r="M23" t="n">
        <v>0</v>
      </c>
      <c r="N23" t="n">
        <v>0</v>
      </c>
      <c r="O23" t="n">
        <v>6</v>
      </c>
      <c r="P23" t="n">
        <v>1</v>
      </c>
      <c r="Q23" t="n">
        <v>8</v>
      </c>
      <c r="R23" s="2" t="inlineStr">
        <is>
          <t>Ringlav
Garnlav
Orange taggsvamp
Spillkråka
Tallticka
Talltita
Tjäder
Fläcknycklar</t>
        </is>
      </c>
      <c r="S23">
        <f>HYPERLINK("https://klasma.github.io/Logging_2282/artfynd/A 32160-2024 artfynd.xlsx", "A 32160-2024")</f>
        <v/>
      </c>
      <c r="T23">
        <f>HYPERLINK("https://klasma.github.io/Logging_2282/kartor/A 32160-2024 karta.png", "A 32160-2024")</f>
        <v/>
      </c>
      <c r="V23">
        <f>HYPERLINK("https://klasma.github.io/Logging_2282/klagomål/A 32160-2024 FSC-klagomål.docx", "A 32160-2024")</f>
        <v/>
      </c>
      <c r="W23">
        <f>HYPERLINK("https://klasma.github.io/Logging_2282/klagomålsmail/A 32160-2024 FSC-klagomål mail.docx", "A 32160-2024")</f>
        <v/>
      </c>
      <c r="X23">
        <f>HYPERLINK("https://klasma.github.io/Logging_2282/tillsyn/A 32160-2024 tillsynsbegäran.docx", "A 32160-2024")</f>
        <v/>
      </c>
      <c r="Y23">
        <f>HYPERLINK("https://klasma.github.io/Logging_2282/tillsynsmail/A 32160-2024 tillsynsbegäran mail.docx", "A 32160-2024")</f>
        <v/>
      </c>
      <c r="Z23">
        <f>HYPERLINK("https://klasma.github.io/Logging_2282/fåglar/A 32160-2024 prioriterade fågelarter.docx", "A 32160-2024")</f>
        <v/>
      </c>
    </row>
    <row r="24" ht="15" customHeight="1">
      <c r="A24" t="inlineStr">
        <is>
          <t>A 62509-2019</t>
        </is>
      </c>
      <c r="B24" s="1" t="n">
        <v>43788</v>
      </c>
      <c r="C24" s="1" t="n">
        <v>45628</v>
      </c>
      <c r="D24" t="inlineStr">
        <is>
          <t>VÄSTERNORRLANDS LÄN</t>
        </is>
      </c>
      <c r="E24" t="inlineStr">
        <is>
          <t>KRAMFORS</t>
        </is>
      </c>
      <c r="G24" t="n">
        <v>1.8</v>
      </c>
      <c r="H24" t="n">
        <v>0</v>
      </c>
      <c r="I24" t="n">
        <v>2</v>
      </c>
      <c r="J24" t="n">
        <v>2</v>
      </c>
      <c r="K24" t="n">
        <v>2</v>
      </c>
      <c r="L24" t="n">
        <v>0</v>
      </c>
      <c r="M24" t="n">
        <v>0</v>
      </c>
      <c r="N24" t="n">
        <v>0</v>
      </c>
      <c r="O24" t="n">
        <v>4</v>
      </c>
      <c r="P24" t="n">
        <v>2</v>
      </c>
      <c r="Q24" t="n">
        <v>6</v>
      </c>
      <c r="R24" s="2" t="inlineStr">
        <is>
          <t>Aspfjädermossa
Aspgelélav
Lunglav
Veckticka
Barkticka
Skinnlav</t>
        </is>
      </c>
      <c r="S24">
        <f>HYPERLINK("https://klasma.github.io/Logging_2282/artfynd/A 62509-2019 artfynd.xlsx", "A 62509-2019")</f>
        <v/>
      </c>
      <c r="T24">
        <f>HYPERLINK("https://klasma.github.io/Logging_2282/kartor/A 62509-2019 karta.png", "A 62509-2019")</f>
        <v/>
      </c>
      <c r="V24">
        <f>HYPERLINK("https://klasma.github.io/Logging_2282/klagomål/A 62509-2019 FSC-klagomål.docx", "A 62509-2019")</f>
        <v/>
      </c>
      <c r="W24">
        <f>HYPERLINK("https://klasma.github.io/Logging_2282/klagomålsmail/A 62509-2019 FSC-klagomål mail.docx", "A 62509-2019")</f>
        <v/>
      </c>
      <c r="X24">
        <f>HYPERLINK("https://klasma.github.io/Logging_2282/tillsyn/A 62509-2019 tillsynsbegäran.docx", "A 62509-2019")</f>
        <v/>
      </c>
      <c r="Y24">
        <f>HYPERLINK("https://klasma.github.io/Logging_2282/tillsynsmail/A 62509-2019 tillsynsbegäran mail.docx", "A 62509-2019")</f>
        <v/>
      </c>
    </row>
    <row r="25" ht="15" customHeight="1">
      <c r="A25" t="inlineStr">
        <is>
          <t>A 10152-2020</t>
        </is>
      </c>
      <c r="B25" s="1" t="n">
        <v>43886</v>
      </c>
      <c r="C25" s="1" t="n">
        <v>45628</v>
      </c>
      <c r="D25" t="inlineStr">
        <is>
          <t>VÄSTERNORRLANDS LÄN</t>
        </is>
      </c>
      <c r="E25" t="inlineStr">
        <is>
          <t>KRAMFORS</t>
        </is>
      </c>
      <c r="G25" t="n">
        <v>21.9</v>
      </c>
      <c r="H25" t="n">
        <v>0</v>
      </c>
      <c r="I25" t="n">
        <v>2</v>
      </c>
      <c r="J25" t="n">
        <v>4</v>
      </c>
      <c r="K25" t="n">
        <v>0</v>
      </c>
      <c r="L25" t="n">
        <v>0</v>
      </c>
      <c r="M25" t="n">
        <v>0</v>
      </c>
      <c r="N25" t="n">
        <v>0</v>
      </c>
      <c r="O25" t="n">
        <v>4</v>
      </c>
      <c r="P25" t="n">
        <v>0</v>
      </c>
      <c r="Q25" t="n">
        <v>6</v>
      </c>
      <c r="R25" s="2" t="inlineStr">
        <is>
          <t>Granticka
Lunglav
Ullticka
Violettgrå tagellav
Korallblylav
Skinnlav</t>
        </is>
      </c>
      <c r="S25">
        <f>HYPERLINK("https://klasma.github.io/Logging_2282/artfynd/A 10152-2020 artfynd.xlsx", "A 10152-2020")</f>
        <v/>
      </c>
      <c r="T25">
        <f>HYPERLINK("https://klasma.github.io/Logging_2282/kartor/A 10152-2020 karta.png", "A 10152-2020")</f>
        <v/>
      </c>
      <c r="V25">
        <f>HYPERLINK("https://klasma.github.io/Logging_2282/klagomål/A 10152-2020 FSC-klagomål.docx", "A 10152-2020")</f>
        <v/>
      </c>
      <c r="W25">
        <f>HYPERLINK("https://klasma.github.io/Logging_2282/klagomålsmail/A 10152-2020 FSC-klagomål mail.docx", "A 10152-2020")</f>
        <v/>
      </c>
      <c r="X25">
        <f>HYPERLINK("https://klasma.github.io/Logging_2282/tillsyn/A 10152-2020 tillsynsbegäran.docx", "A 10152-2020")</f>
        <v/>
      </c>
      <c r="Y25">
        <f>HYPERLINK("https://klasma.github.io/Logging_2282/tillsynsmail/A 10152-2020 tillsynsbegäran mail.docx", "A 10152-2020")</f>
        <v/>
      </c>
    </row>
    <row r="26" ht="15" customHeight="1">
      <c r="A26" t="inlineStr">
        <is>
          <t>A 60390-2019</t>
        </is>
      </c>
      <c r="B26" s="1" t="n">
        <v>43780</v>
      </c>
      <c r="C26" s="1" t="n">
        <v>45628</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45628</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45628</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45628</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45628</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45628</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45628</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14462-2020</t>
        </is>
      </c>
      <c r="B33" s="1" t="n">
        <v>43901</v>
      </c>
      <c r="C33" s="1" t="n">
        <v>45628</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45628</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45628</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45628</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45628</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45628</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45628</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45628</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45628</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45628</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45628</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45628</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45628</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45628</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45006-2019</t>
        </is>
      </c>
      <c r="B47" s="1" t="n">
        <v>43707</v>
      </c>
      <c r="C47" s="1" t="n">
        <v>45628</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45628</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45628</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45628</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45628</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45628</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45628</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45628</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45628</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45628</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45628</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45628</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45628</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45628</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45628</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22382-2022</t>
        </is>
      </c>
      <c r="B62" s="1" t="n">
        <v>44713</v>
      </c>
      <c r="C62" s="1" t="n">
        <v>45628</v>
      </c>
      <c r="D62" t="inlineStr">
        <is>
          <t>VÄSTERNORRLANDS LÄN</t>
        </is>
      </c>
      <c r="E62" t="inlineStr">
        <is>
          <t>KRAMFORS</t>
        </is>
      </c>
      <c r="G62" t="n">
        <v>1.5</v>
      </c>
      <c r="H62" t="n">
        <v>1</v>
      </c>
      <c r="I62" t="n">
        <v>0</v>
      </c>
      <c r="J62" t="n">
        <v>1</v>
      </c>
      <c r="K62" t="n">
        <v>0</v>
      </c>
      <c r="L62" t="n">
        <v>0</v>
      </c>
      <c r="M62" t="n">
        <v>0</v>
      </c>
      <c r="N62" t="n">
        <v>0</v>
      </c>
      <c r="O62" t="n">
        <v>1</v>
      </c>
      <c r="P62" t="n">
        <v>0</v>
      </c>
      <c r="Q62" t="n">
        <v>1</v>
      </c>
      <c r="R62" s="2" t="inlineStr">
        <is>
          <t>Spillkråka</t>
        </is>
      </c>
      <c r="S62">
        <f>HYPERLINK("https://klasma.github.io/Logging_2282/artfynd/A 22382-2022 artfynd.xlsx", "A 22382-2022")</f>
        <v/>
      </c>
      <c r="T62">
        <f>HYPERLINK("https://klasma.github.io/Logging_2282/kartor/A 22382-2022 karta.png", "A 22382-2022")</f>
        <v/>
      </c>
      <c r="V62">
        <f>HYPERLINK("https://klasma.github.io/Logging_2282/klagomål/A 22382-2022 FSC-klagomål.docx", "A 22382-2022")</f>
        <v/>
      </c>
      <c r="W62">
        <f>HYPERLINK("https://klasma.github.io/Logging_2282/klagomålsmail/A 22382-2022 FSC-klagomål mail.docx", "A 22382-2022")</f>
        <v/>
      </c>
      <c r="X62">
        <f>HYPERLINK("https://klasma.github.io/Logging_2282/tillsyn/A 22382-2022 tillsynsbegäran.docx", "A 22382-2022")</f>
        <v/>
      </c>
      <c r="Y62">
        <f>HYPERLINK("https://klasma.github.io/Logging_2282/tillsynsmail/A 22382-2022 tillsynsbegäran mail.docx", "A 22382-2022")</f>
        <v/>
      </c>
      <c r="Z62">
        <f>HYPERLINK("https://klasma.github.io/Logging_2282/fåglar/A 22382-2022 prioriterade fågelarter.docx", "A 22382-2022")</f>
        <v/>
      </c>
    </row>
    <row r="63" ht="15" customHeight="1">
      <c r="A63" t="inlineStr">
        <is>
          <t>A 21885-2023</t>
        </is>
      </c>
      <c r="B63" s="1" t="n">
        <v>45065</v>
      </c>
      <c r="C63" s="1" t="n">
        <v>45628</v>
      </c>
      <c r="D63" t="inlineStr">
        <is>
          <t>VÄSTERNORRLANDS LÄN</t>
        </is>
      </c>
      <c r="E63" t="inlineStr">
        <is>
          <t>KRAMFORS</t>
        </is>
      </c>
      <c r="G63" t="n">
        <v>1.9</v>
      </c>
      <c r="H63" t="n">
        <v>0</v>
      </c>
      <c r="I63" t="n">
        <v>1</v>
      </c>
      <c r="J63" t="n">
        <v>0</v>
      </c>
      <c r="K63" t="n">
        <v>0</v>
      </c>
      <c r="L63" t="n">
        <v>0</v>
      </c>
      <c r="M63" t="n">
        <v>0</v>
      </c>
      <c r="N63" t="n">
        <v>0</v>
      </c>
      <c r="O63" t="n">
        <v>0</v>
      </c>
      <c r="P63" t="n">
        <v>0</v>
      </c>
      <c r="Q63" t="n">
        <v>1</v>
      </c>
      <c r="R63" s="2" t="inlineStr">
        <is>
          <t>Svart trolldruva</t>
        </is>
      </c>
      <c r="S63">
        <f>HYPERLINK("https://klasma.github.io/Logging_2282/artfynd/A 21885-2023 artfynd.xlsx", "A 21885-2023")</f>
        <v/>
      </c>
      <c r="T63">
        <f>HYPERLINK("https://klasma.github.io/Logging_2282/kartor/A 21885-2023 karta.png", "A 21885-2023")</f>
        <v/>
      </c>
      <c r="V63">
        <f>HYPERLINK("https://klasma.github.io/Logging_2282/klagomål/A 21885-2023 FSC-klagomål.docx", "A 21885-2023")</f>
        <v/>
      </c>
      <c r="W63">
        <f>HYPERLINK("https://klasma.github.io/Logging_2282/klagomålsmail/A 21885-2023 FSC-klagomål mail.docx", "A 21885-2023")</f>
        <v/>
      </c>
      <c r="X63">
        <f>HYPERLINK("https://klasma.github.io/Logging_2282/tillsyn/A 21885-2023 tillsynsbegäran.docx", "A 21885-2023")</f>
        <v/>
      </c>
      <c r="Y63">
        <f>HYPERLINK("https://klasma.github.io/Logging_2282/tillsynsmail/A 21885-2023 tillsynsbegäran mail.docx", "A 21885-2023")</f>
        <v/>
      </c>
    </row>
    <row r="64" ht="15" customHeight="1">
      <c r="A64" t="inlineStr">
        <is>
          <t>A 29073-2023</t>
        </is>
      </c>
      <c r="B64" s="1" t="n">
        <v>45105</v>
      </c>
      <c r="C64" s="1" t="n">
        <v>45628</v>
      </c>
      <c r="D64" t="inlineStr">
        <is>
          <t>VÄSTERNORRLANDS LÄN</t>
        </is>
      </c>
      <c r="E64" t="inlineStr">
        <is>
          <t>KRAMFORS</t>
        </is>
      </c>
      <c r="F64" t="inlineStr">
        <is>
          <t>SCA</t>
        </is>
      </c>
      <c r="G64" t="n">
        <v>5.5</v>
      </c>
      <c r="H64" t="n">
        <v>1</v>
      </c>
      <c r="I64" t="n">
        <v>0</v>
      </c>
      <c r="J64" t="n">
        <v>1</v>
      </c>
      <c r="K64" t="n">
        <v>0</v>
      </c>
      <c r="L64" t="n">
        <v>0</v>
      </c>
      <c r="M64" t="n">
        <v>0</v>
      </c>
      <c r="N64" t="n">
        <v>0</v>
      </c>
      <c r="O64" t="n">
        <v>1</v>
      </c>
      <c r="P64" t="n">
        <v>0</v>
      </c>
      <c r="Q64" t="n">
        <v>1</v>
      </c>
      <c r="R64" s="2" t="inlineStr">
        <is>
          <t>Tretåig hackspett</t>
        </is>
      </c>
      <c r="S64">
        <f>HYPERLINK("https://klasma.github.io/Logging_2282/artfynd/A 29073-2023 artfynd.xlsx", "A 29073-2023")</f>
        <v/>
      </c>
      <c r="T64">
        <f>HYPERLINK("https://klasma.github.io/Logging_2282/kartor/A 29073-2023 karta.png", "A 29073-2023")</f>
        <v/>
      </c>
      <c r="U64">
        <f>HYPERLINK("https://klasma.github.io/Logging_2282/knärot/A 29073-2023 karta knärot.png", "A 29073-2023")</f>
        <v/>
      </c>
      <c r="V64">
        <f>HYPERLINK("https://klasma.github.io/Logging_2282/klagomål/A 29073-2023 FSC-klagomål.docx", "A 29073-2023")</f>
        <v/>
      </c>
      <c r="W64">
        <f>HYPERLINK("https://klasma.github.io/Logging_2282/klagomålsmail/A 29073-2023 FSC-klagomål mail.docx", "A 29073-2023")</f>
        <v/>
      </c>
      <c r="X64">
        <f>HYPERLINK("https://klasma.github.io/Logging_2282/tillsyn/A 29073-2023 tillsynsbegäran.docx", "A 29073-2023")</f>
        <v/>
      </c>
      <c r="Y64">
        <f>HYPERLINK("https://klasma.github.io/Logging_2282/tillsynsmail/A 29073-2023 tillsynsbegäran mail.docx", "A 29073-2023")</f>
        <v/>
      </c>
      <c r="Z64">
        <f>HYPERLINK("https://klasma.github.io/Logging_2282/fåglar/A 29073-2023 prioriterade fågelarter.docx", "A 29073-2023")</f>
        <v/>
      </c>
    </row>
    <row r="65" ht="15" customHeight="1">
      <c r="A65" t="inlineStr">
        <is>
          <t>A 45947-2023</t>
        </is>
      </c>
      <c r="B65" s="1" t="n">
        <v>45195</v>
      </c>
      <c r="C65" s="1" t="n">
        <v>45628</v>
      </c>
      <c r="D65" t="inlineStr">
        <is>
          <t>VÄSTERNORRLANDS LÄN</t>
        </is>
      </c>
      <c r="E65" t="inlineStr">
        <is>
          <t>KRAMFORS</t>
        </is>
      </c>
      <c r="F65" t="inlineStr">
        <is>
          <t>SCA</t>
        </is>
      </c>
      <c r="G65" t="n">
        <v>1.7</v>
      </c>
      <c r="H65" t="n">
        <v>0</v>
      </c>
      <c r="I65" t="n">
        <v>1</v>
      </c>
      <c r="J65" t="n">
        <v>0</v>
      </c>
      <c r="K65" t="n">
        <v>0</v>
      </c>
      <c r="L65" t="n">
        <v>0</v>
      </c>
      <c r="M65" t="n">
        <v>0</v>
      </c>
      <c r="N65" t="n">
        <v>0</v>
      </c>
      <c r="O65" t="n">
        <v>0</v>
      </c>
      <c r="P65" t="n">
        <v>0</v>
      </c>
      <c r="Q65" t="n">
        <v>1</v>
      </c>
      <c r="R65" s="2" t="inlineStr">
        <is>
          <t>Kattfotslav</t>
        </is>
      </c>
      <c r="S65">
        <f>HYPERLINK("https://klasma.github.io/Logging_2282/artfynd/A 45947-2023 artfynd.xlsx", "A 45947-2023")</f>
        <v/>
      </c>
      <c r="T65">
        <f>HYPERLINK("https://klasma.github.io/Logging_2282/kartor/A 45947-2023 karta.png", "A 45947-2023")</f>
        <v/>
      </c>
      <c r="V65">
        <f>HYPERLINK("https://klasma.github.io/Logging_2282/klagomål/A 45947-2023 FSC-klagomål.docx", "A 45947-2023")</f>
        <v/>
      </c>
      <c r="W65">
        <f>HYPERLINK("https://klasma.github.io/Logging_2282/klagomålsmail/A 45947-2023 FSC-klagomål mail.docx", "A 45947-2023")</f>
        <v/>
      </c>
      <c r="X65">
        <f>HYPERLINK("https://klasma.github.io/Logging_2282/tillsyn/A 45947-2023 tillsynsbegäran.docx", "A 45947-2023")</f>
        <v/>
      </c>
      <c r="Y65">
        <f>HYPERLINK("https://klasma.github.io/Logging_2282/tillsynsmail/A 45947-2023 tillsynsbegäran mail.docx", "A 45947-2023")</f>
        <v/>
      </c>
    </row>
    <row r="66" ht="15" customHeight="1">
      <c r="A66" t="inlineStr">
        <is>
          <t>A 48970-2023</t>
        </is>
      </c>
      <c r="B66" s="1" t="n">
        <v>45204</v>
      </c>
      <c r="C66" s="1" t="n">
        <v>45628</v>
      </c>
      <c r="D66" t="inlineStr">
        <is>
          <t>VÄSTERNORRLANDS LÄN</t>
        </is>
      </c>
      <c r="E66" t="inlineStr">
        <is>
          <t>KRAMFORS</t>
        </is>
      </c>
      <c r="G66" t="n">
        <v>3.9</v>
      </c>
      <c r="H66" t="n">
        <v>1</v>
      </c>
      <c r="I66" t="n">
        <v>0</v>
      </c>
      <c r="J66" t="n">
        <v>1</v>
      </c>
      <c r="K66" t="n">
        <v>0</v>
      </c>
      <c r="L66" t="n">
        <v>0</v>
      </c>
      <c r="M66" t="n">
        <v>0</v>
      </c>
      <c r="N66" t="n">
        <v>0</v>
      </c>
      <c r="O66" t="n">
        <v>1</v>
      </c>
      <c r="P66" t="n">
        <v>0</v>
      </c>
      <c r="Q66" t="n">
        <v>1</v>
      </c>
      <c r="R66" s="2" t="inlineStr">
        <is>
          <t>Tretåig hackspett</t>
        </is>
      </c>
      <c r="S66">
        <f>HYPERLINK("https://klasma.github.io/Logging_2282/artfynd/A 48970-2023 artfynd.xlsx", "A 48970-2023")</f>
        <v/>
      </c>
      <c r="T66">
        <f>HYPERLINK("https://klasma.github.io/Logging_2282/kartor/A 48970-2023 karta.png", "A 48970-2023")</f>
        <v/>
      </c>
      <c r="V66">
        <f>HYPERLINK("https://klasma.github.io/Logging_2282/klagomål/A 48970-2023 FSC-klagomål.docx", "A 48970-2023")</f>
        <v/>
      </c>
      <c r="W66">
        <f>HYPERLINK("https://klasma.github.io/Logging_2282/klagomålsmail/A 48970-2023 FSC-klagomål mail.docx", "A 48970-2023")</f>
        <v/>
      </c>
      <c r="X66">
        <f>HYPERLINK("https://klasma.github.io/Logging_2282/tillsyn/A 48970-2023 tillsynsbegäran.docx", "A 48970-2023")</f>
        <v/>
      </c>
      <c r="Y66">
        <f>HYPERLINK("https://klasma.github.io/Logging_2282/tillsynsmail/A 48970-2023 tillsynsbegäran mail.docx", "A 48970-2023")</f>
        <v/>
      </c>
      <c r="Z66">
        <f>HYPERLINK("https://klasma.github.io/Logging_2282/fåglar/A 48970-2023 prioriterade fågelarter.docx", "A 48970-2023")</f>
        <v/>
      </c>
    </row>
    <row r="67" ht="15" customHeight="1">
      <c r="A67" t="inlineStr">
        <is>
          <t>A 49656-2023</t>
        </is>
      </c>
      <c r="B67" s="1" t="n">
        <v>45211</v>
      </c>
      <c r="C67" s="1" t="n">
        <v>45628</v>
      </c>
      <c r="D67" t="inlineStr">
        <is>
          <t>VÄSTERNORRLANDS LÄN</t>
        </is>
      </c>
      <c r="E67" t="inlineStr">
        <is>
          <t>KRAMFORS</t>
        </is>
      </c>
      <c r="F67" t="inlineStr">
        <is>
          <t>SCA</t>
        </is>
      </c>
      <c r="G67" t="n">
        <v>2.9</v>
      </c>
      <c r="H67" t="n">
        <v>0</v>
      </c>
      <c r="I67" t="n">
        <v>0</v>
      </c>
      <c r="J67" t="n">
        <v>1</v>
      </c>
      <c r="K67" t="n">
        <v>0</v>
      </c>
      <c r="L67" t="n">
        <v>0</v>
      </c>
      <c r="M67" t="n">
        <v>0</v>
      </c>
      <c r="N67" t="n">
        <v>0</v>
      </c>
      <c r="O67" t="n">
        <v>1</v>
      </c>
      <c r="P67" t="n">
        <v>0</v>
      </c>
      <c r="Q67" t="n">
        <v>1</v>
      </c>
      <c r="R67" s="2" t="inlineStr">
        <is>
          <t>Rosenticka</t>
        </is>
      </c>
      <c r="S67">
        <f>HYPERLINK("https://klasma.github.io/Logging_2282/artfynd/A 49656-2023 artfynd.xlsx", "A 49656-2023")</f>
        <v/>
      </c>
      <c r="T67">
        <f>HYPERLINK("https://klasma.github.io/Logging_2282/kartor/A 49656-2023 karta.png", "A 49656-2023")</f>
        <v/>
      </c>
      <c r="V67">
        <f>HYPERLINK("https://klasma.github.io/Logging_2282/klagomål/A 49656-2023 FSC-klagomål.docx", "A 49656-2023")</f>
        <v/>
      </c>
      <c r="W67">
        <f>HYPERLINK("https://klasma.github.io/Logging_2282/klagomålsmail/A 49656-2023 FSC-klagomål mail.docx", "A 49656-2023")</f>
        <v/>
      </c>
      <c r="X67">
        <f>HYPERLINK("https://klasma.github.io/Logging_2282/tillsyn/A 49656-2023 tillsynsbegäran.docx", "A 49656-2023")</f>
        <v/>
      </c>
      <c r="Y67">
        <f>HYPERLINK("https://klasma.github.io/Logging_2282/tillsynsmail/A 49656-2023 tillsynsbegäran mail.docx", "A 49656-2023")</f>
        <v/>
      </c>
    </row>
    <row r="68" ht="15" customHeight="1">
      <c r="A68" t="inlineStr">
        <is>
          <t>A 55626-2023</t>
        </is>
      </c>
      <c r="B68" s="1" t="n">
        <v>45238</v>
      </c>
      <c r="C68" s="1" t="n">
        <v>45628</v>
      </c>
      <c r="D68" t="inlineStr">
        <is>
          <t>VÄSTERNORRLANDS LÄN</t>
        </is>
      </c>
      <c r="E68" t="inlineStr">
        <is>
          <t>KRAMFORS</t>
        </is>
      </c>
      <c r="G68" t="n">
        <v>8</v>
      </c>
      <c r="H68" t="n">
        <v>0</v>
      </c>
      <c r="I68" t="n">
        <v>0</v>
      </c>
      <c r="J68" t="n">
        <v>1</v>
      </c>
      <c r="K68" t="n">
        <v>0</v>
      </c>
      <c r="L68" t="n">
        <v>0</v>
      </c>
      <c r="M68" t="n">
        <v>0</v>
      </c>
      <c r="N68" t="n">
        <v>0</v>
      </c>
      <c r="O68" t="n">
        <v>1</v>
      </c>
      <c r="P68" t="n">
        <v>0</v>
      </c>
      <c r="Q68" t="n">
        <v>1</v>
      </c>
      <c r="R68" s="2" t="inlineStr">
        <is>
          <t>Gränsticka</t>
        </is>
      </c>
      <c r="S68">
        <f>HYPERLINK("https://klasma.github.io/Logging_2282/artfynd/A 55626-2023 artfynd.xlsx", "A 55626-2023")</f>
        <v/>
      </c>
      <c r="T68">
        <f>HYPERLINK("https://klasma.github.io/Logging_2282/kartor/A 55626-2023 karta.png", "A 55626-2023")</f>
        <v/>
      </c>
      <c r="V68">
        <f>HYPERLINK("https://klasma.github.io/Logging_2282/klagomål/A 55626-2023 FSC-klagomål.docx", "A 55626-2023")</f>
        <v/>
      </c>
      <c r="W68">
        <f>HYPERLINK("https://klasma.github.io/Logging_2282/klagomålsmail/A 55626-2023 FSC-klagomål mail.docx", "A 55626-2023")</f>
        <v/>
      </c>
      <c r="X68">
        <f>HYPERLINK("https://klasma.github.io/Logging_2282/tillsyn/A 55626-2023 tillsynsbegäran.docx", "A 55626-2023")</f>
        <v/>
      </c>
      <c r="Y68">
        <f>HYPERLINK("https://klasma.github.io/Logging_2282/tillsynsmail/A 55626-2023 tillsynsbegäran mail.docx", "A 55626-2023")</f>
        <v/>
      </c>
    </row>
    <row r="69" ht="15" customHeight="1">
      <c r="A69" t="inlineStr">
        <is>
          <t>A 57056-2023</t>
        </is>
      </c>
      <c r="B69" s="1" t="n">
        <v>45244</v>
      </c>
      <c r="C69" s="1" t="n">
        <v>45628</v>
      </c>
      <c r="D69" t="inlineStr">
        <is>
          <t>VÄSTERNORRLANDS LÄN</t>
        </is>
      </c>
      <c r="E69" t="inlineStr">
        <is>
          <t>KRAMFORS</t>
        </is>
      </c>
      <c r="G69" t="n">
        <v>15.9</v>
      </c>
      <c r="H69" t="n">
        <v>0</v>
      </c>
      <c r="I69" t="n">
        <v>0</v>
      </c>
      <c r="J69" t="n">
        <v>1</v>
      </c>
      <c r="K69" t="n">
        <v>0</v>
      </c>
      <c r="L69" t="n">
        <v>0</v>
      </c>
      <c r="M69" t="n">
        <v>0</v>
      </c>
      <c r="N69" t="n">
        <v>0</v>
      </c>
      <c r="O69" t="n">
        <v>1</v>
      </c>
      <c r="P69" t="n">
        <v>0</v>
      </c>
      <c r="Q69" t="n">
        <v>1</v>
      </c>
      <c r="R69" s="2" t="inlineStr">
        <is>
          <t>Garnlav</t>
        </is>
      </c>
      <c r="S69">
        <f>HYPERLINK("https://klasma.github.io/Logging_2282/artfynd/A 57056-2023 artfynd.xlsx", "A 57056-2023")</f>
        <v/>
      </c>
      <c r="T69">
        <f>HYPERLINK("https://klasma.github.io/Logging_2282/kartor/A 57056-2023 karta.png", "A 57056-2023")</f>
        <v/>
      </c>
      <c r="V69">
        <f>HYPERLINK("https://klasma.github.io/Logging_2282/klagomål/A 57056-2023 FSC-klagomål.docx", "A 57056-2023")</f>
        <v/>
      </c>
      <c r="W69">
        <f>HYPERLINK("https://klasma.github.io/Logging_2282/klagomålsmail/A 57056-2023 FSC-klagomål mail.docx", "A 57056-2023")</f>
        <v/>
      </c>
      <c r="X69">
        <f>HYPERLINK("https://klasma.github.io/Logging_2282/tillsyn/A 57056-2023 tillsynsbegäran.docx", "A 57056-2023")</f>
        <v/>
      </c>
      <c r="Y69">
        <f>HYPERLINK("https://klasma.github.io/Logging_2282/tillsynsmail/A 57056-2023 tillsynsbegäran mail.docx", "A 57056-2023")</f>
        <v/>
      </c>
    </row>
    <row r="70" ht="15" customHeight="1">
      <c r="A70" t="inlineStr">
        <is>
          <t>A 1073-2024</t>
        </is>
      </c>
      <c r="B70" s="1" t="n">
        <v>45301</v>
      </c>
      <c r="C70" s="1" t="n">
        <v>45628</v>
      </c>
      <c r="D70" t="inlineStr">
        <is>
          <t>VÄSTERNORRLANDS LÄN</t>
        </is>
      </c>
      <c r="E70" t="inlineStr">
        <is>
          <t>KRAMFORS</t>
        </is>
      </c>
      <c r="G70" t="n">
        <v>1.8</v>
      </c>
      <c r="H70" t="n">
        <v>1</v>
      </c>
      <c r="I70" t="n">
        <v>0</v>
      </c>
      <c r="J70" t="n">
        <v>1</v>
      </c>
      <c r="K70" t="n">
        <v>0</v>
      </c>
      <c r="L70" t="n">
        <v>0</v>
      </c>
      <c r="M70" t="n">
        <v>0</v>
      </c>
      <c r="N70" t="n">
        <v>0</v>
      </c>
      <c r="O70" t="n">
        <v>1</v>
      </c>
      <c r="P70" t="n">
        <v>0</v>
      </c>
      <c r="Q70" t="n">
        <v>1</v>
      </c>
      <c r="R70" s="2" t="inlineStr">
        <is>
          <t>Spillkråka</t>
        </is>
      </c>
      <c r="S70">
        <f>HYPERLINK("https://klasma.github.io/Logging_2282/artfynd/A 1073-2024 artfynd.xlsx", "A 1073-2024")</f>
        <v/>
      </c>
      <c r="T70">
        <f>HYPERLINK("https://klasma.github.io/Logging_2282/kartor/A 1073-2024 karta.png", "A 1073-2024")</f>
        <v/>
      </c>
      <c r="V70">
        <f>HYPERLINK("https://klasma.github.io/Logging_2282/klagomål/A 1073-2024 FSC-klagomål.docx", "A 1073-2024")</f>
        <v/>
      </c>
      <c r="W70">
        <f>HYPERLINK("https://klasma.github.io/Logging_2282/klagomålsmail/A 1073-2024 FSC-klagomål mail.docx", "A 1073-2024")</f>
        <v/>
      </c>
      <c r="X70">
        <f>HYPERLINK("https://klasma.github.io/Logging_2282/tillsyn/A 1073-2024 tillsynsbegäran.docx", "A 1073-2024")</f>
        <v/>
      </c>
      <c r="Y70">
        <f>HYPERLINK("https://klasma.github.io/Logging_2282/tillsynsmail/A 1073-2024 tillsynsbegäran mail.docx", "A 1073-2024")</f>
        <v/>
      </c>
      <c r="Z70">
        <f>HYPERLINK("https://klasma.github.io/Logging_2282/fåglar/A 1073-2024 prioriterade fågelarter.docx", "A 1073-2024")</f>
        <v/>
      </c>
    </row>
    <row r="71" ht="15" customHeight="1">
      <c r="A71" t="inlineStr">
        <is>
          <t>A 7153-2024</t>
        </is>
      </c>
      <c r="B71" s="1" t="n">
        <v>45344</v>
      </c>
      <c r="C71" s="1" t="n">
        <v>45628</v>
      </c>
      <c r="D71" t="inlineStr">
        <is>
          <t>VÄSTERNORRLANDS LÄN</t>
        </is>
      </c>
      <c r="E71" t="inlineStr">
        <is>
          <t>KRAMFORS</t>
        </is>
      </c>
      <c r="G71" t="n">
        <v>7.6</v>
      </c>
      <c r="H71" t="n">
        <v>0</v>
      </c>
      <c r="I71" t="n">
        <v>0</v>
      </c>
      <c r="J71" t="n">
        <v>1</v>
      </c>
      <c r="K71" t="n">
        <v>0</v>
      </c>
      <c r="L71" t="n">
        <v>0</v>
      </c>
      <c r="M71" t="n">
        <v>0</v>
      </c>
      <c r="N71" t="n">
        <v>0</v>
      </c>
      <c r="O71" t="n">
        <v>1</v>
      </c>
      <c r="P71" t="n">
        <v>0</v>
      </c>
      <c r="Q71" t="n">
        <v>1</v>
      </c>
      <c r="R71" s="2" t="inlineStr">
        <is>
          <t>Luddfingersvamp</t>
        </is>
      </c>
      <c r="S71">
        <f>HYPERLINK("https://klasma.github.io/Logging_2282/artfynd/A 7153-2024 artfynd.xlsx", "A 7153-2024")</f>
        <v/>
      </c>
      <c r="T71">
        <f>HYPERLINK("https://klasma.github.io/Logging_2282/kartor/A 7153-2024 karta.png", "A 7153-2024")</f>
        <v/>
      </c>
      <c r="V71">
        <f>HYPERLINK("https://klasma.github.io/Logging_2282/klagomål/A 7153-2024 FSC-klagomål.docx", "A 7153-2024")</f>
        <v/>
      </c>
      <c r="W71">
        <f>HYPERLINK("https://klasma.github.io/Logging_2282/klagomålsmail/A 7153-2024 FSC-klagomål mail.docx", "A 7153-2024")</f>
        <v/>
      </c>
      <c r="X71">
        <f>HYPERLINK("https://klasma.github.io/Logging_2282/tillsyn/A 7153-2024 tillsynsbegäran.docx", "A 7153-2024")</f>
        <v/>
      </c>
      <c r="Y71">
        <f>HYPERLINK("https://klasma.github.io/Logging_2282/tillsynsmail/A 7153-2024 tillsynsbegäran mail.docx", "A 7153-2024")</f>
        <v/>
      </c>
    </row>
    <row r="72" ht="15" customHeight="1">
      <c r="A72" t="inlineStr">
        <is>
          <t>A 11086-2024</t>
        </is>
      </c>
      <c r="B72" s="1" t="n">
        <v>45370</v>
      </c>
      <c r="C72" s="1" t="n">
        <v>45628</v>
      </c>
      <c r="D72" t="inlineStr">
        <is>
          <t>VÄSTERNORRLANDS LÄN</t>
        </is>
      </c>
      <c r="E72" t="inlineStr">
        <is>
          <t>KRAMFORS</t>
        </is>
      </c>
      <c r="F72" t="inlineStr">
        <is>
          <t>SCA</t>
        </is>
      </c>
      <c r="G72" t="n">
        <v>10.1</v>
      </c>
      <c r="H72" t="n">
        <v>1</v>
      </c>
      <c r="I72" t="n">
        <v>0</v>
      </c>
      <c r="J72" t="n">
        <v>1</v>
      </c>
      <c r="K72" t="n">
        <v>0</v>
      </c>
      <c r="L72" t="n">
        <v>0</v>
      </c>
      <c r="M72" t="n">
        <v>0</v>
      </c>
      <c r="N72" t="n">
        <v>0</v>
      </c>
      <c r="O72" t="n">
        <v>1</v>
      </c>
      <c r="P72" t="n">
        <v>0</v>
      </c>
      <c r="Q72" t="n">
        <v>1</v>
      </c>
      <c r="R72" s="2" t="inlineStr">
        <is>
          <t>Utter</t>
        </is>
      </c>
      <c r="S72">
        <f>HYPERLINK("https://klasma.github.io/Logging_2282/artfynd/A 11086-2024 artfynd.xlsx", "A 11086-2024")</f>
        <v/>
      </c>
      <c r="T72">
        <f>HYPERLINK("https://klasma.github.io/Logging_2282/kartor/A 11086-2024 karta.png", "A 11086-2024")</f>
        <v/>
      </c>
      <c r="V72">
        <f>HYPERLINK("https://klasma.github.io/Logging_2282/klagomål/A 11086-2024 FSC-klagomål.docx", "A 11086-2024")</f>
        <v/>
      </c>
      <c r="W72">
        <f>HYPERLINK("https://klasma.github.io/Logging_2282/klagomålsmail/A 11086-2024 FSC-klagomål mail.docx", "A 11086-2024")</f>
        <v/>
      </c>
      <c r="X72">
        <f>HYPERLINK("https://klasma.github.io/Logging_2282/tillsyn/A 11086-2024 tillsynsbegäran.docx", "A 11086-2024")</f>
        <v/>
      </c>
      <c r="Y72">
        <f>HYPERLINK("https://klasma.github.io/Logging_2282/tillsynsmail/A 11086-2024 tillsynsbegäran mail.docx", "A 11086-2024")</f>
        <v/>
      </c>
    </row>
    <row r="73" ht="15" customHeight="1">
      <c r="A73" t="inlineStr">
        <is>
          <t>A 18842-2019</t>
        </is>
      </c>
      <c r="B73" s="1" t="n">
        <v>43563</v>
      </c>
      <c r="C73" s="1" t="n">
        <v>45628</v>
      </c>
      <c r="D73" t="inlineStr">
        <is>
          <t>VÄSTERNORRLANDS LÄN</t>
        </is>
      </c>
      <c r="E73" t="inlineStr">
        <is>
          <t>KRAMFORS</t>
        </is>
      </c>
      <c r="G73" t="n">
        <v>1.2</v>
      </c>
      <c r="H73" t="n">
        <v>0</v>
      </c>
      <c r="I73" t="n">
        <v>0</v>
      </c>
      <c r="J73" t="n">
        <v>0</v>
      </c>
      <c r="K73" t="n">
        <v>0</v>
      </c>
      <c r="L73" t="n">
        <v>0</v>
      </c>
      <c r="M73" t="n">
        <v>0</v>
      </c>
      <c r="N73" t="n">
        <v>0</v>
      </c>
      <c r="O73" t="n">
        <v>0</v>
      </c>
      <c r="P73" t="n">
        <v>0</v>
      </c>
      <c r="Q73" t="n">
        <v>0</v>
      </c>
      <c r="R73" s="2" t="inlineStr"/>
    </row>
    <row r="74" ht="15" customHeight="1">
      <c r="A74" t="inlineStr">
        <is>
          <t>A 19254-2019</t>
        </is>
      </c>
      <c r="B74" s="1" t="n">
        <v>43564</v>
      </c>
      <c r="C74" s="1" t="n">
        <v>45628</v>
      </c>
      <c r="D74" t="inlineStr">
        <is>
          <t>VÄSTERNORRLANDS LÄN</t>
        </is>
      </c>
      <c r="E74" t="inlineStr">
        <is>
          <t>KRAMFORS</t>
        </is>
      </c>
      <c r="G74" t="n">
        <v>4.8</v>
      </c>
      <c r="H74" t="n">
        <v>0</v>
      </c>
      <c r="I74" t="n">
        <v>0</v>
      </c>
      <c r="J74" t="n">
        <v>0</v>
      </c>
      <c r="K74" t="n">
        <v>0</v>
      </c>
      <c r="L74" t="n">
        <v>0</v>
      </c>
      <c r="M74" t="n">
        <v>0</v>
      </c>
      <c r="N74" t="n">
        <v>0</v>
      </c>
      <c r="O74" t="n">
        <v>0</v>
      </c>
      <c r="P74" t="n">
        <v>0</v>
      </c>
      <c r="Q74" t="n">
        <v>0</v>
      </c>
      <c r="R74" s="2" t="inlineStr"/>
    </row>
    <row r="75" ht="15" customHeight="1">
      <c r="A75" t="inlineStr">
        <is>
          <t>A 19341-2019</t>
        </is>
      </c>
      <c r="B75" s="1" t="n">
        <v>43564</v>
      </c>
      <c r="C75" s="1" t="n">
        <v>45628</v>
      </c>
      <c r="D75" t="inlineStr">
        <is>
          <t>VÄSTERNORRLANDS LÄN</t>
        </is>
      </c>
      <c r="E75" t="inlineStr">
        <is>
          <t>KRAMFORS</t>
        </is>
      </c>
      <c r="G75" t="n">
        <v>1.8</v>
      </c>
      <c r="H75" t="n">
        <v>0</v>
      </c>
      <c r="I75" t="n">
        <v>0</v>
      </c>
      <c r="J75" t="n">
        <v>0</v>
      </c>
      <c r="K75" t="n">
        <v>0</v>
      </c>
      <c r="L75" t="n">
        <v>0</v>
      </c>
      <c r="M75" t="n">
        <v>0</v>
      </c>
      <c r="N75" t="n">
        <v>0</v>
      </c>
      <c r="O75" t="n">
        <v>0</v>
      </c>
      <c r="P75" t="n">
        <v>0</v>
      </c>
      <c r="Q75" t="n">
        <v>0</v>
      </c>
      <c r="R75" s="2" t="inlineStr"/>
    </row>
    <row r="76" ht="15" customHeight="1">
      <c r="A76" t="inlineStr">
        <is>
          <t>A 19813-2019</t>
        </is>
      </c>
      <c r="B76" s="1" t="n">
        <v>43567</v>
      </c>
      <c r="C76" s="1" t="n">
        <v>45628</v>
      </c>
      <c r="D76" t="inlineStr">
        <is>
          <t>VÄSTERNORRLANDS LÄN</t>
        </is>
      </c>
      <c r="E76" t="inlineStr">
        <is>
          <t>KRAMFORS</t>
        </is>
      </c>
      <c r="G76" t="n">
        <v>2.1</v>
      </c>
      <c r="H76" t="n">
        <v>0</v>
      </c>
      <c r="I76" t="n">
        <v>0</v>
      </c>
      <c r="J76" t="n">
        <v>0</v>
      </c>
      <c r="K76" t="n">
        <v>0</v>
      </c>
      <c r="L76" t="n">
        <v>0</v>
      </c>
      <c r="M76" t="n">
        <v>0</v>
      </c>
      <c r="N76" t="n">
        <v>0</v>
      </c>
      <c r="O76" t="n">
        <v>0</v>
      </c>
      <c r="P76" t="n">
        <v>0</v>
      </c>
      <c r="Q76" t="n">
        <v>0</v>
      </c>
      <c r="R76" s="2" t="inlineStr"/>
    </row>
    <row r="77" ht="15" customHeight="1">
      <c r="A77" t="inlineStr">
        <is>
          <t>A 20653-2019</t>
        </is>
      </c>
      <c r="B77" s="1" t="n">
        <v>43572</v>
      </c>
      <c r="C77" s="1" t="n">
        <v>45628</v>
      </c>
      <c r="D77" t="inlineStr">
        <is>
          <t>VÄSTERNORRLANDS LÄN</t>
        </is>
      </c>
      <c r="E77" t="inlineStr">
        <is>
          <t>KRAMFORS</t>
        </is>
      </c>
      <c r="G77" t="n">
        <v>3.8</v>
      </c>
      <c r="H77" t="n">
        <v>0</v>
      </c>
      <c r="I77" t="n">
        <v>0</v>
      </c>
      <c r="J77" t="n">
        <v>0</v>
      </c>
      <c r="K77" t="n">
        <v>0</v>
      </c>
      <c r="L77" t="n">
        <v>0</v>
      </c>
      <c r="M77" t="n">
        <v>0</v>
      </c>
      <c r="N77" t="n">
        <v>0</v>
      </c>
      <c r="O77" t="n">
        <v>0</v>
      </c>
      <c r="P77" t="n">
        <v>0</v>
      </c>
      <c r="Q77" t="n">
        <v>0</v>
      </c>
      <c r="R77" s="2" t="inlineStr"/>
    </row>
    <row r="78" ht="15" customHeight="1">
      <c r="A78" t="inlineStr">
        <is>
          <t>A 20893-2019</t>
        </is>
      </c>
      <c r="B78" s="1" t="n">
        <v>43578</v>
      </c>
      <c r="C78" s="1" t="n">
        <v>45628</v>
      </c>
      <c r="D78" t="inlineStr">
        <is>
          <t>VÄSTERNORRLANDS LÄN</t>
        </is>
      </c>
      <c r="E78" t="inlineStr">
        <is>
          <t>KRAMFORS</t>
        </is>
      </c>
      <c r="G78" t="n">
        <v>0.7</v>
      </c>
      <c r="H78" t="n">
        <v>0</v>
      </c>
      <c r="I78" t="n">
        <v>0</v>
      </c>
      <c r="J78" t="n">
        <v>0</v>
      </c>
      <c r="K78" t="n">
        <v>0</v>
      </c>
      <c r="L78" t="n">
        <v>0</v>
      </c>
      <c r="M78" t="n">
        <v>0</v>
      </c>
      <c r="N78" t="n">
        <v>0</v>
      </c>
      <c r="O78" t="n">
        <v>0</v>
      </c>
      <c r="P78" t="n">
        <v>0</v>
      </c>
      <c r="Q78" t="n">
        <v>0</v>
      </c>
      <c r="R78" s="2" t="inlineStr"/>
    </row>
    <row r="79" ht="15" customHeight="1">
      <c r="A79" t="inlineStr">
        <is>
          <t>A 21896-2019</t>
        </is>
      </c>
      <c r="B79" s="1" t="n">
        <v>43584</v>
      </c>
      <c r="C79" s="1" t="n">
        <v>45628</v>
      </c>
      <c r="D79" t="inlineStr">
        <is>
          <t>VÄSTERNORRLANDS LÄN</t>
        </is>
      </c>
      <c r="E79" t="inlineStr">
        <is>
          <t>KRAMFORS</t>
        </is>
      </c>
      <c r="G79" t="n">
        <v>4.5</v>
      </c>
      <c r="H79" t="n">
        <v>0</v>
      </c>
      <c r="I79" t="n">
        <v>0</v>
      </c>
      <c r="J79" t="n">
        <v>0</v>
      </c>
      <c r="K79" t="n">
        <v>0</v>
      </c>
      <c r="L79" t="n">
        <v>0</v>
      </c>
      <c r="M79" t="n">
        <v>0</v>
      </c>
      <c r="N79" t="n">
        <v>0</v>
      </c>
      <c r="O79" t="n">
        <v>0</v>
      </c>
      <c r="P79" t="n">
        <v>0</v>
      </c>
      <c r="Q79" t="n">
        <v>0</v>
      </c>
      <c r="R79" s="2" t="inlineStr"/>
    </row>
    <row r="80" ht="15" customHeight="1">
      <c r="A80" t="inlineStr">
        <is>
          <t>A 22022-2019</t>
        </is>
      </c>
      <c r="B80" s="1" t="n">
        <v>43584</v>
      </c>
      <c r="C80" s="1" t="n">
        <v>45628</v>
      </c>
      <c r="D80" t="inlineStr">
        <is>
          <t>VÄSTERNORRLANDS LÄN</t>
        </is>
      </c>
      <c r="E80" t="inlineStr">
        <is>
          <t>KRAMFORS</t>
        </is>
      </c>
      <c r="G80" t="n">
        <v>7.3</v>
      </c>
      <c r="H80" t="n">
        <v>0</v>
      </c>
      <c r="I80" t="n">
        <v>0</v>
      </c>
      <c r="J80" t="n">
        <v>0</v>
      </c>
      <c r="K80" t="n">
        <v>0</v>
      </c>
      <c r="L80" t="n">
        <v>0</v>
      </c>
      <c r="M80" t="n">
        <v>0</v>
      </c>
      <c r="N80" t="n">
        <v>0</v>
      </c>
      <c r="O80" t="n">
        <v>0</v>
      </c>
      <c r="P80" t="n">
        <v>0</v>
      </c>
      <c r="Q80" t="n">
        <v>0</v>
      </c>
      <c r="R80" s="2" t="inlineStr"/>
    </row>
    <row r="81" ht="15" customHeight="1">
      <c r="A81" t="inlineStr">
        <is>
          <t>A 22060-2019</t>
        </is>
      </c>
      <c r="B81" s="1" t="n">
        <v>43584</v>
      </c>
      <c r="C81" s="1" t="n">
        <v>45628</v>
      </c>
      <c r="D81" t="inlineStr">
        <is>
          <t>VÄSTERNORRLANDS LÄN</t>
        </is>
      </c>
      <c r="E81" t="inlineStr">
        <is>
          <t>KRAMFORS</t>
        </is>
      </c>
      <c r="G81" t="n">
        <v>6.6</v>
      </c>
      <c r="H81" t="n">
        <v>0</v>
      </c>
      <c r="I81" t="n">
        <v>0</v>
      </c>
      <c r="J81" t="n">
        <v>0</v>
      </c>
      <c r="K81" t="n">
        <v>0</v>
      </c>
      <c r="L81" t="n">
        <v>0</v>
      </c>
      <c r="M81" t="n">
        <v>0</v>
      </c>
      <c r="N81" t="n">
        <v>0</v>
      </c>
      <c r="O81" t="n">
        <v>0</v>
      </c>
      <c r="P81" t="n">
        <v>0</v>
      </c>
      <c r="Q81" t="n">
        <v>0</v>
      </c>
      <c r="R81" s="2" t="inlineStr"/>
    </row>
    <row r="82" ht="15" customHeight="1">
      <c r="A82" t="inlineStr">
        <is>
          <t>A 22020-2019</t>
        </is>
      </c>
      <c r="B82" s="1" t="n">
        <v>43584</v>
      </c>
      <c r="C82" s="1" t="n">
        <v>45628</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22288-2019</t>
        </is>
      </c>
      <c r="B83" s="1" t="n">
        <v>43585</v>
      </c>
      <c r="C83" s="1" t="n">
        <v>45628</v>
      </c>
      <c r="D83" t="inlineStr">
        <is>
          <t>VÄSTERNORRLANDS LÄN</t>
        </is>
      </c>
      <c r="E83" t="inlineStr">
        <is>
          <t>KRAMFORS</t>
        </is>
      </c>
      <c r="G83" t="n">
        <v>1.5</v>
      </c>
      <c r="H83" t="n">
        <v>0</v>
      </c>
      <c r="I83" t="n">
        <v>0</v>
      </c>
      <c r="J83" t="n">
        <v>0</v>
      </c>
      <c r="K83" t="n">
        <v>0</v>
      </c>
      <c r="L83" t="n">
        <v>0</v>
      </c>
      <c r="M83" t="n">
        <v>0</v>
      </c>
      <c r="N83" t="n">
        <v>0</v>
      </c>
      <c r="O83" t="n">
        <v>0</v>
      </c>
      <c r="P83" t="n">
        <v>0</v>
      </c>
      <c r="Q83" t="n">
        <v>0</v>
      </c>
      <c r="R83" s="2" t="inlineStr"/>
    </row>
    <row r="84" ht="15" customHeight="1">
      <c r="A84" t="inlineStr">
        <is>
          <t>A 22120-2019</t>
        </is>
      </c>
      <c r="B84" s="1" t="n">
        <v>43585</v>
      </c>
      <c r="C84" s="1" t="n">
        <v>45628</v>
      </c>
      <c r="D84" t="inlineStr">
        <is>
          <t>VÄSTERNORRLANDS LÄN</t>
        </is>
      </c>
      <c r="E84" t="inlineStr">
        <is>
          <t>KRAMFORS</t>
        </is>
      </c>
      <c r="G84" t="n">
        <v>9.5</v>
      </c>
      <c r="H84" t="n">
        <v>0</v>
      </c>
      <c r="I84" t="n">
        <v>0</v>
      </c>
      <c r="J84" t="n">
        <v>0</v>
      </c>
      <c r="K84" t="n">
        <v>0</v>
      </c>
      <c r="L84" t="n">
        <v>0</v>
      </c>
      <c r="M84" t="n">
        <v>0</v>
      </c>
      <c r="N84" t="n">
        <v>0</v>
      </c>
      <c r="O84" t="n">
        <v>0</v>
      </c>
      <c r="P84" t="n">
        <v>0</v>
      </c>
      <c r="Q84" t="n">
        <v>0</v>
      </c>
      <c r="R84" s="2" t="inlineStr"/>
    </row>
    <row r="85" ht="15" customHeight="1">
      <c r="A85" t="inlineStr">
        <is>
          <t>A 22373-2019</t>
        </is>
      </c>
      <c r="B85" s="1" t="n">
        <v>43587</v>
      </c>
      <c r="C85" s="1" t="n">
        <v>45628</v>
      </c>
      <c r="D85" t="inlineStr">
        <is>
          <t>VÄSTERNORRLANDS LÄN</t>
        </is>
      </c>
      <c r="E85" t="inlineStr">
        <is>
          <t>KRAMFORS</t>
        </is>
      </c>
      <c r="G85" t="n">
        <v>3.2</v>
      </c>
      <c r="H85" t="n">
        <v>0</v>
      </c>
      <c r="I85" t="n">
        <v>0</v>
      </c>
      <c r="J85" t="n">
        <v>0</v>
      </c>
      <c r="K85" t="n">
        <v>0</v>
      </c>
      <c r="L85" t="n">
        <v>0</v>
      </c>
      <c r="M85" t="n">
        <v>0</v>
      </c>
      <c r="N85" t="n">
        <v>0</v>
      </c>
      <c r="O85" t="n">
        <v>0</v>
      </c>
      <c r="P85" t="n">
        <v>0</v>
      </c>
      <c r="Q85" t="n">
        <v>0</v>
      </c>
      <c r="R85" s="2" t="inlineStr"/>
    </row>
    <row r="86" ht="15" customHeight="1">
      <c r="A86" t="inlineStr">
        <is>
          <t>A 22380-2019</t>
        </is>
      </c>
      <c r="B86" s="1" t="n">
        <v>43587</v>
      </c>
      <c r="C86" s="1" t="n">
        <v>45628</v>
      </c>
      <c r="D86" t="inlineStr">
        <is>
          <t>VÄSTERNORRLANDS LÄN</t>
        </is>
      </c>
      <c r="E86" t="inlineStr">
        <is>
          <t>KRAMFORS</t>
        </is>
      </c>
      <c r="G86" t="n">
        <v>6.5</v>
      </c>
      <c r="H86" t="n">
        <v>0</v>
      </c>
      <c r="I86" t="n">
        <v>0</v>
      </c>
      <c r="J86" t="n">
        <v>0</v>
      </c>
      <c r="K86" t="n">
        <v>0</v>
      </c>
      <c r="L86" t="n">
        <v>0</v>
      </c>
      <c r="M86" t="n">
        <v>0</v>
      </c>
      <c r="N86" t="n">
        <v>0</v>
      </c>
      <c r="O86" t="n">
        <v>0</v>
      </c>
      <c r="P86" t="n">
        <v>0</v>
      </c>
      <c r="Q86" t="n">
        <v>0</v>
      </c>
      <c r="R86" s="2" t="inlineStr"/>
    </row>
    <row r="87" ht="15" customHeight="1">
      <c r="A87" t="inlineStr">
        <is>
          <t>A 23069-2019</t>
        </is>
      </c>
      <c r="B87" s="1" t="n">
        <v>43591</v>
      </c>
      <c r="C87" s="1" t="n">
        <v>45628</v>
      </c>
      <c r="D87" t="inlineStr">
        <is>
          <t>VÄSTERNORRLANDS LÄN</t>
        </is>
      </c>
      <c r="E87" t="inlineStr">
        <is>
          <t>KRAMFORS</t>
        </is>
      </c>
      <c r="G87" t="n">
        <v>9.6</v>
      </c>
      <c r="H87" t="n">
        <v>0</v>
      </c>
      <c r="I87" t="n">
        <v>0</v>
      </c>
      <c r="J87" t="n">
        <v>0</v>
      </c>
      <c r="K87" t="n">
        <v>0</v>
      </c>
      <c r="L87" t="n">
        <v>0</v>
      </c>
      <c r="M87" t="n">
        <v>0</v>
      </c>
      <c r="N87" t="n">
        <v>0</v>
      </c>
      <c r="O87" t="n">
        <v>0</v>
      </c>
      <c r="P87" t="n">
        <v>0</v>
      </c>
      <c r="Q87" t="n">
        <v>0</v>
      </c>
      <c r="R87" s="2" t="inlineStr"/>
    </row>
    <row r="88" ht="15" customHeight="1">
      <c r="A88" t="inlineStr">
        <is>
          <t>A 23296-2019</t>
        </is>
      </c>
      <c r="B88" s="1" t="n">
        <v>43593</v>
      </c>
      <c r="C88" s="1" t="n">
        <v>45628</v>
      </c>
      <c r="D88" t="inlineStr">
        <is>
          <t>VÄSTERNORRLANDS LÄN</t>
        </is>
      </c>
      <c r="E88" t="inlineStr">
        <is>
          <t>KRAMFORS</t>
        </is>
      </c>
      <c r="G88" t="n">
        <v>6.6</v>
      </c>
      <c r="H88" t="n">
        <v>0</v>
      </c>
      <c r="I88" t="n">
        <v>0</v>
      </c>
      <c r="J88" t="n">
        <v>0</v>
      </c>
      <c r="K88" t="n">
        <v>0</v>
      </c>
      <c r="L88" t="n">
        <v>0</v>
      </c>
      <c r="M88" t="n">
        <v>0</v>
      </c>
      <c r="N88" t="n">
        <v>0</v>
      </c>
      <c r="O88" t="n">
        <v>0</v>
      </c>
      <c r="P88" t="n">
        <v>0</v>
      </c>
      <c r="Q88" t="n">
        <v>0</v>
      </c>
      <c r="R88" s="2" t="inlineStr"/>
    </row>
    <row r="89" ht="15" customHeight="1">
      <c r="A89" t="inlineStr">
        <is>
          <t>A 23766-2019</t>
        </is>
      </c>
      <c r="B89" s="1" t="n">
        <v>43595</v>
      </c>
      <c r="C89" s="1" t="n">
        <v>45628</v>
      </c>
      <c r="D89" t="inlineStr">
        <is>
          <t>VÄSTERNORRLANDS LÄN</t>
        </is>
      </c>
      <c r="E89" t="inlineStr">
        <is>
          <t>KRAMFORS</t>
        </is>
      </c>
      <c r="G89" t="n">
        <v>1.3</v>
      </c>
      <c r="H89" t="n">
        <v>0</v>
      </c>
      <c r="I89" t="n">
        <v>0</v>
      </c>
      <c r="J89" t="n">
        <v>0</v>
      </c>
      <c r="K89" t="n">
        <v>0</v>
      </c>
      <c r="L89" t="n">
        <v>0</v>
      </c>
      <c r="M89" t="n">
        <v>0</v>
      </c>
      <c r="N89" t="n">
        <v>0</v>
      </c>
      <c r="O89" t="n">
        <v>0</v>
      </c>
      <c r="P89" t="n">
        <v>0</v>
      </c>
      <c r="Q89" t="n">
        <v>0</v>
      </c>
      <c r="R89" s="2" t="inlineStr"/>
    </row>
    <row r="90" ht="15" customHeight="1">
      <c r="A90" t="inlineStr">
        <is>
          <t>A 26089-2019</t>
        </is>
      </c>
      <c r="B90" s="1" t="n">
        <v>43605</v>
      </c>
      <c r="C90" s="1" t="n">
        <v>45628</v>
      </c>
      <c r="D90" t="inlineStr">
        <is>
          <t>VÄSTERNORRLANDS LÄN</t>
        </is>
      </c>
      <c r="E90" t="inlineStr">
        <is>
          <t>KRAMFORS</t>
        </is>
      </c>
      <c r="G90" t="n">
        <v>0.7</v>
      </c>
      <c r="H90" t="n">
        <v>0</v>
      </c>
      <c r="I90" t="n">
        <v>0</v>
      </c>
      <c r="J90" t="n">
        <v>0</v>
      </c>
      <c r="K90" t="n">
        <v>0</v>
      </c>
      <c r="L90" t="n">
        <v>0</v>
      </c>
      <c r="M90" t="n">
        <v>0</v>
      </c>
      <c r="N90" t="n">
        <v>0</v>
      </c>
      <c r="O90" t="n">
        <v>0</v>
      </c>
      <c r="P90" t="n">
        <v>0</v>
      </c>
      <c r="Q90" t="n">
        <v>0</v>
      </c>
      <c r="R90" s="2" t="inlineStr"/>
    </row>
    <row r="91" ht="15" customHeight="1">
      <c r="A91" t="inlineStr">
        <is>
          <t>A 25450-2019</t>
        </is>
      </c>
      <c r="B91" s="1" t="n">
        <v>43606</v>
      </c>
      <c r="C91" s="1" t="n">
        <v>45628</v>
      </c>
      <c r="D91" t="inlineStr">
        <is>
          <t>VÄSTERNORRLANDS LÄN</t>
        </is>
      </c>
      <c r="E91" t="inlineStr">
        <is>
          <t>KRAMFORS</t>
        </is>
      </c>
      <c r="G91" t="n">
        <v>0.8</v>
      </c>
      <c r="H91" t="n">
        <v>0</v>
      </c>
      <c r="I91" t="n">
        <v>0</v>
      </c>
      <c r="J91" t="n">
        <v>0</v>
      </c>
      <c r="K91" t="n">
        <v>0</v>
      </c>
      <c r="L91" t="n">
        <v>0</v>
      </c>
      <c r="M91" t="n">
        <v>0</v>
      </c>
      <c r="N91" t="n">
        <v>0</v>
      </c>
      <c r="O91" t="n">
        <v>0</v>
      </c>
      <c r="P91" t="n">
        <v>0</v>
      </c>
      <c r="Q91" t="n">
        <v>0</v>
      </c>
      <c r="R91" s="2" t="inlineStr"/>
    </row>
    <row r="92" ht="15" customHeight="1">
      <c r="A92" t="inlineStr">
        <is>
          <t>A 25995-2019</t>
        </is>
      </c>
      <c r="B92" s="1" t="n">
        <v>43608</v>
      </c>
      <c r="C92" s="1" t="n">
        <v>45628</v>
      </c>
      <c r="D92" t="inlineStr">
        <is>
          <t>VÄSTERNORRLANDS LÄN</t>
        </is>
      </c>
      <c r="E92" t="inlineStr">
        <is>
          <t>KRAMFORS</t>
        </is>
      </c>
      <c r="G92" t="n">
        <v>1.6</v>
      </c>
      <c r="H92" t="n">
        <v>0</v>
      </c>
      <c r="I92" t="n">
        <v>0</v>
      </c>
      <c r="J92" t="n">
        <v>0</v>
      </c>
      <c r="K92" t="n">
        <v>0</v>
      </c>
      <c r="L92" t="n">
        <v>0</v>
      </c>
      <c r="M92" t="n">
        <v>0</v>
      </c>
      <c r="N92" t="n">
        <v>0</v>
      </c>
      <c r="O92" t="n">
        <v>0</v>
      </c>
      <c r="P92" t="n">
        <v>0</v>
      </c>
      <c r="Q92" t="n">
        <v>0</v>
      </c>
      <c r="R92" s="2" t="inlineStr"/>
    </row>
    <row r="93" ht="15" customHeight="1">
      <c r="A93" t="inlineStr">
        <is>
          <t>A 25996-2019</t>
        </is>
      </c>
      <c r="B93" s="1" t="n">
        <v>43608</v>
      </c>
      <c r="C93" s="1" t="n">
        <v>45628</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26062-2019</t>
        </is>
      </c>
      <c r="B94" s="1" t="n">
        <v>43609</v>
      </c>
      <c r="C94" s="1" t="n">
        <v>45628</v>
      </c>
      <c r="D94" t="inlineStr">
        <is>
          <t>VÄSTERNORRLANDS LÄN</t>
        </is>
      </c>
      <c r="E94" t="inlineStr">
        <is>
          <t>KRAMFORS</t>
        </is>
      </c>
      <c r="G94" t="n">
        <v>0.9</v>
      </c>
      <c r="H94" t="n">
        <v>0</v>
      </c>
      <c r="I94" t="n">
        <v>0</v>
      </c>
      <c r="J94" t="n">
        <v>0</v>
      </c>
      <c r="K94" t="n">
        <v>0</v>
      </c>
      <c r="L94" t="n">
        <v>0</v>
      </c>
      <c r="M94" t="n">
        <v>0</v>
      </c>
      <c r="N94" t="n">
        <v>0</v>
      </c>
      <c r="O94" t="n">
        <v>0</v>
      </c>
      <c r="P94" t="n">
        <v>0</v>
      </c>
      <c r="Q94" t="n">
        <v>0</v>
      </c>
      <c r="R94" s="2" t="inlineStr"/>
    </row>
    <row r="95" ht="15" customHeight="1">
      <c r="A95" t="inlineStr">
        <is>
          <t>A 26300-2019</t>
        </is>
      </c>
      <c r="B95" s="1" t="n">
        <v>43612</v>
      </c>
      <c r="C95" s="1" t="n">
        <v>45628</v>
      </c>
      <c r="D95" t="inlineStr">
        <is>
          <t>VÄSTERNORRLANDS LÄN</t>
        </is>
      </c>
      <c r="E95" t="inlineStr">
        <is>
          <t>KRAMFORS</t>
        </is>
      </c>
      <c r="G95" t="n">
        <v>2.2</v>
      </c>
      <c r="H95" t="n">
        <v>0</v>
      </c>
      <c r="I95" t="n">
        <v>0</v>
      </c>
      <c r="J95" t="n">
        <v>0</v>
      </c>
      <c r="K95" t="n">
        <v>0</v>
      </c>
      <c r="L95" t="n">
        <v>0</v>
      </c>
      <c r="M95" t="n">
        <v>0</v>
      </c>
      <c r="N95" t="n">
        <v>0</v>
      </c>
      <c r="O95" t="n">
        <v>0</v>
      </c>
      <c r="P95" t="n">
        <v>0</v>
      </c>
      <c r="Q95" t="n">
        <v>0</v>
      </c>
      <c r="R95" s="2" t="inlineStr"/>
    </row>
    <row r="96" ht="15" customHeight="1">
      <c r="A96" t="inlineStr">
        <is>
          <t>A 27896-2019</t>
        </is>
      </c>
      <c r="B96" s="1" t="n">
        <v>43620</v>
      </c>
      <c r="C96" s="1" t="n">
        <v>45628</v>
      </c>
      <c r="D96" t="inlineStr">
        <is>
          <t>VÄSTERNORRLANDS LÄN</t>
        </is>
      </c>
      <c r="E96" t="inlineStr">
        <is>
          <t>KRAMFORS</t>
        </is>
      </c>
      <c r="G96" t="n">
        <v>1.9</v>
      </c>
      <c r="H96" t="n">
        <v>0</v>
      </c>
      <c r="I96" t="n">
        <v>0</v>
      </c>
      <c r="J96" t="n">
        <v>0</v>
      </c>
      <c r="K96" t="n">
        <v>0</v>
      </c>
      <c r="L96" t="n">
        <v>0</v>
      </c>
      <c r="M96" t="n">
        <v>0</v>
      </c>
      <c r="N96" t="n">
        <v>0</v>
      </c>
      <c r="O96" t="n">
        <v>0</v>
      </c>
      <c r="P96" t="n">
        <v>0</v>
      </c>
      <c r="Q96" t="n">
        <v>0</v>
      </c>
      <c r="R96" s="2" t="inlineStr"/>
    </row>
    <row r="97" ht="15" customHeight="1">
      <c r="A97" t="inlineStr">
        <is>
          <t>A 27895-2019</t>
        </is>
      </c>
      <c r="B97" s="1" t="n">
        <v>43620</v>
      </c>
      <c r="C97" s="1" t="n">
        <v>45628</v>
      </c>
      <c r="D97" t="inlineStr">
        <is>
          <t>VÄSTERNORRLANDS LÄN</t>
        </is>
      </c>
      <c r="E97" t="inlineStr">
        <is>
          <t>KRAMFORS</t>
        </is>
      </c>
      <c r="G97" t="n">
        <v>1.4</v>
      </c>
      <c r="H97" t="n">
        <v>0</v>
      </c>
      <c r="I97" t="n">
        <v>0</v>
      </c>
      <c r="J97" t="n">
        <v>0</v>
      </c>
      <c r="K97" t="n">
        <v>0</v>
      </c>
      <c r="L97" t="n">
        <v>0</v>
      </c>
      <c r="M97" t="n">
        <v>0</v>
      </c>
      <c r="N97" t="n">
        <v>0</v>
      </c>
      <c r="O97" t="n">
        <v>0</v>
      </c>
      <c r="P97" t="n">
        <v>0</v>
      </c>
      <c r="Q97" t="n">
        <v>0</v>
      </c>
      <c r="R97" s="2" t="inlineStr"/>
    </row>
    <row r="98" ht="15" customHeight="1">
      <c r="A98" t="inlineStr">
        <is>
          <t>A 27972-2019</t>
        </is>
      </c>
      <c r="B98" s="1" t="n">
        <v>43620</v>
      </c>
      <c r="C98" s="1" t="n">
        <v>45628</v>
      </c>
      <c r="D98" t="inlineStr">
        <is>
          <t>VÄSTERNORRLANDS LÄN</t>
        </is>
      </c>
      <c r="E98" t="inlineStr">
        <is>
          <t>KRAMFORS</t>
        </is>
      </c>
      <c r="G98" t="n">
        <v>2.7</v>
      </c>
      <c r="H98" t="n">
        <v>0</v>
      </c>
      <c r="I98" t="n">
        <v>0</v>
      </c>
      <c r="J98" t="n">
        <v>0</v>
      </c>
      <c r="K98" t="n">
        <v>0</v>
      </c>
      <c r="L98" t="n">
        <v>0</v>
      </c>
      <c r="M98" t="n">
        <v>0</v>
      </c>
      <c r="N98" t="n">
        <v>0</v>
      </c>
      <c r="O98" t="n">
        <v>0</v>
      </c>
      <c r="P98" t="n">
        <v>0</v>
      </c>
      <c r="Q98" t="n">
        <v>0</v>
      </c>
      <c r="R98" s="2" t="inlineStr"/>
    </row>
    <row r="99" ht="15" customHeight="1">
      <c r="A99" t="inlineStr">
        <is>
          <t>A 28603-2019</t>
        </is>
      </c>
      <c r="B99" s="1" t="n">
        <v>43626</v>
      </c>
      <c r="C99" s="1" t="n">
        <v>45628</v>
      </c>
      <c r="D99" t="inlineStr">
        <is>
          <t>VÄSTERNORRLANDS LÄN</t>
        </is>
      </c>
      <c r="E99" t="inlineStr">
        <is>
          <t>KRAMFORS</t>
        </is>
      </c>
      <c r="G99" t="n">
        <v>9.199999999999999</v>
      </c>
      <c r="H99" t="n">
        <v>0</v>
      </c>
      <c r="I99" t="n">
        <v>0</v>
      </c>
      <c r="J99" t="n">
        <v>0</v>
      </c>
      <c r="K99" t="n">
        <v>0</v>
      </c>
      <c r="L99" t="n">
        <v>0</v>
      </c>
      <c r="M99" t="n">
        <v>0</v>
      </c>
      <c r="N99" t="n">
        <v>0</v>
      </c>
      <c r="O99" t="n">
        <v>0</v>
      </c>
      <c r="P99" t="n">
        <v>0</v>
      </c>
      <c r="Q99" t="n">
        <v>0</v>
      </c>
      <c r="R99" s="2" t="inlineStr"/>
    </row>
    <row r="100" ht="15" customHeight="1">
      <c r="A100" t="inlineStr">
        <is>
          <t>A 28602-2019</t>
        </is>
      </c>
      <c r="B100" s="1" t="n">
        <v>43626</v>
      </c>
      <c r="C100" s="1" t="n">
        <v>45628</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28516-2019</t>
        </is>
      </c>
      <c r="B101" s="1" t="n">
        <v>43626</v>
      </c>
      <c r="C101" s="1" t="n">
        <v>45628</v>
      </c>
      <c r="D101" t="inlineStr">
        <is>
          <t>VÄSTERNORRLANDS LÄN</t>
        </is>
      </c>
      <c r="E101" t="inlineStr">
        <is>
          <t>KRAMFORS</t>
        </is>
      </c>
      <c r="G101" t="n">
        <v>2.5</v>
      </c>
      <c r="H101" t="n">
        <v>0</v>
      </c>
      <c r="I101" t="n">
        <v>0</v>
      </c>
      <c r="J101" t="n">
        <v>0</v>
      </c>
      <c r="K101" t="n">
        <v>0</v>
      </c>
      <c r="L101" t="n">
        <v>0</v>
      </c>
      <c r="M101" t="n">
        <v>0</v>
      </c>
      <c r="N101" t="n">
        <v>0</v>
      </c>
      <c r="O101" t="n">
        <v>0</v>
      </c>
      <c r="P101" t="n">
        <v>0</v>
      </c>
      <c r="Q101" t="n">
        <v>0</v>
      </c>
      <c r="R101" s="2" t="inlineStr"/>
    </row>
    <row r="102" ht="15" customHeight="1">
      <c r="A102" t="inlineStr">
        <is>
          <t>A 28792-2019</t>
        </is>
      </c>
      <c r="B102" s="1" t="n">
        <v>43627</v>
      </c>
      <c r="C102" s="1" t="n">
        <v>45628</v>
      </c>
      <c r="D102" t="inlineStr">
        <is>
          <t>VÄSTERNORRLANDS LÄN</t>
        </is>
      </c>
      <c r="E102" t="inlineStr">
        <is>
          <t>KRAMFORS</t>
        </is>
      </c>
      <c r="G102" t="n">
        <v>0.8</v>
      </c>
      <c r="H102" t="n">
        <v>0</v>
      </c>
      <c r="I102" t="n">
        <v>0</v>
      </c>
      <c r="J102" t="n">
        <v>0</v>
      </c>
      <c r="K102" t="n">
        <v>0</v>
      </c>
      <c r="L102" t="n">
        <v>0</v>
      </c>
      <c r="M102" t="n">
        <v>0</v>
      </c>
      <c r="N102" t="n">
        <v>0</v>
      </c>
      <c r="O102" t="n">
        <v>0</v>
      </c>
      <c r="P102" t="n">
        <v>0</v>
      </c>
      <c r="Q102" t="n">
        <v>0</v>
      </c>
      <c r="R102" s="2" t="inlineStr"/>
    </row>
    <row r="103" ht="15" customHeight="1">
      <c r="A103" t="inlineStr">
        <is>
          <t>A 30985-2019</t>
        </is>
      </c>
      <c r="B103" s="1" t="n">
        <v>43640</v>
      </c>
      <c r="C103" s="1" t="n">
        <v>45628</v>
      </c>
      <c r="D103" t="inlineStr">
        <is>
          <t>VÄSTERNORRLANDS LÄN</t>
        </is>
      </c>
      <c r="E103" t="inlineStr">
        <is>
          <t>KRAMFORS</t>
        </is>
      </c>
      <c r="G103" t="n">
        <v>7.1</v>
      </c>
      <c r="H103" t="n">
        <v>0</v>
      </c>
      <c r="I103" t="n">
        <v>0</v>
      </c>
      <c r="J103" t="n">
        <v>0</v>
      </c>
      <c r="K103" t="n">
        <v>0</v>
      </c>
      <c r="L103" t="n">
        <v>0</v>
      </c>
      <c r="M103" t="n">
        <v>0</v>
      </c>
      <c r="N103" t="n">
        <v>0</v>
      </c>
      <c r="O103" t="n">
        <v>0</v>
      </c>
      <c r="P103" t="n">
        <v>0</v>
      </c>
      <c r="Q103" t="n">
        <v>0</v>
      </c>
      <c r="R103" s="2" t="inlineStr"/>
    </row>
    <row r="104" ht="15" customHeight="1">
      <c r="A104" t="inlineStr">
        <is>
          <t>A 32737-2019</t>
        </is>
      </c>
      <c r="B104" s="1" t="n">
        <v>43647</v>
      </c>
      <c r="C104" s="1" t="n">
        <v>45628</v>
      </c>
      <c r="D104" t="inlineStr">
        <is>
          <t>VÄSTERNORRLANDS LÄN</t>
        </is>
      </c>
      <c r="E104" t="inlineStr">
        <is>
          <t>KRAMFORS</t>
        </is>
      </c>
      <c r="G104" t="n">
        <v>1.8</v>
      </c>
      <c r="H104" t="n">
        <v>0</v>
      </c>
      <c r="I104" t="n">
        <v>0</v>
      </c>
      <c r="J104" t="n">
        <v>0</v>
      </c>
      <c r="K104" t="n">
        <v>0</v>
      </c>
      <c r="L104" t="n">
        <v>0</v>
      </c>
      <c r="M104" t="n">
        <v>0</v>
      </c>
      <c r="N104" t="n">
        <v>0</v>
      </c>
      <c r="O104" t="n">
        <v>0</v>
      </c>
      <c r="P104" t="n">
        <v>0</v>
      </c>
      <c r="Q104" t="n">
        <v>0</v>
      </c>
      <c r="R104" s="2" t="inlineStr"/>
    </row>
    <row r="105" ht="15" customHeight="1">
      <c r="A105" t="inlineStr">
        <is>
          <t>A 33965-2019</t>
        </is>
      </c>
      <c r="B105" s="1" t="n">
        <v>43654</v>
      </c>
      <c r="C105" s="1" t="n">
        <v>45628</v>
      </c>
      <c r="D105" t="inlineStr">
        <is>
          <t>VÄSTERNORRLANDS LÄN</t>
        </is>
      </c>
      <c r="E105" t="inlineStr">
        <is>
          <t>KRAMFORS</t>
        </is>
      </c>
      <c r="G105" t="n">
        <v>6.8</v>
      </c>
      <c r="H105" t="n">
        <v>0</v>
      </c>
      <c r="I105" t="n">
        <v>0</v>
      </c>
      <c r="J105" t="n">
        <v>0</v>
      </c>
      <c r="K105" t="n">
        <v>0</v>
      </c>
      <c r="L105" t="n">
        <v>0</v>
      </c>
      <c r="M105" t="n">
        <v>0</v>
      </c>
      <c r="N105" t="n">
        <v>0</v>
      </c>
      <c r="O105" t="n">
        <v>0</v>
      </c>
      <c r="P105" t="n">
        <v>0</v>
      </c>
      <c r="Q105" t="n">
        <v>0</v>
      </c>
      <c r="R105" s="2" t="inlineStr"/>
    </row>
    <row r="106" ht="15" customHeight="1">
      <c r="A106" t="inlineStr">
        <is>
          <t>A 34677-2019</t>
        </is>
      </c>
      <c r="B106" s="1" t="n">
        <v>43657</v>
      </c>
      <c r="C106" s="1" t="n">
        <v>45628</v>
      </c>
      <c r="D106" t="inlineStr">
        <is>
          <t>VÄSTERNORRLANDS LÄN</t>
        </is>
      </c>
      <c r="E106" t="inlineStr">
        <is>
          <t>KRAMFORS</t>
        </is>
      </c>
      <c r="G106" t="n">
        <v>10.1</v>
      </c>
      <c r="H106" t="n">
        <v>0</v>
      </c>
      <c r="I106" t="n">
        <v>0</v>
      </c>
      <c r="J106" t="n">
        <v>0</v>
      </c>
      <c r="K106" t="n">
        <v>0</v>
      </c>
      <c r="L106" t="n">
        <v>0</v>
      </c>
      <c r="M106" t="n">
        <v>0</v>
      </c>
      <c r="N106" t="n">
        <v>0</v>
      </c>
      <c r="O106" t="n">
        <v>0</v>
      </c>
      <c r="P106" t="n">
        <v>0</v>
      </c>
      <c r="Q106" t="n">
        <v>0</v>
      </c>
      <c r="R106" s="2" t="inlineStr"/>
    </row>
    <row r="107" ht="15" customHeight="1">
      <c r="A107" t="inlineStr">
        <is>
          <t>A 37986-2019</t>
        </is>
      </c>
      <c r="B107" s="1" t="n">
        <v>43682</v>
      </c>
      <c r="C107" s="1" t="n">
        <v>45628</v>
      </c>
      <c r="D107" t="inlineStr">
        <is>
          <t>VÄSTERNORRLANDS LÄN</t>
        </is>
      </c>
      <c r="E107" t="inlineStr">
        <is>
          <t>KRAMFORS</t>
        </is>
      </c>
      <c r="G107" t="n">
        <v>0.4</v>
      </c>
      <c r="H107" t="n">
        <v>0</v>
      </c>
      <c r="I107" t="n">
        <v>0</v>
      </c>
      <c r="J107" t="n">
        <v>0</v>
      </c>
      <c r="K107" t="n">
        <v>0</v>
      </c>
      <c r="L107" t="n">
        <v>0</v>
      </c>
      <c r="M107" t="n">
        <v>0</v>
      </c>
      <c r="N107" t="n">
        <v>0</v>
      </c>
      <c r="O107" t="n">
        <v>0</v>
      </c>
      <c r="P107" t="n">
        <v>0</v>
      </c>
      <c r="Q107" t="n">
        <v>0</v>
      </c>
      <c r="R107" s="2" t="inlineStr"/>
    </row>
    <row r="108" ht="15" customHeight="1">
      <c r="A108" t="inlineStr">
        <is>
          <t>A 37914-2019</t>
        </is>
      </c>
      <c r="B108" s="1" t="n">
        <v>43683</v>
      </c>
      <c r="C108" s="1" t="n">
        <v>45628</v>
      </c>
      <c r="D108" t="inlineStr">
        <is>
          <t>VÄSTERNORRLANDS LÄN</t>
        </is>
      </c>
      <c r="E108" t="inlineStr">
        <is>
          <t>KRAMFORS</t>
        </is>
      </c>
      <c r="G108" t="n">
        <v>3.8</v>
      </c>
      <c r="H108" t="n">
        <v>0</v>
      </c>
      <c r="I108" t="n">
        <v>0</v>
      </c>
      <c r="J108" t="n">
        <v>0</v>
      </c>
      <c r="K108" t="n">
        <v>0</v>
      </c>
      <c r="L108" t="n">
        <v>0</v>
      </c>
      <c r="M108" t="n">
        <v>0</v>
      </c>
      <c r="N108" t="n">
        <v>0</v>
      </c>
      <c r="O108" t="n">
        <v>0</v>
      </c>
      <c r="P108" t="n">
        <v>0</v>
      </c>
      <c r="Q108" t="n">
        <v>0</v>
      </c>
      <c r="R108" s="2" t="inlineStr"/>
    </row>
    <row r="109" ht="15" customHeight="1">
      <c r="A109" t="inlineStr">
        <is>
          <t>A 39395-2019</t>
        </is>
      </c>
      <c r="B109" s="1" t="n">
        <v>43690</v>
      </c>
      <c r="C109" s="1" t="n">
        <v>45628</v>
      </c>
      <c r="D109" t="inlineStr">
        <is>
          <t>VÄSTERNORRLANDS LÄN</t>
        </is>
      </c>
      <c r="E109" t="inlineStr">
        <is>
          <t>KRAMFORS</t>
        </is>
      </c>
      <c r="F109" t="inlineStr">
        <is>
          <t>SCA</t>
        </is>
      </c>
      <c r="G109" t="n">
        <v>2.9</v>
      </c>
      <c r="H109" t="n">
        <v>0</v>
      </c>
      <c r="I109" t="n">
        <v>0</v>
      </c>
      <c r="J109" t="n">
        <v>0</v>
      </c>
      <c r="K109" t="n">
        <v>0</v>
      </c>
      <c r="L109" t="n">
        <v>0</v>
      </c>
      <c r="M109" t="n">
        <v>0</v>
      </c>
      <c r="N109" t="n">
        <v>0</v>
      </c>
      <c r="O109" t="n">
        <v>0</v>
      </c>
      <c r="P109" t="n">
        <v>0</v>
      </c>
      <c r="Q109" t="n">
        <v>0</v>
      </c>
      <c r="R109" s="2" t="inlineStr"/>
    </row>
    <row r="110" ht="15" customHeight="1">
      <c r="A110" t="inlineStr">
        <is>
          <t>A 40481-2019</t>
        </is>
      </c>
      <c r="B110" s="1" t="n">
        <v>43696</v>
      </c>
      <c r="C110" s="1" t="n">
        <v>45628</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40516-2019</t>
        </is>
      </c>
      <c r="B111" s="1" t="n">
        <v>43696</v>
      </c>
      <c r="C111" s="1" t="n">
        <v>45628</v>
      </c>
      <c r="D111" t="inlineStr">
        <is>
          <t>VÄSTERNORRLANDS LÄN</t>
        </is>
      </c>
      <c r="E111" t="inlineStr">
        <is>
          <t>KRAMFORS</t>
        </is>
      </c>
      <c r="G111" t="n">
        <v>16.7</v>
      </c>
      <c r="H111" t="n">
        <v>0</v>
      </c>
      <c r="I111" t="n">
        <v>0</v>
      </c>
      <c r="J111" t="n">
        <v>0</v>
      </c>
      <c r="K111" t="n">
        <v>0</v>
      </c>
      <c r="L111" t="n">
        <v>0</v>
      </c>
      <c r="M111" t="n">
        <v>0</v>
      </c>
      <c r="N111" t="n">
        <v>0</v>
      </c>
      <c r="O111" t="n">
        <v>0</v>
      </c>
      <c r="P111" t="n">
        <v>0</v>
      </c>
      <c r="Q111" t="n">
        <v>0</v>
      </c>
      <c r="R111" s="2" t="inlineStr"/>
    </row>
    <row r="112" ht="15" customHeight="1">
      <c r="A112" t="inlineStr">
        <is>
          <t>A 40480-2019</t>
        </is>
      </c>
      <c r="B112" s="1" t="n">
        <v>43696</v>
      </c>
      <c r="C112" s="1" t="n">
        <v>45628</v>
      </c>
      <c r="D112" t="inlineStr">
        <is>
          <t>VÄSTERNORRLANDS LÄN</t>
        </is>
      </c>
      <c r="E112" t="inlineStr">
        <is>
          <t>KRAMFORS</t>
        </is>
      </c>
      <c r="G112" t="n">
        <v>4.4</v>
      </c>
      <c r="H112" t="n">
        <v>0</v>
      </c>
      <c r="I112" t="n">
        <v>0</v>
      </c>
      <c r="J112" t="n">
        <v>0</v>
      </c>
      <c r="K112" t="n">
        <v>0</v>
      </c>
      <c r="L112" t="n">
        <v>0</v>
      </c>
      <c r="M112" t="n">
        <v>0</v>
      </c>
      <c r="N112" t="n">
        <v>0</v>
      </c>
      <c r="O112" t="n">
        <v>0</v>
      </c>
      <c r="P112" t="n">
        <v>0</v>
      </c>
      <c r="Q112" t="n">
        <v>0</v>
      </c>
      <c r="R112" s="2" t="inlineStr"/>
    </row>
    <row r="113" ht="15" customHeight="1">
      <c r="A113" t="inlineStr">
        <is>
          <t>A 43201-2019</t>
        </is>
      </c>
      <c r="B113" s="1" t="n">
        <v>43705</v>
      </c>
      <c r="C113" s="1" t="n">
        <v>45628</v>
      </c>
      <c r="D113" t="inlineStr">
        <is>
          <t>VÄSTERNORRLANDS LÄN</t>
        </is>
      </c>
      <c r="E113" t="inlineStr">
        <is>
          <t>KRAMFORS</t>
        </is>
      </c>
      <c r="F113" t="inlineStr">
        <is>
          <t>SCA</t>
        </is>
      </c>
      <c r="G113" t="n">
        <v>16.6</v>
      </c>
      <c r="H113" t="n">
        <v>0</v>
      </c>
      <c r="I113" t="n">
        <v>0</v>
      </c>
      <c r="J113" t="n">
        <v>0</v>
      </c>
      <c r="K113" t="n">
        <v>0</v>
      </c>
      <c r="L113" t="n">
        <v>0</v>
      </c>
      <c r="M113" t="n">
        <v>0</v>
      </c>
      <c r="N113" t="n">
        <v>0</v>
      </c>
      <c r="O113" t="n">
        <v>0</v>
      </c>
      <c r="P113" t="n">
        <v>0</v>
      </c>
      <c r="Q113" t="n">
        <v>0</v>
      </c>
      <c r="R113" s="2" t="inlineStr"/>
    </row>
    <row r="114" ht="15" customHeight="1">
      <c r="A114" t="inlineStr">
        <is>
          <t>A 44328-2019</t>
        </is>
      </c>
      <c r="B114" s="1" t="n">
        <v>43710</v>
      </c>
      <c r="C114" s="1" t="n">
        <v>45628</v>
      </c>
      <c r="D114" t="inlineStr">
        <is>
          <t>VÄSTERNORRLANDS LÄN</t>
        </is>
      </c>
      <c r="E114" t="inlineStr">
        <is>
          <t>KRAMFORS</t>
        </is>
      </c>
      <c r="G114" t="n">
        <v>2.7</v>
      </c>
      <c r="H114" t="n">
        <v>0</v>
      </c>
      <c r="I114" t="n">
        <v>0</v>
      </c>
      <c r="J114" t="n">
        <v>0</v>
      </c>
      <c r="K114" t="n">
        <v>0</v>
      </c>
      <c r="L114" t="n">
        <v>0</v>
      </c>
      <c r="M114" t="n">
        <v>0</v>
      </c>
      <c r="N114" t="n">
        <v>0</v>
      </c>
      <c r="O114" t="n">
        <v>0</v>
      </c>
      <c r="P114" t="n">
        <v>0</v>
      </c>
      <c r="Q114" t="n">
        <v>0</v>
      </c>
      <c r="R114" s="2" t="inlineStr"/>
    </row>
    <row r="115" ht="15" customHeight="1">
      <c r="A115" t="inlineStr">
        <is>
          <t>A 44317-2019</t>
        </is>
      </c>
      <c r="B115" s="1" t="n">
        <v>43710</v>
      </c>
      <c r="C115" s="1" t="n">
        <v>45628</v>
      </c>
      <c r="D115" t="inlineStr">
        <is>
          <t>VÄSTERNORRLANDS LÄN</t>
        </is>
      </c>
      <c r="E115" t="inlineStr">
        <is>
          <t>KRAMFORS</t>
        </is>
      </c>
      <c r="G115" t="n">
        <v>5.5</v>
      </c>
      <c r="H115" t="n">
        <v>0</v>
      </c>
      <c r="I115" t="n">
        <v>0</v>
      </c>
      <c r="J115" t="n">
        <v>0</v>
      </c>
      <c r="K115" t="n">
        <v>0</v>
      </c>
      <c r="L115" t="n">
        <v>0</v>
      </c>
      <c r="M115" t="n">
        <v>0</v>
      </c>
      <c r="N115" t="n">
        <v>0</v>
      </c>
      <c r="O115" t="n">
        <v>0</v>
      </c>
      <c r="P115" t="n">
        <v>0</v>
      </c>
      <c r="Q115" t="n">
        <v>0</v>
      </c>
      <c r="R115" s="2" t="inlineStr"/>
    </row>
    <row r="116" ht="15" customHeight="1">
      <c r="A116" t="inlineStr">
        <is>
          <t>A 44772-2019</t>
        </is>
      </c>
      <c r="B116" s="1" t="n">
        <v>43712</v>
      </c>
      <c r="C116" s="1" t="n">
        <v>45628</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46583-2019</t>
        </is>
      </c>
      <c r="B117" s="1" t="n">
        <v>43717</v>
      </c>
      <c r="C117" s="1" t="n">
        <v>45628</v>
      </c>
      <c r="D117" t="inlineStr">
        <is>
          <t>VÄSTERNORRLANDS LÄN</t>
        </is>
      </c>
      <c r="E117" t="inlineStr">
        <is>
          <t>KRAMFORS</t>
        </is>
      </c>
      <c r="G117" t="n">
        <v>0.7</v>
      </c>
      <c r="H117" t="n">
        <v>0</v>
      </c>
      <c r="I117" t="n">
        <v>0</v>
      </c>
      <c r="J117" t="n">
        <v>0</v>
      </c>
      <c r="K117" t="n">
        <v>0</v>
      </c>
      <c r="L117" t="n">
        <v>0</v>
      </c>
      <c r="M117" t="n">
        <v>0</v>
      </c>
      <c r="N117" t="n">
        <v>0</v>
      </c>
      <c r="O117" t="n">
        <v>0</v>
      </c>
      <c r="P117" t="n">
        <v>0</v>
      </c>
      <c r="Q117" t="n">
        <v>0</v>
      </c>
      <c r="R117" s="2" t="inlineStr"/>
    </row>
    <row r="118" ht="15" customHeight="1">
      <c r="A118" t="inlineStr">
        <is>
          <t>A 46527-2019</t>
        </is>
      </c>
      <c r="B118" s="1" t="n">
        <v>43717</v>
      </c>
      <c r="C118" s="1" t="n">
        <v>45628</v>
      </c>
      <c r="D118" t="inlineStr">
        <is>
          <t>VÄSTERNORRLANDS LÄN</t>
        </is>
      </c>
      <c r="E118" t="inlineStr">
        <is>
          <t>KRAMFORS</t>
        </is>
      </c>
      <c r="G118" t="n">
        <v>0.9</v>
      </c>
      <c r="H118" t="n">
        <v>0</v>
      </c>
      <c r="I118" t="n">
        <v>0</v>
      </c>
      <c r="J118" t="n">
        <v>0</v>
      </c>
      <c r="K118" t="n">
        <v>0</v>
      </c>
      <c r="L118" t="n">
        <v>0</v>
      </c>
      <c r="M118" t="n">
        <v>0</v>
      </c>
      <c r="N118" t="n">
        <v>0</v>
      </c>
      <c r="O118" t="n">
        <v>0</v>
      </c>
      <c r="P118" t="n">
        <v>0</v>
      </c>
      <c r="Q118" t="n">
        <v>0</v>
      </c>
      <c r="R118" s="2" t="inlineStr"/>
    </row>
    <row r="119" ht="15" customHeight="1">
      <c r="A119" t="inlineStr">
        <is>
          <t>A 47832-2019</t>
        </is>
      </c>
      <c r="B119" s="1" t="n">
        <v>43724</v>
      </c>
      <c r="C119" s="1" t="n">
        <v>45628</v>
      </c>
      <c r="D119" t="inlineStr">
        <is>
          <t>VÄSTERNORRLANDS LÄN</t>
        </is>
      </c>
      <c r="E119" t="inlineStr">
        <is>
          <t>KRAMFORS</t>
        </is>
      </c>
      <c r="G119" t="n">
        <v>4.5</v>
      </c>
      <c r="H119" t="n">
        <v>0</v>
      </c>
      <c r="I119" t="n">
        <v>0</v>
      </c>
      <c r="J119" t="n">
        <v>0</v>
      </c>
      <c r="K119" t="n">
        <v>0</v>
      </c>
      <c r="L119" t="n">
        <v>0</v>
      </c>
      <c r="M119" t="n">
        <v>0</v>
      </c>
      <c r="N119" t="n">
        <v>0</v>
      </c>
      <c r="O119" t="n">
        <v>0</v>
      </c>
      <c r="P119" t="n">
        <v>0</v>
      </c>
      <c r="Q119" t="n">
        <v>0</v>
      </c>
      <c r="R119" s="2" t="inlineStr"/>
    </row>
    <row r="120" ht="15" customHeight="1">
      <c r="A120" t="inlineStr">
        <is>
          <t>A 49137-2019</t>
        </is>
      </c>
      <c r="B120" s="1" t="n">
        <v>43727</v>
      </c>
      <c r="C120" s="1" t="n">
        <v>45628</v>
      </c>
      <c r="D120" t="inlineStr">
        <is>
          <t>VÄSTERNORRLANDS LÄN</t>
        </is>
      </c>
      <c r="E120" t="inlineStr">
        <is>
          <t>KRAMFORS</t>
        </is>
      </c>
      <c r="G120" t="n">
        <v>14.2</v>
      </c>
      <c r="H120" t="n">
        <v>0</v>
      </c>
      <c r="I120" t="n">
        <v>0</v>
      </c>
      <c r="J120" t="n">
        <v>0</v>
      </c>
      <c r="K120" t="n">
        <v>0</v>
      </c>
      <c r="L120" t="n">
        <v>0</v>
      </c>
      <c r="M120" t="n">
        <v>0</v>
      </c>
      <c r="N120" t="n">
        <v>0</v>
      </c>
      <c r="O120" t="n">
        <v>0</v>
      </c>
      <c r="P120" t="n">
        <v>0</v>
      </c>
      <c r="Q120" t="n">
        <v>0</v>
      </c>
      <c r="R120" s="2" t="inlineStr"/>
    </row>
    <row r="121" ht="15" customHeight="1">
      <c r="A121" t="inlineStr">
        <is>
          <t>A 49188-2019</t>
        </is>
      </c>
      <c r="B121" s="1" t="n">
        <v>43728</v>
      </c>
      <c r="C121" s="1" t="n">
        <v>45628</v>
      </c>
      <c r="D121" t="inlineStr">
        <is>
          <t>VÄSTERNORRLANDS LÄN</t>
        </is>
      </c>
      <c r="E121" t="inlineStr">
        <is>
          <t>KRAMFORS</t>
        </is>
      </c>
      <c r="F121" t="inlineStr">
        <is>
          <t>Kommuner</t>
        </is>
      </c>
      <c r="G121" t="n">
        <v>4.2</v>
      </c>
      <c r="H121" t="n">
        <v>0</v>
      </c>
      <c r="I121" t="n">
        <v>0</v>
      </c>
      <c r="J121" t="n">
        <v>0</v>
      </c>
      <c r="K121" t="n">
        <v>0</v>
      </c>
      <c r="L121" t="n">
        <v>0</v>
      </c>
      <c r="M121" t="n">
        <v>0</v>
      </c>
      <c r="N121" t="n">
        <v>0</v>
      </c>
      <c r="O121" t="n">
        <v>0</v>
      </c>
      <c r="P121" t="n">
        <v>0</v>
      </c>
      <c r="Q121" t="n">
        <v>0</v>
      </c>
      <c r="R121" s="2" t="inlineStr"/>
    </row>
    <row r="122" ht="15" customHeight="1">
      <c r="A122" t="inlineStr">
        <is>
          <t>A 49490-2019</t>
        </is>
      </c>
      <c r="B122" s="1" t="n">
        <v>43732</v>
      </c>
      <c r="C122" s="1" t="n">
        <v>45628</v>
      </c>
      <c r="D122" t="inlineStr">
        <is>
          <t>VÄSTERNORRLANDS LÄN</t>
        </is>
      </c>
      <c r="E122" t="inlineStr">
        <is>
          <t>KRAMFORS</t>
        </is>
      </c>
      <c r="G122" t="n">
        <v>0.6</v>
      </c>
      <c r="H122" t="n">
        <v>0</v>
      </c>
      <c r="I122" t="n">
        <v>0</v>
      </c>
      <c r="J122" t="n">
        <v>0</v>
      </c>
      <c r="K122" t="n">
        <v>0</v>
      </c>
      <c r="L122" t="n">
        <v>0</v>
      </c>
      <c r="M122" t="n">
        <v>0</v>
      </c>
      <c r="N122" t="n">
        <v>0</v>
      </c>
      <c r="O122" t="n">
        <v>0</v>
      </c>
      <c r="P122" t="n">
        <v>0</v>
      </c>
      <c r="Q122" t="n">
        <v>0</v>
      </c>
      <c r="R122" s="2" t="inlineStr"/>
    </row>
    <row r="123" ht="15" customHeight="1">
      <c r="A123" t="inlineStr">
        <is>
          <t>A 51890-2019</t>
        </is>
      </c>
      <c r="B123" s="1" t="n">
        <v>43734</v>
      </c>
      <c r="C123" s="1" t="n">
        <v>45628</v>
      </c>
      <c r="D123" t="inlineStr">
        <is>
          <t>VÄSTERNORRLANDS LÄN</t>
        </is>
      </c>
      <c r="E123" t="inlineStr">
        <is>
          <t>KRAMFORS</t>
        </is>
      </c>
      <c r="F123" t="inlineStr">
        <is>
          <t>Kommuner</t>
        </is>
      </c>
      <c r="G123" t="n">
        <v>6.1</v>
      </c>
      <c r="H123" t="n">
        <v>0</v>
      </c>
      <c r="I123" t="n">
        <v>0</v>
      </c>
      <c r="J123" t="n">
        <v>0</v>
      </c>
      <c r="K123" t="n">
        <v>0</v>
      </c>
      <c r="L123" t="n">
        <v>0</v>
      </c>
      <c r="M123" t="n">
        <v>0</v>
      </c>
      <c r="N123" t="n">
        <v>0</v>
      </c>
      <c r="O123" t="n">
        <v>0</v>
      </c>
      <c r="P123" t="n">
        <v>0</v>
      </c>
      <c r="Q123" t="n">
        <v>0</v>
      </c>
      <c r="R123" s="2" t="inlineStr"/>
    </row>
    <row r="124" ht="15" customHeight="1">
      <c r="A124" t="inlineStr">
        <is>
          <t>A 51323-2019</t>
        </is>
      </c>
      <c r="B124" s="1" t="n">
        <v>43740</v>
      </c>
      <c r="C124" s="1" t="n">
        <v>45628</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51305-2019</t>
        </is>
      </c>
      <c r="B125" s="1" t="n">
        <v>43739</v>
      </c>
      <c r="C125" s="1" t="n">
        <v>45628</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51057-2019</t>
        </is>
      </c>
      <c r="B126" s="1" t="n">
        <v>43739</v>
      </c>
      <c r="C126" s="1" t="n">
        <v>45628</v>
      </c>
      <c r="D126" t="inlineStr">
        <is>
          <t>VÄSTERNORRLANDS LÄN</t>
        </is>
      </c>
      <c r="E126" t="inlineStr">
        <is>
          <t>KRAMFORS</t>
        </is>
      </c>
      <c r="G126" t="n">
        <v>1.4</v>
      </c>
      <c r="H126" t="n">
        <v>0</v>
      </c>
      <c r="I126" t="n">
        <v>0</v>
      </c>
      <c r="J126" t="n">
        <v>0</v>
      </c>
      <c r="K126" t="n">
        <v>0</v>
      </c>
      <c r="L126" t="n">
        <v>0</v>
      </c>
      <c r="M126" t="n">
        <v>0</v>
      </c>
      <c r="N126" t="n">
        <v>0</v>
      </c>
      <c r="O126" t="n">
        <v>0</v>
      </c>
      <c r="P126" t="n">
        <v>0</v>
      </c>
      <c r="Q126" t="n">
        <v>0</v>
      </c>
      <c r="R126" s="2" t="inlineStr"/>
    </row>
    <row r="127" ht="15" customHeight="1">
      <c r="A127" t="inlineStr">
        <is>
          <t>A 51035-2019</t>
        </is>
      </c>
      <c r="B127" s="1" t="n">
        <v>43739</v>
      </c>
      <c r="C127" s="1" t="n">
        <v>45628</v>
      </c>
      <c r="D127" t="inlineStr">
        <is>
          <t>VÄSTERNORRLANDS LÄN</t>
        </is>
      </c>
      <c r="E127" t="inlineStr">
        <is>
          <t>KRAMFORS</t>
        </is>
      </c>
      <c r="G127" t="n">
        <v>6.5</v>
      </c>
      <c r="H127" t="n">
        <v>0</v>
      </c>
      <c r="I127" t="n">
        <v>0</v>
      </c>
      <c r="J127" t="n">
        <v>0</v>
      </c>
      <c r="K127" t="n">
        <v>0</v>
      </c>
      <c r="L127" t="n">
        <v>0</v>
      </c>
      <c r="M127" t="n">
        <v>0</v>
      </c>
      <c r="N127" t="n">
        <v>0</v>
      </c>
      <c r="O127" t="n">
        <v>0</v>
      </c>
      <c r="P127" t="n">
        <v>0</v>
      </c>
      <c r="Q127" t="n">
        <v>0</v>
      </c>
      <c r="R127" s="2" t="inlineStr"/>
    </row>
    <row r="128" ht="15" customHeight="1">
      <c r="A128" t="inlineStr">
        <is>
          <t>A 53167-2019</t>
        </is>
      </c>
      <c r="B128" s="1" t="n">
        <v>43747</v>
      </c>
      <c r="C128" s="1" t="n">
        <v>45628</v>
      </c>
      <c r="D128" t="inlineStr">
        <is>
          <t>VÄSTERNORRLANDS LÄN</t>
        </is>
      </c>
      <c r="E128" t="inlineStr">
        <is>
          <t>KRAMFORS</t>
        </is>
      </c>
      <c r="G128" t="n">
        <v>2.9</v>
      </c>
      <c r="H128" t="n">
        <v>0</v>
      </c>
      <c r="I128" t="n">
        <v>0</v>
      </c>
      <c r="J128" t="n">
        <v>0</v>
      </c>
      <c r="K128" t="n">
        <v>0</v>
      </c>
      <c r="L128" t="n">
        <v>0</v>
      </c>
      <c r="M128" t="n">
        <v>0</v>
      </c>
      <c r="N128" t="n">
        <v>0</v>
      </c>
      <c r="O128" t="n">
        <v>0</v>
      </c>
      <c r="P128" t="n">
        <v>0</v>
      </c>
      <c r="Q128" t="n">
        <v>0</v>
      </c>
      <c r="R128" s="2" t="inlineStr"/>
    </row>
    <row r="129" ht="15" customHeight="1">
      <c r="A129" t="inlineStr">
        <is>
          <t>A 56486-2019</t>
        </is>
      </c>
      <c r="B129" s="1" t="n">
        <v>43762</v>
      </c>
      <c r="C129" s="1" t="n">
        <v>45628</v>
      </c>
      <c r="D129" t="inlineStr">
        <is>
          <t>VÄSTERNORRLANDS LÄN</t>
        </is>
      </c>
      <c r="E129" t="inlineStr">
        <is>
          <t>KRAMFORS</t>
        </is>
      </c>
      <c r="G129" t="n">
        <v>0.6</v>
      </c>
      <c r="H129" t="n">
        <v>0</v>
      </c>
      <c r="I129" t="n">
        <v>0</v>
      </c>
      <c r="J129" t="n">
        <v>0</v>
      </c>
      <c r="K129" t="n">
        <v>0</v>
      </c>
      <c r="L129" t="n">
        <v>0</v>
      </c>
      <c r="M129" t="n">
        <v>0</v>
      </c>
      <c r="N129" t="n">
        <v>0</v>
      </c>
      <c r="O129" t="n">
        <v>0</v>
      </c>
      <c r="P129" t="n">
        <v>0</v>
      </c>
      <c r="Q129" t="n">
        <v>0</v>
      </c>
      <c r="R129" s="2" t="inlineStr"/>
    </row>
    <row r="130" ht="15" customHeight="1">
      <c r="A130" t="inlineStr">
        <is>
          <t>A 56544-2019</t>
        </is>
      </c>
      <c r="B130" s="1" t="n">
        <v>43763</v>
      </c>
      <c r="C130" s="1" t="n">
        <v>45628</v>
      </c>
      <c r="D130" t="inlineStr">
        <is>
          <t>VÄSTERNORRLANDS LÄN</t>
        </is>
      </c>
      <c r="E130" t="inlineStr">
        <is>
          <t>KRAMFORS</t>
        </is>
      </c>
      <c r="G130" t="n">
        <v>31.4</v>
      </c>
      <c r="H130" t="n">
        <v>0</v>
      </c>
      <c r="I130" t="n">
        <v>0</v>
      </c>
      <c r="J130" t="n">
        <v>0</v>
      </c>
      <c r="K130" t="n">
        <v>0</v>
      </c>
      <c r="L130" t="n">
        <v>0</v>
      </c>
      <c r="M130" t="n">
        <v>0</v>
      </c>
      <c r="N130" t="n">
        <v>0</v>
      </c>
      <c r="O130" t="n">
        <v>0</v>
      </c>
      <c r="P130" t="n">
        <v>0</v>
      </c>
      <c r="Q130" t="n">
        <v>0</v>
      </c>
      <c r="R130" s="2" t="inlineStr"/>
    </row>
    <row r="131" ht="15" customHeight="1">
      <c r="A131" t="inlineStr">
        <is>
          <t>A 56988-2019</t>
        </is>
      </c>
      <c r="B131" s="1" t="n">
        <v>43766</v>
      </c>
      <c r="C131" s="1" t="n">
        <v>45628</v>
      </c>
      <c r="D131" t="inlineStr">
        <is>
          <t>VÄSTERNORRLANDS LÄN</t>
        </is>
      </c>
      <c r="E131" t="inlineStr">
        <is>
          <t>KRAMFORS</t>
        </is>
      </c>
      <c r="G131" t="n">
        <v>1.7</v>
      </c>
      <c r="H131" t="n">
        <v>0</v>
      </c>
      <c r="I131" t="n">
        <v>0</v>
      </c>
      <c r="J131" t="n">
        <v>0</v>
      </c>
      <c r="K131" t="n">
        <v>0</v>
      </c>
      <c r="L131" t="n">
        <v>0</v>
      </c>
      <c r="M131" t="n">
        <v>0</v>
      </c>
      <c r="N131" t="n">
        <v>0</v>
      </c>
      <c r="O131" t="n">
        <v>0</v>
      </c>
      <c r="P131" t="n">
        <v>0</v>
      </c>
      <c r="Q131" t="n">
        <v>0</v>
      </c>
      <c r="R131" s="2" t="inlineStr"/>
    </row>
    <row r="132" ht="15" customHeight="1">
      <c r="A132" t="inlineStr">
        <is>
          <t>A 57859-2019</t>
        </is>
      </c>
      <c r="B132" s="1" t="n">
        <v>43768</v>
      </c>
      <c r="C132" s="1" t="n">
        <v>45628</v>
      </c>
      <c r="D132" t="inlineStr">
        <is>
          <t>VÄSTERNORRLANDS LÄN</t>
        </is>
      </c>
      <c r="E132" t="inlineStr">
        <is>
          <t>KRAMFORS</t>
        </is>
      </c>
      <c r="F132" t="inlineStr">
        <is>
          <t>Kommuner</t>
        </is>
      </c>
      <c r="G132" t="n">
        <v>3.9</v>
      </c>
      <c r="H132" t="n">
        <v>0</v>
      </c>
      <c r="I132" t="n">
        <v>0</v>
      </c>
      <c r="J132" t="n">
        <v>0</v>
      </c>
      <c r="K132" t="n">
        <v>0</v>
      </c>
      <c r="L132" t="n">
        <v>0</v>
      </c>
      <c r="M132" t="n">
        <v>0</v>
      </c>
      <c r="N132" t="n">
        <v>0</v>
      </c>
      <c r="O132" t="n">
        <v>0</v>
      </c>
      <c r="P132" t="n">
        <v>0</v>
      </c>
      <c r="Q132" t="n">
        <v>0</v>
      </c>
      <c r="R132" s="2" t="inlineStr"/>
    </row>
    <row r="133" ht="15" customHeight="1">
      <c r="A133" t="inlineStr">
        <is>
          <t>A 58834-2019</t>
        </is>
      </c>
      <c r="B133" s="1" t="n">
        <v>43768</v>
      </c>
      <c r="C133" s="1" t="n">
        <v>45628</v>
      </c>
      <c r="D133" t="inlineStr">
        <is>
          <t>VÄSTERNORRLANDS LÄN</t>
        </is>
      </c>
      <c r="E133" t="inlineStr">
        <is>
          <t>KRAMFORS</t>
        </is>
      </c>
      <c r="G133" t="n">
        <v>7.7</v>
      </c>
      <c r="H133" t="n">
        <v>0</v>
      </c>
      <c r="I133" t="n">
        <v>0</v>
      </c>
      <c r="J133" t="n">
        <v>0</v>
      </c>
      <c r="K133" t="n">
        <v>0</v>
      </c>
      <c r="L133" t="n">
        <v>0</v>
      </c>
      <c r="M133" t="n">
        <v>0</v>
      </c>
      <c r="N133" t="n">
        <v>0</v>
      </c>
      <c r="O133" t="n">
        <v>0</v>
      </c>
      <c r="P133" t="n">
        <v>0</v>
      </c>
      <c r="Q133" t="n">
        <v>0</v>
      </c>
      <c r="R133" s="2" t="inlineStr"/>
    </row>
    <row r="134" ht="15" customHeight="1">
      <c r="A134" t="inlineStr">
        <is>
          <t>A 58841-2019</t>
        </is>
      </c>
      <c r="B134" s="1" t="n">
        <v>43768</v>
      </c>
      <c r="C134" s="1" t="n">
        <v>45628</v>
      </c>
      <c r="D134" t="inlineStr">
        <is>
          <t>VÄSTERNORRLANDS LÄN</t>
        </is>
      </c>
      <c r="E134" t="inlineStr">
        <is>
          <t>KRAMFORS</t>
        </is>
      </c>
      <c r="G134" t="n">
        <v>3.2</v>
      </c>
      <c r="H134" t="n">
        <v>0</v>
      </c>
      <c r="I134" t="n">
        <v>0</v>
      </c>
      <c r="J134" t="n">
        <v>0</v>
      </c>
      <c r="K134" t="n">
        <v>0</v>
      </c>
      <c r="L134" t="n">
        <v>0</v>
      </c>
      <c r="M134" t="n">
        <v>0</v>
      </c>
      <c r="N134" t="n">
        <v>0</v>
      </c>
      <c r="O134" t="n">
        <v>0</v>
      </c>
      <c r="P134" t="n">
        <v>0</v>
      </c>
      <c r="Q134" t="n">
        <v>0</v>
      </c>
      <c r="R134" s="2" t="inlineStr"/>
    </row>
    <row r="135" ht="15" customHeight="1">
      <c r="A135" t="inlineStr">
        <is>
          <t>A 58768-2019</t>
        </is>
      </c>
      <c r="B135" s="1" t="n">
        <v>43773</v>
      </c>
      <c r="C135" s="1" t="n">
        <v>45628</v>
      </c>
      <c r="D135" t="inlineStr">
        <is>
          <t>VÄSTERNORRLANDS LÄN</t>
        </is>
      </c>
      <c r="E135" t="inlineStr">
        <is>
          <t>KRAMFORS</t>
        </is>
      </c>
      <c r="G135" t="n">
        <v>5.3</v>
      </c>
      <c r="H135" t="n">
        <v>0</v>
      </c>
      <c r="I135" t="n">
        <v>0</v>
      </c>
      <c r="J135" t="n">
        <v>0</v>
      </c>
      <c r="K135" t="n">
        <v>0</v>
      </c>
      <c r="L135" t="n">
        <v>0</v>
      </c>
      <c r="M135" t="n">
        <v>0</v>
      </c>
      <c r="N135" t="n">
        <v>0</v>
      </c>
      <c r="O135" t="n">
        <v>0</v>
      </c>
      <c r="P135" t="n">
        <v>0</v>
      </c>
      <c r="Q135" t="n">
        <v>0</v>
      </c>
      <c r="R135" s="2" t="inlineStr"/>
    </row>
    <row r="136" ht="15" customHeight="1">
      <c r="A136" t="inlineStr">
        <is>
          <t>A 58769-2019</t>
        </is>
      </c>
      <c r="B136" s="1" t="n">
        <v>43773</v>
      </c>
      <c r="C136" s="1" t="n">
        <v>45628</v>
      </c>
      <c r="D136" t="inlineStr">
        <is>
          <t>VÄSTERNORRLANDS LÄN</t>
        </is>
      </c>
      <c r="E136" t="inlineStr">
        <is>
          <t>KRAMFORS</t>
        </is>
      </c>
      <c r="G136" t="n">
        <v>1.3</v>
      </c>
      <c r="H136" t="n">
        <v>0</v>
      </c>
      <c r="I136" t="n">
        <v>0</v>
      </c>
      <c r="J136" t="n">
        <v>0</v>
      </c>
      <c r="K136" t="n">
        <v>0</v>
      </c>
      <c r="L136" t="n">
        <v>0</v>
      </c>
      <c r="M136" t="n">
        <v>0</v>
      </c>
      <c r="N136" t="n">
        <v>0</v>
      </c>
      <c r="O136" t="n">
        <v>0</v>
      </c>
      <c r="P136" t="n">
        <v>0</v>
      </c>
      <c r="Q136" t="n">
        <v>0</v>
      </c>
      <c r="R136" s="2" t="inlineStr"/>
    </row>
    <row r="137" ht="15" customHeight="1">
      <c r="A137" t="inlineStr">
        <is>
          <t>A 58847-2019</t>
        </is>
      </c>
      <c r="B137" s="1" t="n">
        <v>43774</v>
      </c>
      <c r="C137" s="1" t="n">
        <v>45628</v>
      </c>
      <c r="D137" t="inlineStr">
        <is>
          <t>VÄSTERNORRLANDS LÄN</t>
        </is>
      </c>
      <c r="E137" t="inlineStr">
        <is>
          <t>KRAMFORS</t>
        </is>
      </c>
      <c r="G137" t="n">
        <v>1</v>
      </c>
      <c r="H137" t="n">
        <v>0</v>
      </c>
      <c r="I137" t="n">
        <v>0</v>
      </c>
      <c r="J137" t="n">
        <v>0</v>
      </c>
      <c r="K137" t="n">
        <v>0</v>
      </c>
      <c r="L137" t="n">
        <v>0</v>
      </c>
      <c r="M137" t="n">
        <v>0</v>
      </c>
      <c r="N137" t="n">
        <v>0</v>
      </c>
      <c r="O137" t="n">
        <v>0</v>
      </c>
      <c r="P137" t="n">
        <v>0</v>
      </c>
      <c r="Q137" t="n">
        <v>0</v>
      </c>
      <c r="R137" s="2" t="inlineStr"/>
    </row>
    <row r="138" ht="15" customHeight="1">
      <c r="A138" t="inlineStr">
        <is>
          <t>A 59686-2019</t>
        </is>
      </c>
      <c r="B138" s="1" t="n">
        <v>43774</v>
      </c>
      <c r="C138" s="1" t="n">
        <v>45628</v>
      </c>
      <c r="D138" t="inlineStr">
        <is>
          <t>VÄSTERNORRLANDS LÄN</t>
        </is>
      </c>
      <c r="E138" t="inlineStr">
        <is>
          <t>KRAMFORS</t>
        </is>
      </c>
      <c r="G138" t="n">
        <v>1.5</v>
      </c>
      <c r="H138" t="n">
        <v>0</v>
      </c>
      <c r="I138" t="n">
        <v>0</v>
      </c>
      <c r="J138" t="n">
        <v>0</v>
      </c>
      <c r="K138" t="n">
        <v>0</v>
      </c>
      <c r="L138" t="n">
        <v>0</v>
      </c>
      <c r="M138" t="n">
        <v>0</v>
      </c>
      <c r="N138" t="n">
        <v>0</v>
      </c>
      <c r="O138" t="n">
        <v>0</v>
      </c>
      <c r="P138" t="n">
        <v>0</v>
      </c>
      <c r="Q138" t="n">
        <v>0</v>
      </c>
      <c r="R138" s="2" t="inlineStr"/>
    </row>
    <row r="139" ht="15" customHeight="1">
      <c r="A139" t="inlineStr">
        <is>
          <t>A 58852-2019</t>
        </is>
      </c>
      <c r="B139" s="1" t="n">
        <v>43774</v>
      </c>
      <c r="C139" s="1" t="n">
        <v>45628</v>
      </c>
      <c r="D139" t="inlineStr">
        <is>
          <t>VÄSTERNORRLANDS LÄN</t>
        </is>
      </c>
      <c r="E139" t="inlineStr">
        <is>
          <t>KRAMFORS</t>
        </is>
      </c>
      <c r="G139" t="n">
        <v>0.9</v>
      </c>
      <c r="H139" t="n">
        <v>0</v>
      </c>
      <c r="I139" t="n">
        <v>0</v>
      </c>
      <c r="J139" t="n">
        <v>0</v>
      </c>
      <c r="K139" t="n">
        <v>0</v>
      </c>
      <c r="L139" t="n">
        <v>0</v>
      </c>
      <c r="M139" t="n">
        <v>0</v>
      </c>
      <c r="N139" t="n">
        <v>0</v>
      </c>
      <c r="O139" t="n">
        <v>0</v>
      </c>
      <c r="P139" t="n">
        <v>0</v>
      </c>
      <c r="Q139" t="n">
        <v>0</v>
      </c>
      <c r="R139" s="2" t="inlineStr"/>
    </row>
    <row r="140" ht="15" customHeight="1">
      <c r="A140" t="inlineStr">
        <is>
          <t>A 62178-2019</t>
        </is>
      </c>
      <c r="B140" s="1" t="n">
        <v>43787</v>
      </c>
      <c r="C140" s="1" t="n">
        <v>45628</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62180-2019</t>
        </is>
      </c>
      <c r="B141" s="1" t="n">
        <v>43787</v>
      </c>
      <c r="C141" s="1" t="n">
        <v>45628</v>
      </c>
      <c r="D141" t="inlineStr">
        <is>
          <t>VÄSTERNORRLANDS LÄN</t>
        </is>
      </c>
      <c r="E141" t="inlineStr">
        <is>
          <t>KRAMFORS</t>
        </is>
      </c>
      <c r="G141" t="n">
        <v>1.5</v>
      </c>
      <c r="H141" t="n">
        <v>0</v>
      </c>
      <c r="I141" t="n">
        <v>0</v>
      </c>
      <c r="J141" t="n">
        <v>0</v>
      </c>
      <c r="K141" t="n">
        <v>0</v>
      </c>
      <c r="L141" t="n">
        <v>0</v>
      </c>
      <c r="M141" t="n">
        <v>0</v>
      </c>
      <c r="N141" t="n">
        <v>0</v>
      </c>
      <c r="O141" t="n">
        <v>0</v>
      </c>
      <c r="P141" t="n">
        <v>0</v>
      </c>
      <c r="Q141" t="n">
        <v>0</v>
      </c>
      <c r="R141" s="2" t="inlineStr"/>
    </row>
    <row r="142" ht="15" customHeight="1">
      <c r="A142" t="inlineStr">
        <is>
          <t>A 63612-2019</t>
        </is>
      </c>
      <c r="B142" s="1" t="n">
        <v>43789</v>
      </c>
      <c r="C142" s="1" t="n">
        <v>45628</v>
      </c>
      <c r="D142" t="inlineStr">
        <is>
          <t>VÄSTERNORRLANDS LÄN</t>
        </is>
      </c>
      <c r="E142" t="inlineStr">
        <is>
          <t>KRAMFORS</t>
        </is>
      </c>
      <c r="G142" t="n">
        <v>0.9</v>
      </c>
      <c r="H142" t="n">
        <v>0</v>
      </c>
      <c r="I142" t="n">
        <v>0</v>
      </c>
      <c r="J142" t="n">
        <v>0</v>
      </c>
      <c r="K142" t="n">
        <v>0</v>
      </c>
      <c r="L142" t="n">
        <v>0</v>
      </c>
      <c r="M142" t="n">
        <v>0</v>
      </c>
      <c r="N142" t="n">
        <v>0</v>
      </c>
      <c r="O142" t="n">
        <v>0</v>
      </c>
      <c r="P142" t="n">
        <v>0</v>
      </c>
      <c r="Q142" t="n">
        <v>0</v>
      </c>
      <c r="R142" s="2" t="inlineStr"/>
    </row>
    <row r="143" ht="15" customHeight="1">
      <c r="A143" t="inlineStr">
        <is>
          <t>A 64217-2019</t>
        </is>
      </c>
      <c r="B143" s="1" t="n">
        <v>43797</v>
      </c>
      <c r="C143" s="1" t="n">
        <v>45628</v>
      </c>
      <c r="D143" t="inlineStr">
        <is>
          <t>VÄSTERNORRLANDS LÄN</t>
        </is>
      </c>
      <c r="E143" t="inlineStr">
        <is>
          <t>KRAMFORS</t>
        </is>
      </c>
      <c r="G143" t="n">
        <v>2.2</v>
      </c>
      <c r="H143" t="n">
        <v>0</v>
      </c>
      <c r="I143" t="n">
        <v>0</v>
      </c>
      <c r="J143" t="n">
        <v>0</v>
      </c>
      <c r="K143" t="n">
        <v>0</v>
      </c>
      <c r="L143" t="n">
        <v>0</v>
      </c>
      <c r="M143" t="n">
        <v>0</v>
      </c>
      <c r="N143" t="n">
        <v>0</v>
      </c>
      <c r="O143" t="n">
        <v>0</v>
      </c>
      <c r="P143" t="n">
        <v>0</v>
      </c>
      <c r="Q143" t="n">
        <v>0</v>
      </c>
      <c r="R143" s="2" t="inlineStr"/>
    </row>
    <row r="144" ht="15" customHeight="1">
      <c r="A144" t="inlineStr">
        <is>
          <t>A 65354-2019</t>
        </is>
      </c>
      <c r="B144" s="1" t="n">
        <v>43803</v>
      </c>
      <c r="C144" s="1" t="n">
        <v>45628</v>
      </c>
      <c r="D144" t="inlineStr">
        <is>
          <t>VÄSTERNORRLANDS LÄN</t>
        </is>
      </c>
      <c r="E144" t="inlineStr">
        <is>
          <t>KRAMFORS</t>
        </is>
      </c>
      <c r="G144" t="n">
        <v>2.9</v>
      </c>
      <c r="H144" t="n">
        <v>0</v>
      </c>
      <c r="I144" t="n">
        <v>0</v>
      </c>
      <c r="J144" t="n">
        <v>0</v>
      </c>
      <c r="K144" t="n">
        <v>0</v>
      </c>
      <c r="L144" t="n">
        <v>0</v>
      </c>
      <c r="M144" t="n">
        <v>0</v>
      </c>
      <c r="N144" t="n">
        <v>0</v>
      </c>
      <c r="O144" t="n">
        <v>0</v>
      </c>
      <c r="P144" t="n">
        <v>0</v>
      </c>
      <c r="Q144" t="n">
        <v>0</v>
      </c>
      <c r="R144" s="2" t="inlineStr"/>
    </row>
    <row r="145" ht="15" customHeight="1">
      <c r="A145" t="inlineStr">
        <is>
          <t>A 66975-2019</t>
        </is>
      </c>
      <c r="B145" s="1" t="n">
        <v>43810</v>
      </c>
      <c r="C145" s="1" t="n">
        <v>45628</v>
      </c>
      <c r="D145" t="inlineStr">
        <is>
          <t>VÄSTERNORRLANDS LÄN</t>
        </is>
      </c>
      <c r="E145" t="inlineStr">
        <is>
          <t>KRAMFORS</t>
        </is>
      </c>
      <c r="G145" t="n">
        <v>4</v>
      </c>
      <c r="H145" t="n">
        <v>0</v>
      </c>
      <c r="I145" t="n">
        <v>0</v>
      </c>
      <c r="J145" t="n">
        <v>0</v>
      </c>
      <c r="K145" t="n">
        <v>0</v>
      </c>
      <c r="L145" t="n">
        <v>0</v>
      </c>
      <c r="M145" t="n">
        <v>0</v>
      </c>
      <c r="N145" t="n">
        <v>0</v>
      </c>
      <c r="O145" t="n">
        <v>0</v>
      </c>
      <c r="P145" t="n">
        <v>0</v>
      </c>
      <c r="Q145" t="n">
        <v>0</v>
      </c>
      <c r="R145" s="2" t="inlineStr"/>
    </row>
    <row r="146" ht="15" customHeight="1">
      <c r="A146" t="inlineStr">
        <is>
          <t>A 67272-2019</t>
        </is>
      </c>
      <c r="B146" s="1" t="n">
        <v>43812</v>
      </c>
      <c r="C146" s="1" t="n">
        <v>45628</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67366-2019</t>
        </is>
      </c>
      <c r="B147" s="1" t="n">
        <v>43812</v>
      </c>
      <c r="C147" s="1" t="n">
        <v>45628</v>
      </c>
      <c r="D147" t="inlineStr">
        <is>
          <t>VÄSTERNORRLANDS LÄN</t>
        </is>
      </c>
      <c r="E147" t="inlineStr">
        <is>
          <t>KRAMFORS</t>
        </is>
      </c>
      <c r="G147" t="n">
        <v>0.8</v>
      </c>
      <c r="H147" t="n">
        <v>0</v>
      </c>
      <c r="I147" t="n">
        <v>0</v>
      </c>
      <c r="J147" t="n">
        <v>0</v>
      </c>
      <c r="K147" t="n">
        <v>0</v>
      </c>
      <c r="L147" t="n">
        <v>0</v>
      </c>
      <c r="M147" t="n">
        <v>0</v>
      </c>
      <c r="N147" t="n">
        <v>0</v>
      </c>
      <c r="O147" t="n">
        <v>0</v>
      </c>
      <c r="P147" t="n">
        <v>0</v>
      </c>
      <c r="Q147" t="n">
        <v>0</v>
      </c>
      <c r="R147" s="2" t="inlineStr"/>
    </row>
    <row r="148" ht="15" customHeight="1">
      <c r="A148" t="inlineStr">
        <is>
          <t>A 67278-2019</t>
        </is>
      </c>
      <c r="B148" s="1" t="n">
        <v>43812</v>
      </c>
      <c r="C148" s="1" t="n">
        <v>45628</v>
      </c>
      <c r="D148" t="inlineStr">
        <is>
          <t>VÄSTERNORRLANDS LÄN</t>
        </is>
      </c>
      <c r="E148" t="inlineStr">
        <is>
          <t>KRAMFORS</t>
        </is>
      </c>
      <c r="G148" t="n">
        <v>4.6</v>
      </c>
      <c r="H148" t="n">
        <v>0</v>
      </c>
      <c r="I148" t="n">
        <v>0</v>
      </c>
      <c r="J148" t="n">
        <v>0</v>
      </c>
      <c r="K148" t="n">
        <v>0</v>
      </c>
      <c r="L148" t="n">
        <v>0</v>
      </c>
      <c r="M148" t="n">
        <v>0</v>
      </c>
      <c r="N148" t="n">
        <v>0</v>
      </c>
      <c r="O148" t="n">
        <v>0</v>
      </c>
      <c r="P148" t="n">
        <v>0</v>
      </c>
      <c r="Q148" t="n">
        <v>0</v>
      </c>
      <c r="R148" s="2" t="inlineStr"/>
    </row>
    <row r="149" ht="15" customHeight="1">
      <c r="A149" t="inlineStr">
        <is>
          <t>A 67813-2019</t>
        </is>
      </c>
      <c r="B149" s="1" t="n">
        <v>43815</v>
      </c>
      <c r="C149" s="1" t="n">
        <v>45628</v>
      </c>
      <c r="D149" t="inlineStr">
        <is>
          <t>VÄSTERNORRLANDS LÄN</t>
        </is>
      </c>
      <c r="E149" t="inlineStr">
        <is>
          <t>KRAMFORS</t>
        </is>
      </c>
      <c r="F149" t="inlineStr">
        <is>
          <t>SCA</t>
        </is>
      </c>
      <c r="G149" t="n">
        <v>24.1</v>
      </c>
      <c r="H149" t="n">
        <v>0</v>
      </c>
      <c r="I149" t="n">
        <v>0</v>
      </c>
      <c r="J149" t="n">
        <v>0</v>
      </c>
      <c r="K149" t="n">
        <v>0</v>
      </c>
      <c r="L149" t="n">
        <v>0</v>
      </c>
      <c r="M149" t="n">
        <v>0</v>
      </c>
      <c r="N149" t="n">
        <v>0</v>
      </c>
      <c r="O149" t="n">
        <v>0</v>
      </c>
      <c r="P149" t="n">
        <v>0</v>
      </c>
      <c r="Q149" t="n">
        <v>0</v>
      </c>
      <c r="R149" s="2" t="inlineStr"/>
    </row>
    <row r="150" ht="15" customHeight="1">
      <c r="A150" t="inlineStr">
        <is>
          <t>A 975-2020</t>
        </is>
      </c>
      <c r="B150" s="1" t="n">
        <v>43819</v>
      </c>
      <c r="C150" s="1" t="n">
        <v>45628</v>
      </c>
      <c r="D150" t="inlineStr">
        <is>
          <t>VÄSTERNORRLANDS LÄN</t>
        </is>
      </c>
      <c r="E150" t="inlineStr">
        <is>
          <t>KRAMFORS</t>
        </is>
      </c>
      <c r="G150" t="n">
        <v>6.8</v>
      </c>
      <c r="H150" t="n">
        <v>0</v>
      </c>
      <c r="I150" t="n">
        <v>0</v>
      </c>
      <c r="J150" t="n">
        <v>0</v>
      </c>
      <c r="K150" t="n">
        <v>0</v>
      </c>
      <c r="L150" t="n">
        <v>0</v>
      </c>
      <c r="M150" t="n">
        <v>0</v>
      </c>
      <c r="N150" t="n">
        <v>0</v>
      </c>
      <c r="O150" t="n">
        <v>0</v>
      </c>
      <c r="P150" t="n">
        <v>0</v>
      </c>
      <c r="Q150" t="n">
        <v>0</v>
      </c>
      <c r="R150" s="2" t="inlineStr"/>
    </row>
    <row r="151" ht="15" customHeight="1">
      <c r="A151" t="inlineStr">
        <is>
          <t>A 68845-2019</t>
        </is>
      </c>
      <c r="B151" s="1" t="n">
        <v>43819</v>
      </c>
      <c r="C151" s="1" t="n">
        <v>45628</v>
      </c>
      <c r="D151" t="inlineStr">
        <is>
          <t>VÄSTERNORRLANDS LÄN</t>
        </is>
      </c>
      <c r="E151" t="inlineStr">
        <is>
          <t>KRAMFORS</t>
        </is>
      </c>
      <c r="G151" t="n">
        <v>2.3</v>
      </c>
      <c r="H151" t="n">
        <v>0</v>
      </c>
      <c r="I151" t="n">
        <v>0</v>
      </c>
      <c r="J151" t="n">
        <v>0</v>
      </c>
      <c r="K151" t="n">
        <v>0</v>
      </c>
      <c r="L151" t="n">
        <v>0</v>
      </c>
      <c r="M151" t="n">
        <v>0</v>
      </c>
      <c r="N151" t="n">
        <v>0</v>
      </c>
      <c r="O151" t="n">
        <v>0</v>
      </c>
      <c r="P151" t="n">
        <v>0</v>
      </c>
      <c r="Q151" t="n">
        <v>0</v>
      </c>
      <c r="R151" s="2" t="inlineStr"/>
    </row>
    <row r="152" ht="15" customHeight="1">
      <c r="A152" t="inlineStr">
        <is>
          <t>A 1982-2020</t>
        </is>
      </c>
      <c r="B152" s="1" t="n">
        <v>43845</v>
      </c>
      <c r="C152" s="1" t="n">
        <v>45628</v>
      </c>
      <c r="D152" t="inlineStr">
        <is>
          <t>VÄSTERNORRLANDS LÄN</t>
        </is>
      </c>
      <c r="E152" t="inlineStr">
        <is>
          <t>KRAMFORS</t>
        </is>
      </c>
      <c r="G152" t="n">
        <v>3.3</v>
      </c>
      <c r="H152" t="n">
        <v>0</v>
      </c>
      <c r="I152" t="n">
        <v>0</v>
      </c>
      <c r="J152" t="n">
        <v>0</v>
      </c>
      <c r="K152" t="n">
        <v>0</v>
      </c>
      <c r="L152" t="n">
        <v>0</v>
      </c>
      <c r="M152" t="n">
        <v>0</v>
      </c>
      <c r="N152" t="n">
        <v>0</v>
      </c>
      <c r="O152" t="n">
        <v>0</v>
      </c>
      <c r="P152" t="n">
        <v>0</v>
      </c>
      <c r="Q152" t="n">
        <v>0</v>
      </c>
      <c r="R152" s="2" t="inlineStr"/>
    </row>
    <row r="153" ht="15" customHeight="1">
      <c r="A153" t="inlineStr">
        <is>
          <t>A 2361-2020</t>
        </is>
      </c>
      <c r="B153" s="1" t="n">
        <v>43846</v>
      </c>
      <c r="C153" s="1" t="n">
        <v>45628</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2794-2020</t>
        </is>
      </c>
      <c r="B154" s="1" t="n">
        <v>43850</v>
      </c>
      <c r="C154" s="1" t="n">
        <v>45628</v>
      </c>
      <c r="D154" t="inlineStr">
        <is>
          <t>VÄSTERNORRLANDS LÄN</t>
        </is>
      </c>
      <c r="E154" t="inlineStr">
        <is>
          <t>KRAMFORS</t>
        </is>
      </c>
      <c r="G154" t="n">
        <v>2.4</v>
      </c>
      <c r="H154" t="n">
        <v>0</v>
      </c>
      <c r="I154" t="n">
        <v>0</v>
      </c>
      <c r="J154" t="n">
        <v>0</v>
      </c>
      <c r="K154" t="n">
        <v>0</v>
      </c>
      <c r="L154" t="n">
        <v>0</v>
      </c>
      <c r="M154" t="n">
        <v>0</v>
      </c>
      <c r="N154" t="n">
        <v>0</v>
      </c>
      <c r="O154" t="n">
        <v>0</v>
      </c>
      <c r="P154" t="n">
        <v>0</v>
      </c>
      <c r="Q154" t="n">
        <v>0</v>
      </c>
      <c r="R154" s="2" t="inlineStr"/>
    </row>
    <row r="155" ht="15" customHeight="1">
      <c r="A155" t="inlineStr">
        <is>
          <t>A 2793-2020</t>
        </is>
      </c>
      <c r="B155" s="1" t="n">
        <v>43850</v>
      </c>
      <c r="C155" s="1" t="n">
        <v>45628</v>
      </c>
      <c r="D155" t="inlineStr">
        <is>
          <t>VÄSTERNORRLANDS LÄN</t>
        </is>
      </c>
      <c r="E155" t="inlineStr">
        <is>
          <t>KRAMFORS</t>
        </is>
      </c>
      <c r="G155" t="n">
        <v>1.8</v>
      </c>
      <c r="H155" t="n">
        <v>0</v>
      </c>
      <c r="I155" t="n">
        <v>0</v>
      </c>
      <c r="J155" t="n">
        <v>0</v>
      </c>
      <c r="K155" t="n">
        <v>0</v>
      </c>
      <c r="L155" t="n">
        <v>0</v>
      </c>
      <c r="M155" t="n">
        <v>0</v>
      </c>
      <c r="N155" t="n">
        <v>0</v>
      </c>
      <c r="O155" t="n">
        <v>0</v>
      </c>
      <c r="P155" t="n">
        <v>0</v>
      </c>
      <c r="Q155" t="n">
        <v>0</v>
      </c>
      <c r="R155" s="2" t="inlineStr"/>
    </row>
    <row r="156" ht="15" customHeight="1">
      <c r="A156" t="inlineStr">
        <is>
          <t>A 3496-2020</t>
        </is>
      </c>
      <c r="B156" s="1" t="n">
        <v>43852</v>
      </c>
      <c r="C156" s="1" t="n">
        <v>45628</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3490-2020</t>
        </is>
      </c>
      <c r="B157" s="1" t="n">
        <v>43852</v>
      </c>
      <c r="C157" s="1" t="n">
        <v>45628</v>
      </c>
      <c r="D157" t="inlineStr">
        <is>
          <t>VÄSTERNORRLANDS LÄN</t>
        </is>
      </c>
      <c r="E157" t="inlineStr">
        <is>
          <t>KRAMFORS</t>
        </is>
      </c>
      <c r="G157" t="n">
        <v>2.9</v>
      </c>
      <c r="H157" t="n">
        <v>0</v>
      </c>
      <c r="I157" t="n">
        <v>0</v>
      </c>
      <c r="J157" t="n">
        <v>0</v>
      </c>
      <c r="K157" t="n">
        <v>0</v>
      </c>
      <c r="L157" t="n">
        <v>0</v>
      </c>
      <c r="M157" t="n">
        <v>0</v>
      </c>
      <c r="N157" t="n">
        <v>0</v>
      </c>
      <c r="O157" t="n">
        <v>0</v>
      </c>
      <c r="P157" t="n">
        <v>0</v>
      </c>
      <c r="Q157" t="n">
        <v>0</v>
      </c>
      <c r="R157" s="2" t="inlineStr"/>
    </row>
    <row r="158" ht="15" customHeight="1">
      <c r="A158" t="inlineStr">
        <is>
          <t>A 5707-2020</t>
        </is>
      </c>
      <c r="B158" s="1" t="n">
        <v>43861</v>
      </c>
      <c r="C158" s="1" t="n">
        <v>45628</v>
      </c>
      <c r="D158" t="inlineStr">
        <is>
          <t>VÄSTERNORRLANDS LÄN</t>
        </is>
      </c>
      <c r="E158" t="inlineStr">
        <is>
          <t>KRAMFORS</t>
        </is>
      </c>
      <c r="G158" t="n">
        <v>3.9</v>
      </c>
      <c r="H158" t="n">
        <v>0</v>
      </c>
      <c r="I158" t="n">
        <v>0</v>
      </c>
      <c r="J158" t="n">
        <v>0</v>
      </c>
      <c r="K158" t="n">
        <v>0</v>
      </c>
      <c r="L158" t="n">
        <v>0</v>
      </c>
      <c r="M158" t="n">
        <v>0</v>
      </c>
      <c r="N158" t="n">
        <v>0</v>
      </c>
      <c r="O158" t="n">
        <v>0</v>
      </c>
      <c r="P158" t="n">
        <v>0</v>
      </c>
      <c r="Q158" t="n">
        <v>0</v>
      </c>
      <c r="R158" s="2" t="inlineStr"/>
    </row>
    <row r="159" ht="15" customHeight="1">
      <c r="A159" t="inlineStr">
        <is>
          <t>A 6269-2020</t>
        </is>
      </c>
      <c r="B159" s="1" t="n">
        <v>43866</v>
      </c>
      <c r="C159" s="1" t="n">
        <v>45628</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8130-2020</t>
        </is>
      </c>
      <c r="B160" s="1" t="n">
        <v>43867</v>
      </c>
      <c r="C160" s="1" t="n">
        <v>45628</v>
      </c>
      <c r="D160" t="inlineStr">
        <is>
          <t>VÄSTERNORRLANDS LÄN</t>
        </is>
      </c>
      <c r="E160" t="inlineStr">
        <is>
          <t>KRAMFORS</t>
        </is>
      </c>
      <c r="G160" t="n">
        <v>1.2</v>
      </c>
      <c r="H160" t="n">
        <v>0</v>
      </c>
      <c r="I160" t="n">
        <v>0</v>
      </c>
      <c r="J160" t="n">
        <v>0</v>
      </c>
      <c r="K160" t="n">
        <v>0</v>
      </c>
      <c r="L160" t="n">
        <v>0</v>
      </c>
      <c r="M160" t="n">
        <v>0</v>
      </c>
      <c r="N160" t="n">
        <v>0</v>
      </c>
      <c r="O160" t="n">
        <v>0</v>
      </c>
      <c r="P160" t="n">
        <v>0</v>
      </c>
      <c r="Q160" t="n">
        <v>0</v>
      </c>
      <c r="R160" s="2" t="inlineStr"/>
    </row>
    <row r="161" ht="15" customHeight="1">
      <c r="A161" t="inlineStr">
        <is>
          <t>A 7175-2020</t>
        </is>
      </c>
      <c r="B161" s="1" t="n">
        <v>43868</v>
      </c>
      <c r="C161" s="1" t="n">
        <v>45628</v>
      </c>
      <c r="D161" t="inlineStr">
        <is>
          <t>VÄSTERNORRLANDS LÄN</t>
        </is>
      </c>
      <c r="E161" t="inlineStr">
        <is>
          <t>KRAMFORS</t>
        </is>
      </c>
      <c r="G161" t="n">
        <v>3.5</v>
      </c>
      <c r="H161" t="n">
        <v>0</v>
      </c>
      <c r="I161" t="n">
        <v>0</v>
      </c>
      <c r="J161" t="n">
        <v>0</v>
      </c>
      <c r="K161" t="n">
        <v>0</v>
      </c>
      <c r="L161" t="n">
        <v>0</v>
      </c>
      <c r="M161" t="n">
        <v>0</v>
      </c>
      <c r="N161" t="n">
        <v>0</v>
      </c>
      <c r="O161" t="n">
        <v>0</v>
      </c>
      <c r="P161" t="n">
        <v>0</v>
      </c>
      <c r="Q161" t="n">
        <v>0</v>
      </c>
      <c r="R161" s="2" t="inlineStr"/>
    </row>
    <row r="162" ht="15" customHeight="1">
      <c r="A162" t="inlineStr">
        <is>
          <t>A 8487-2020</t>
        </is>
      </c>
      <c r="B162" s="1" t="n">
        <v>43874</v>
      </c>
      <c r="C162" s="1" t="n">
        <v>45628</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8486-2020</t>
        </is>
      </c>
      <c r="B163" s="1" t="n">
        <v>43875</v>
      </c>
      <c r="C163" s="1" t="n">
        <v>45628</v>
      </c>
      <c r="D163" t="inlineStr">
        <is>
          <t>VÄSTERNORRLANDS LÄN</t>
        </is>
      </c>
      <c r="E163" t="inlineStr">
        <is>
          <t>KRAMFORS</t>
        </is>
      </c>
      <c r="F163" t="inlineStr">
        <is>
          <t>Kommuner</t>
        </is>
      </c>
      <c r="G163" t="n">
        <v>0.8</v>
      </c>
      <c r="H163" t="n">
        <v>0</v>
      </c>
      <c r="I163" t="n">
        <v>0</v>
      </c>
      <c r="J163" t="n">
        <v>0</v>
      </c>
      <c r="K163" t="n">
        <v>0</v>
      </c>
      <c r="L163" t="n">
        <v>0</v>
      </c>
      <c r="M163" t="n">
        <v>0</v>
      </c>
      <c r="N163" t="n">
        <v>0</v>
      </c>
      <c r="O163" t="n">
        <v>0</v>
      </c>
      <c r="P163" t="n">
        <v>0</v>
      </c>
      <c r="Q163" t="n">
        <v>0</v>
      </c>
      <c r="R163" s="2" t="inlineStr"/>
    </row>
    <row r="164" ht="15" customHeight="1">
      <c r="A164" t="inlineStr">
        <is>
          <t>A 8524-2020</t>
        </is>
      </c>
      <c r="B164" s="1" t="n">
        <v>43875</v>
      </c>
      <c r="C164" s="1" t="n">
        <v>45628</v>
      </c>
      <c r="D164" t="inlineStr">
        <is>
          <t>VÄSTERNORRLANDS LÄN</t>
        </is>
      </c>
      <c r="E164" t="inlineStr">
        <is>
          <t>KRAMFORS</t>
        </is>
      </c>
      <c r="F164" t="inlineStr">
        <is>
          <t>Kommuner</t>
        </is>
      </c>
      <c r="G164" t="n">
        <v>0.7</v>
      </c>
      <c r="H164" t="n">
        <v>0</v>
      </c>
      <c r="I164" t="n">
        <v>0</v>
      </c>
      <c r="J164" t="n">
        <v>0</v>
      </c>
      <c r="K164" t="n">
        <v>0</v>
      </c>
      <c r="L164" t="n">
        <v>0</v>
      </c>
      <c r="M164" t="n">
        <v>0</v>
      </c>
      <c r="N164" t="n">
        <v>0</v>
      </c>
      <c r="O164" t="n">
        <v>0</v>
      </c>
      <c r="P164" t="n">
        <v>0</v>
      </c>
      <c r="Q164" t="n">
        <v>0</v>
      </c>
      <c r="R164" s="2" t="inlineStr"/>
    </row>
    <row r="165" ht="15" customHeight="1">
      <c r="A165" t="inlineStr">
        <is>
          <t>A 8479-2020</t>
        </is>
      </c>
      <c r="B165" s="1" t="n">
        <v>43875</v>
      </c>
      <c r="C165" s="1" t="n">
        <v>45628</v>
      </c>
      <c r="D165" t="inlineStr">
        <is>
          <t>VÄSTERNORRLANDS LÄN</t>
        </is>
      </c>
      <c r="E165" t="inlineStr">
        <is>
          <t>KRAMFORS</t>
        </is>
      </c>
      <c r="G165" t="n">
        <v>0.7</v>
      </c>
      <c r="H165" t="n">
        <v>0</v>
      </c>
      <c r="I165" t="n">
        <v>0</v>
      </c>
      <c r="J165" t="n">
        <v>0</v>
      </c>
      <c r="K165" t="n">
        <v>0</v>
      </c>
      <c r="L165" t="n">
        <v>0</v>
      </c>
      <c r="M165" t="n">
        <v>0</v>
      </c>
      <c r="N165" t="n">
        <v>0</v>
      </c>
      <c r="O165" t="n">
        <v>0</v>
      </c>
      <c r="P165" t="n">
        <v>0</v>
      </c>
      <c r="Q165" t="n">
        <v>0</v>
      </c>
      <c r="R165" s="2" t="inlineStr"/>
    </row>
    <row r="166" ht="15" customHeight="1">
      <c r="A166" t="inlineStr">
        <is>
          <t>A 8525-2020</t>
        </is>
      </c>
      <c r="B166" s="1" t="n">
        <v>43875</v>
      </c>
      <c r="C166" s="1" t="n">
        <v>45628</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9836-2020</t>
        </is>
      </c>
      <c r="B167" s="1" t="n">
        <v>43881</v>
      </c>
      <c r="C167" s="1" t="n">
        <v>45628</v>
      </c>
      <c r="D167" t="inlineStr">
        <is>
          <t>VÄSTERNORRLANDS LÄN</t>
        </is>
      </c>
      <c r="E167" t="inlineStr">
        <is>
          <t>KRAMFORS</t>
        </is>
      </c>
      <c r="G167" t="n">
        <v>3.2</v>
      </c>
      <c r="H167" t="n">
        <v>0</v>
      </c>
      <c r="I167" t="n">
        <v>0</v>
      </c>
      <c r="J167" t="n">
        <v>0</v>
      </c>
      <c r="K167" t="n">
        <v>0</v>
      </c>
      <c r="L167" t="n">
        <v>0</v>
      </c>
      <c r="M167" t="n">
        <v>0</v>
      </c>
      <c r="N167" t="n">
        <v>0</v>
      </c>
      <c r="O167" t="n">
        <v>0</v>
      </c>
      <c r="P167" t="n">
        <v>0</v>
      </c>
      <c r="Q167" t="n">
        <v>0</v>
      </c>
      <c r="R167" s="2" t="inlineStr"/>
    </row>
    <row r="168" ht="15" customHeight="1">
      <c r="A168" t="inlineStr">
        <is>
          <t>A 12464-2020</t>
        </is>
      </c>
      <c r="B168" s="1" t="n">
        <v>43892</v>
      </c>
      <c r="C168" s="1" t="n">
        <v>45628</v>
      </c>
      <c r="D168" t="inlineStr">
        <is>
          <t>VÄSTERNORRLANDS LÄN</t>
        </is>
      </c>
      <c r="E168" t="inlineStr">
        <is>
          <t>KRAMFORS</t>
        </is>
      </c>
      <c r="G168" t="n">
        <v>1.7</v>
      </c>
      <c r="H168" t="n">
        <v>0</v>
      </c>
      <c r="I168" t="n">
        <v>0</v>
      </c>
      <c r="J168" t="n">
        <v>0</v>
      </c>
      <c r="K168" t="n">
        <v>0</v>
      </c>
      <c r="L168" t="n">
        <v>0</v>
      </c>
      <c r="M168" t="n">
        <v>0</v>
      </c>
      <c r="N168" t="n">
        <v>0</v>
      </c>
      <c r="O168" t="n">
        <v>0</v>
      </c>
      <c r="P168" t="n">
        <v>0</v>
      </c>
      <c r="Q168" t="n">
        <v>0</v>
      </c>
      <c r="R168" s="2" t="inlineStr"/>
    </row>
    <row r="169" ht="15" customHeight="1">
      <c r="A169" t="inlineStr">
        <is>
          <t>A 14092-2020</t>
        </is>
      </c>
      <c r="B169" s="1" t="n">
        <v>43899</v>
      </c>
      <c r="C169" s="1" t="n">
        <v>45628</v>
      </c>
      <c r="D169" t="inlineStr">
        <is>
          <t>VÄSTERNORRLANDS LÄN</t>
        </is>
      </c>
      <c r="E169" t="inlineStr">
        <is>
          <t>KRAMFORS</t>
        </is>
      </c>
      <c r="G169" t="n">
        <v>1.3</v>
      </c>
      <c r="H169" t="n">
        <v>0</v>
      </c>
      <c r="I169" t="n">
        <v>0</v>
      </c>
      <c r="J169" t="n">
        <v>0</v>
      </c>
      <c r="K169" t="n">
        <v>0</v>
      </c>
      <c r="L169" t="n">
        <v>0</v>
      </c>
      <c r="M169" t="n">
        <v>0</v>
      </c>
      <c r="N169" t="n">
        <v>0</v>
      </c>
      <c r="O169" t="n">
        <v>0</v>
      </c>
      <c r="P169" t="n">
        <v>0</v>
      </c>
      <c r="Q169" t="n">
        <v>0</v>
      </c>
      <c r="R169" s="2" t="inlineStr"/>
    </row>
    <row r="170" ht="15" customHeight="1">
      <c r="A170" t="inlineStr">
        <is>
          <t>A 14086-2020</t>
        </is>
      </c>
      <c r="B170" s="1" t="n">
        <v>43899</v>
      </c>
      <c r="C170" s="1" t="n">
        <v>45628</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14861-2020</t>
        </is>
      </c>
      <c r="B171" s="1" t="n">
        <v>43909</v>
      </c>
      <c r="C171" s="1" t="n">
        <v>45628</v>
      </c>
      <c r="D171" t="inlineStr">
        <is>
          <t>VÄSTERNORRLANDS LÄN</t>
        </is>
      </c>
      <c r="E171" t="inlineStr">
        <is>
          <t>KRAMFORS</t>
        </is>
      </c>
      <c r="G171" t="n">
        <v>0.6</v>
      </c>
      <c r="H171" t="n">
        <v>0</v>
      </c>
      <c r="I171" t="n">
        <v>0</v>
      </c>
      <c r="J171" t="n">
        <v>0</v>
      </c>
      <c r="K171" t="n">
        <v>0</v>
      </c>
      <c r="L171" t="n">
        <v>0</v>
      </c>
      <c r="M171" t="n">
        <v>0</v>
      </c>
      <c r="N171" t="n">
        <v>0</v>
      </c>
      <c r="O171" t="n">
        <v>0</v>
      </c>
      <c r="P171" t="n">
        <v>0</v>
      </c>
      <c r="Q171" t="n">
        <v>0</v>
      </c>
      <c r="R171" s="2" t="inlineStr"/>
    </row>
    <row r="172" ht="15" customHeight="1">
      <c r="A172" t="inlineStr">
        <is>
          <t>A 16160-2020</t>
        </is>
      </c>
      <c r="B172" s="1" t="n">
        <v>43916</v>
      </c>
      <c r="C172" s="1" t="n">
        <v>45628</v>
      </c>
      <c r="D172" t="inlineStr">
        <is>
          <t>VÄSTERNORRLANDS LÄN</t>
        </is>
      </c>
      <c r="E172" t="inlineStr">
        <is>
          <t>KRAMFORS</t>
        </is>
      </c>
      <c r="G172" t="n">
        <v>2.1</v>
      </c>
      <c r="H172" t="n">
        <v>0</v>
      </c>
      <c r="I172" t="n">
        <v>0</v>
      </c>
      <c r="J172" t="n">
        <v>0</v>
      </c>
      <c r="K172" t="n">
        <v>0</v>
      </c>
      <c r="L172" t="n">
        <v>0</v>
      </c>
      <c r="M172" t="n">
        <v>0</v>
      </c>
      <c r="N172" t="n">
        <v>0</v>
      </c>
      <c r="O172" t="n">
        <v>0</v>
      </c>
      <c r="P172" t="n">
        <v>0</v>
      </c>
      <c r="Q172" t="n">
        <v>0</v>
      </c>
      <c r="R172" s="2" t="inlineStr"/>
    </row>
    <row r="173" ht="15" customHeight="1">
      <c r="A173" t="inlineStr">
        <is>
          <t>A 19000-2020</t>
        </is>
      </c>
      <c r="B173" s="1" t="n">
        <v>43935</v>
      </c>
      <c r="C173" s="1" t="n">
        <v>45628</v>
      </c>
      <c r="D173" t="inlineStr">
        <is>
          <t>VÄSTERNORRLANDS LÄN</t>
        </is>
      </c>
      <c r="E173" t="inlineStr">
        <is>
          <t>KRAMFORS</t>
        </is>
      </c>
      <c r="G173" t="n">
        <v>1.1</v>
      </c>
      <c r="H173" t="n">
        <v>0</v>
      </c>
      <c r="I173" t="n">
        <v>0</v>
      </c>
      <c r="J173" t="n">
        <v>0</v>
      </c>
      <c r="K173" t="n">
        <v>0</v>
      </c>
      <c r="L173" t="n">
        <v>0</v>
      </c>
      <c r="M173" t="n">
        <v>0</v>
      </c>
      <c r="N173" t="n">
        <v>0</v>
      </c>
      <c r="O173" t="n">
        <v>0</v>
      </c>
      <c r="P173" t="n">
        <v>0</v>
      </c>
      <c r="Q173" t="n">
        <v>0</v>
      </c>
      <c r="R173" s="2" t="inlineStr"/>
    </row>
    <row r="174" ht="15" customHeight="1">
      <c r="A174" t="inlineStr">
        <is>
          <t>A 19164-2020</t>
        </is>
      </c>
      <c r="B174" s="1" t="n">
        <v>43936</v>
      </c>
      <c r="C174" s="1" t="n">
        <v>45628</v>
      </c>
      <c r="D174" t="inlineStr">
        <is>
          <t>VÄSTERNORRLANDS LÄN</t>
        </is>
      </c>
      <c r="E174" t="inlineStr">
        <is>
          <t>KRAMFORS</t>
        </is>
      </c>
      <c r="G174" t="n">
        <v>4.8</v>
      </c>
      <c r="H174" t="n">
        <v>0</v>
      </c>
      <c r="I174" t="n">
        <v>0</v>
      </c>
      <c r="J174" t="n">
        <v>0</v>
      </c>
      <c r="K174" t="n">
        <v>0</v>
      </c>
      <c r="L174" t="n">
        <v>0</v>
      </c>
      <c r="M174" t="n">
        <v>0</v>
      </c>
      <c r="N174" t="n">
        <v>0</v>
      </c>
      <c r="O174" t="n">
        <v>0</v>
      </c>
      <c r="P174" t="n">
        <v>0</v>
      </c>
      <c r="Q174" t="n">
        <v>0</v>
      </c>
      <c r="R174" s="2" t="inlineStr"/>
    </row>
    <row r="175" ht="15" customHeight="1">
      <c r="A175" t="inlineStr">
        <is>
          <t>A 19708-2020</t>
        </is>
      </c>
      <c r="B175" s="1" t="n">
        <v>43937</v>
      </c>
      <c r="C175" s="1" t="n">
        <v>45628</v>
      </c>
      <c r="D175" t="inlineStr">
        <is>
          <t>VÄSTERNORRLANDS LÄN</t>
        </is>
      </c>
      <c r="E175" t="inlineStr">
        <is>
          <t>KRAMFORS</t>
        </is>
      </c>
      <c r="F175" t="inlineStr">
        <is>
          <t>Kyrkan</t>
        </is>
      </c>
      <c r="G175" t="n">
        <v>6.4</v>
      </c>
      <c r="H175" t="n">
        <v>0</v>
      </c>
      <c r="I175" t="n">
        <v>0</v>
      </c>
      <c r="J175" t="n">
        <v>0</v>
      </c>
      <c r="K175" t="n">
        <v>0</v>
      </c>
      <c r="L175" t="n">
        <v>0</v>
      </c>
      <c r="M175" t="n">
        <v>0</v>
      </c>
      <c r="N175" t="n">
        <v>0</v>
      </c>
      <c r="O175" t="n">
        <v>0</v>
      </c>
      <c r="P175" t="n">
        <v>0</v>
      </c>
      <c r="Q175" t="n">
        <v>0</v>
      </c>
      <c r="R175" s="2" t="inlineStr"/>
    </row>
    <row r="176" ht="15" customHeight="1">
      <c r="A176" t="inlineStr">
        <is>
          <t>A 21021-2020</t>
        </is>
      </c>
      <c r="B176" s="1" t="n">
        <v>43950</v>
      </c>
      <c r="C176" s="1" t="n">
        <v>45628</v>
      </c>
      <c r="D176" t="inlineStr">
        <is>
          <t>VÄSTERNORRLANDS LÄN</t>
        </is>
      </c>
      <c r="E176" t="inlineStr">
        <is>
          <t>KRAMFORS</t>
        </is>
      </c>
      <c r="F176" t="inlineStr">
        <is>
          <t>SCA</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22369-2020</t>
        </is>
      </c>
      <c r="B177" s="1" t="n">
        <v>43957</v>
      </c>
      <c r="C177" s="1" t="n">
        <v>45628</v>
      </c>
      <c r="D177" t="inlineStr">
        <is>
          <t>VÄSTERNORRLANDS LÄN</t>
        </is>
      </c>
      <c r="E177" t="inlineStr">
        <is>
          <t>KRAMFORS</t>
        </is>
      </c>
      <c r="G177" t="n">
        <v>1.5</v>
      </c>
      <c r="H177" t="n">
        <v>0</v>
      </c>
      <c r="I177" t="n">
        <v>0</v>
      </c>
      <c r="J177" t="n">
        <v>0</v>
      </c>
      <c r="K177" t="n">
        <v>0</v>
      </c>
      <c r="L177" t="n">
        <v>0</v>
      </c>
      <c r="M177" t="n">
        <v>0</v>
      </c>
      <c r="N177" t="n">
        <v>0</v>
      </c>
      <c r="O177" t="n">
        <v>0</v>
      </c>
      <c r="P177" t="n">
        <v>0</v>
      </c>
      <c r="Q177" t="n">
        <v>0</v>
      </c>
      <c r="R177" s="2" t="inlineStr"/>
    </row>
    <row r="178" ht="15" customHeight="1">
      <c r="A178" t="inlineStr">
        <is>
          <t>A 22698-2020</t>
        </is>
      </c>
      <c r="B178" s="1" t="n">
        <v>43963</v>
      </c>
      <c r="C178" s="1" t="n">
        <v>45628</v>
      </c>
      <c r="D178" t="inlineStr">
        <is>
          <t>VÄSTERNORRLANDS LÄN</t>
        </is>
      </c>
      <c r="E178" t="inlineStr">
        <is>
          <t>KRAMFORS</t>
        </is>
      </c>
      <c r="F178" t="inlineStr">
        <is>
          <t>SCA</t>
        </is>
      </c>
      <c r="G178" t="n">
        <v>8.5</v>
      </c>
      <c r="H178" t="n">
        <v>0</v>
      </c>
      <c r="I178" t="n">
        <v>0</v>
      </c>
      <c r="J178" t="n">
        <v>0</v>
      </c>
      <c r="K178" t="n">
        <v>0</v>
      </c>
      <c r="L178" t="n">
        <v>0</v>
      </c>
      <c r="M178" t="n">
        <v>0</v>
      </c>
      <c r="N178" t="n">
        <v>0</v>
      </c>
      <c r="O178" t="n">
        <v>0</v>
      </c>
      <c r="P178" t="n">
        <v>0</v>
      </c>
      <c r="Q178" t="n">
        <v>0</v>
      </c>
      <c r="R178" s="2" t="inlineStr"/>
    </row>
    <row r="179" ht="15" customHeight="1">
      <c r="A179" t="inlineStr">
        <is>
          <t>A 22829-2020</t>
        </is>
      </c>
      <c r="B179" s="1" t="n">
        <v>43964</v>
      </c>
      <c r="C179" s="1" t="n">
        <v>45628</v>
      </c>
      <c r="D179" t="inlineStr">
        <is>
          <t>VÄSTERNORRLANDS LÄN</t>
        </is>
      </c>
      <c r="E179" t="inlineStr">
        <is>
          <t>KRAMFORS</t>
        </is>
      </c>
      <c r="G179" t="n">
        <v>1.1</v>
      </c>
      <c r="H179" t="n">
        <v>0</v>
      </c>
      <c r="I179" t="n">
        <v>0</v>
      </c>
      <c r="J179" t="n">
        <v>0</v>
      </c>
      <c r="K179" t="n">
        <v>0</v>
      </c>
      <c r="L179" t="n">
        <v>0</v>
      </c>
      <c r="M179" t="n">
        <v>0</v>
      </c>
      <c r="N179" t="n">
        <v>0</v>
      </c>
      <c r="O179" t="n">
        <v>0</v>
      </c>
      <c r="P179" t="n">
        <v>0</v>
      </c>
      <c r="Q179" t="n">
        <v>0</v>
      </c>
      <c r="R179" s="2" t="inlineStr"/>
    </row>
    <row r="180" ht="15" customHeight="1">
      <c r="A180" t="inlineStr">
        <is>
          <t>A 22841-2020</t>
        </is>
      </c>
      <c r="B180" s="1" t="n">
        <v>43964</v>
      </c>
      <c r="C180" s="1" t="n">
        <v>45628</v>
      </c>
      <c r="D180" t="inlineStr">
        <is>
          <t>VÄSTERNORRLANDS LÄN</t>
        </is>
      </c>
      <c r="E180" t="inlineStr">
        <is>
          <t>KRAMFORS</t>
        </is>
      </c>
      <c r="G180" t="n">
        <v>0.9</v>
      </c>
      <c r="H180" t="n">
        <v>0</v>
      </c>
      <c r="I180" t="n">
        <v>0</v>
      </c>
      <c r="J180" t="n">
        <v>0</v>
      </c>
      <c r="K180" t="n">
        <v>0</v>
      </c>
      <c r="L180" t="n">
        <v>0</v>
      </c>
      <c r="M180" t="n">
        <v>0</v>
      </c>
      <c r="N180" t="n">
        <v>0</v>
      </c>
      <c r="O180" t="n">
        <v>0</v>
      </c>
      <c r="P180" t="n">
        <v>0</v>
      </c>
      <c r="Q180" t="n">
        <v>0</v>
      </c>
      <c r="R180" s="2" t="inlineStr"/>
    </row>
    <row r="181" ht="15" customHeight="1">
      <c r="A181" t="inlineStr">
        <is>
          <t>A 23752-2020</t>
        </is>
      </c>
      <c r="B181" s="1" t="n">
        <v>43969</v>
      </c>
      <c r="C181" s="1" t="n">
        <v>45628</v>
      </c>
      <c r="D181" t="inlineStr">
        <is>
          <t>VÄSTERNORRLANDS LÄN</t>
        </is>
      </c>
      <c r="E181" t="inlineStr">
        <is>
          <t>KRAMFORS</t>
        </is>
      </c>
      <c r="G181" t="n">
        <v>4.1</v>
      </c>
      <c r="H181" t="n">
        <v>0</v>
      </c>
      <c r="I181" t="n">
        <v>0</v>
      </c>
      <c r="J181" t="n">
        <v>0</v>
      </c>
      <c r="K181" t="n">
        <v>0</v>
      </c>
      <c r="L181" t="n">
        <v>0</v>
      </c>
      <c r="M181" t="n">
        <v>0</v>
      </c>
      <c r="N181" t="n">
        <v>0</v>
      </c>
      <c r="O181" t="n">
        <v>0</v>
      </c>
      <c r="P181" t="n">
        <v>0</v>
      </c>
      <c r="Q181" t="n">
        <v>0</v>
      </c>
      <c r="R181" s="2" t="inlineStr"/>
    </row>
    <row r="182" ht="15" customHeight="1">
      <c r="A182" t="inlineStr">
        <is>
          <t>A 24665-2020</t>
        </is>
      </c>
      <c r="B182" s="1" t="n">
        <v>43977</v>
      </c>
      <c r="C182" s="1" t="n">
        <v>45628</v>
      </c>
      <c r="D182" t="inlineStr">
        <is>
          <t>VÄSTERNORRLANDS LÄN</t>
        </is>
      </c>
      <c r="E182" t="inlineStr">
        <is>
          <t>KRAMFORS</t>
        </is>
      </c>
      <c r="G182" t="n">
        <v>2.3</v>
      </c>
      <c r="H182" t="n">
        <v>0</v>
      </c>
      <c r="I182" t="n">
        <v>0</v>
      </c>
      <c r="J182" t="n">
        <v>0</v>
      </c>
      <c r="K182" t="n">
        <v>0</v>
      </c>
      <c r="L182" t="n">
        <v>0</v>
      </c>
      <c r="M182" t="n">
        <v>0</v>
      </c>
      <c r="N182" t="n">
        <v>0</v>
      </c>
      <c r="O182" t="n">
        <v>0</v>
      </c>
      <c r="P182" t="n">
        <v>0</v>
      </c>
      <c r="Q182" t="n">
        <v>0</v>
      </c>
      <c r="R182" s="2" t="inlineStr"/>
    </row>
    <row r="183" ht="15" customHeight="1">
      <c r="A183" t="inlineStr">
        <is>
          <t>A 25290-2020</t>
        </is>
      </c>
      <c r="B183" s="1" t="n">
        <v>43979</v>
      </c>
      <c r="C183" s="1" t="n">
        <v>45628</v>
      </c>
      <c r="D183" t="inlineStr">
        <is>
          <t>VÄSTERNORRLANDS LÄN</t>
        </is>
      </c>
      <c r="E183" t="inlineStr">
        <is>
          <t>KRAMFORS</t>
        </is>
      </c>
      <c r="G183" t="n">
        <v>1.2</v>
      </c>
      <c r="H183" t="n">
        <v>0</v>
      </c>
      <c r="I183" t="n">
        <v>0</v>
      </c>
      <c r="J183" t="n">
        <v>0</v>
      </c>
      <c r="K183" t="n">
        <v>0</v>
      </c>
      <c r="L183" t="n">
        <v>0</v>
      </c>
      <c r="M183" t="n">
        <v>0</v>
      </c>
      <c r="N183" t="n">
        <v>0</v>
      </c>
      <c r="O183" t="n">
        <v>0</v>
      </c>
      <c r="P183" t="n">
        <v>0</v>
      </c>
      <c r="Q183" t="n">
        <v>0</v>
      </c>
      <c r="R183" s="2" t="inlineStr"/>
    </row>
    <row r="184" ht="15" customHeight="1">
      <c r="A184" t="inlineStr">
        <is>
          <t>A 25659-2020</t>
        </is>
      </c>
      <c r="B184" s="1" t="n">
        <v>43983</v>
      </c>
      <c r="C184" s="1" t="n">
        <v>45628</v>
      </c>
      <c r="D184" t="inlineStr">
        <is>
          <t>VÄSTERNORRLANDS LÄN</t>
        </is>
      </c>
      <c r="E184" t="inlineStr">
        <is>
          <t>KRAMFORS</t>
        </is>
      </c>
      <c r="G184" t="n">
        <v>2.6</v>
      </c>
      <c r="H184" t="n">
        <v>0</v>
      </c>
      <c r="I184" t="n">
        <v>0</v>
      </c>
      <c r="J184" t="n">
        <v>0</v>
      </c>
      <c r="K184" t="n">
        <v>0</v>
      </c>
      <c r="L184" t="n">
        <v>0</v>
      </c>
      <c r="M184" t="n">
        <v>0</v>
      </c>
      <c r="N184" t="n">
        <v>0</v>
      </c>
      <c r="O184" t="n">
        <v>0</v>
      </c>
      <c r="P184" t="n">
        <v>0</v>
      </c>
      <c r="Q184" t="n">
        <v>0</v>
      </c>
      <c r="R184" s="2" t="inlineStr"/>
    </row>
    <row r="185" ht="15" customHeight="1">
      <c r="A185" t="inlineStr">
        <is>
          <t>A 26976-2020</t>
        </is>
      </c>
      <c r="B185" s="1" t="n">
        <v>43990</v>
      </c>
      <c r="C185" s="1" t="n">
        <v>45628</v>
      </c>
      <c r="D185" t="inlineStr">
        <is>
          <t>VÄSTERNORRLANDS LÄN</t>
        </is>
      </c>
      <c r="E185" t="inlineStr">
        <is>
          <t>KRAMFORS</t>
        </is>
      </c>
      <c r="F185" t="inlineStr">
        <is>
          <t>SCA</t>
        </is>
      </c>
      <c r="G185" t="n">
        <v>1.4</v>
      </c>
      <c r="H185" t="n">
        <v>0</v>
      </c>
      <c r="I185" t="n">
        <v>0</v>
      </c>
      <c r="J185" t="n">
        <v>0</v>
      </c>
      <c r="K185" t="n">
        <v>0</v>
      </c>
      <c r="L185" t="n">
        <v>0</v>
      </c>
      <c r="M185" t="n">
        <v>0</v>
      </c>
      <c r="N185" t="n">
        <v>0</v>
      </c>
      <c r="O185" t="n">
        <v>0</v>
      </c>
      <c r="P185" t="n">
        <v>0</v>
      </c>
      <c r="Q185" t="n">
        <v>0</v>
      </c>
      <c r="R185" s="2" t="inlineStr"/>
    </row>
    <row r="186" ht="15" customHeight="1">
      <c r="A186" t="inlineStr">
        <is>
          <t>A 27454-2020</t>
        </is>
      </c>
      <c r="B186" s="1" t="n">
        <v>43992</v>
      </c>
      <c r="C186" s="1" t="n">
        <v>45628</v>
      </c>
      <c r="D186" t="inlineStr">
        <is>
          <t>VÄSTERNORRLANDS LÄN</t>
        </is>
      </c>
      <c r="E186" t="inlineStr">
        <is>
          <t>KRAMFORS</t>
        </is>
      </c>
      <c r="G186" t="n">
        <v>1.9</v>
      </c>
      <c r="H186" t="n">
        <v>0</v>
      </c>
      <c r="I186" t="n">
        <v>0</v>
      </c>
      <c r="J186" t="n">
        <v>0</v>
      </c>
      <c r="K186" t="n">
        <v>0</v>
      </c>
      <c r="L186" t="n">
        <v>0</v>
      </c>
      <c r="M186" t="n">
        <v>0</v>
      </c>
      <c r="N186" t="n">
        <v>0</v>
      </c>
      <c r="O186" t="n">
        <v>0</v>
      </c>
      <c r="P186" t="n">
        <v>0</v>
      </c>
      <c r="Q186" t="n">
        <v>0</v>
      </c>
      <c r="R186" s="2" t="inlineStr"/>
    </row>
    <row r="187" ht="15" customHeight="1">
      <c r="A187" t="inlineStr">
        <is>
          <t>A 27886-2020</t>
        </is>
      </c>
      <c r="B187" s="1" t="n">
        <v>43994</v>
      </c>
      <c r="C187" s="1" t="n">
        <v>45628</v>
      </c>
      <c r="D187" t="inlineStr">
        <is>
          <t>VÄSTERNORRLANDS LÄN</t>
        </is>
      </c>
      <c r="E187" t="inlineStr">
        <is>
          <t>KRAMFORS</t>
        </is>
      </c>
      <c r="G187" t="n">
        <v>4.8</v>
      </c>
      <c r="H187" t="n">
        <v>0</v>
      </c>
      <c r="I187" t="n">
        <v>0</v>
      </c>
      <c r="J187" t="n">
        <v>0</v>
      </c>
      <c r="K187" t="n">
        <v>0</v>
      </c>
      <c r="L187" t="n">
        <v>0</v>
      </c>
      <c r="M187" t="n">
        <v>0</v>
      </c>
      <c r="N187" t="n">
        <v>0</v>
      </c>
      <c r="O187" t="n">
        <v>0</v>
      </c>
      <c r="P187" t="n">
        <v>0</v>
      </c>
      <c r="Q187" t="n">
        <v>0</v>
      </c>
      <c r="R187" s="2" t="inlineStr"/>
    </row>
    <row r="188" ht="15" customHeight="1">
      <c r="A188" t="inlineStr">
        <is>
          <t>A 28195-2020</t>
        </is>
      </c>
      <c r="B188" s="1" t="n">
        <v>43998</v>
      </c>
      <c r="C188" s="1" t="n">
        <v>45628</v>
      </c>
      <c r="D188" t="inlineStr">
        <is>
          <t>VÄSTERNORRLANDS LÄN</t>
        </is>
      </c>
      <c r="E188" t="inlineStr">
        <is>
          <t>KRAMFORS</t>
        </is>
      </c>
      <c r="G188" t="n">
        <v>5</v>
      </c>
      <c r="H188" t="n">
        <v>0</v>
      </c>
      <c r="I188" t="n">
        <v>0</v>
      </c>
      <c r="J188" t="n">
        <v>0</v>
      </c>
      <c r="K188" t="n">
        <v>0</v>
      </c>
      <c r="L188" t="n">
        <v>0</v>
      </c>
      <c r="M188" t="n">
        <v>0</v>
      </c>
      <c r="N188" t="n">
        <v>0</v>
      </c>
      <c r="O188" t="n">
        <v>0</v>
      </c>
      <c r="P188" t="n">
        <v>0</v>
      </c>
      <c r="Q188" t="n">
        <v>0</v>
      </c>
      <c r="R188" s="2" t="inlineStr"/>
    </row>
    <row r="189" ht="15" customHeight="1">
      <c r="A189" t="inlineStr">
        <is>
          <t>A 27951-2020</t>
        </is>
      </c>
      <c r="B189" s="1" t="n">
        <v>43997</v>
      </c>
      <c r="C189" s="1" t="n">
        <v>45628</v>
      </c>
      <c r="D189" t="inlineStr">
        <is>
          <t>VÄSTERNORRLANDS LÄN</t>
        </is>
      </c>
      <c r="E189" t="inlineStr">
        <is>
          <t>KRAMFORS</t>
        </is>
      </c>
      <c r="G189" t="n">
        <v>18.7</v>
      </c>
      <c r="H189" t="n">
        <v>0</v>
      </c>
      <c r="I189" t="n">
        <v>0</v>
      </c>
      <c r="J189" t="n">
        <v>0</v>
      </c>
      <c r="K189" t="n">
        <v>0</v>
      </c>
      <c r="L189" t="n">
        <v>0</v>
      </c>
      <c r="M189" t="n">
        <v>0</v>
      </c>
      <c r="N189" t="n">
        <v>0</v>
      </c>
      <c r="O189" t="n">
        <v>0</v>
      </c>
      <c r="P189" t="n">
        <v>0</v>
      </c>
      <c r="Q189" t="n">
        <v>0</v>
      </c>
      <c r="R189" s="2" t="inlineStr"/>
    </row>
    <row r="190" ht="15" customHeight="1">
      <c r="A190" t="inlineStr">
        <is>
          <t>A 28532-2020</t>
        </is>
      </c>
      <c r="B190" s="1" t="n">
        <v>43999</v>
      </c>
      <c r="C190" s="1" t="n">
        <v>45628</v>
      </c>
      <c r="D190" t="inlineStr">
        <is>
          <t>VÄSTERNORRLANDS LÄN</t>
        </is>
      </c>
      <c r="E190" t="inlineStr">
        <is>
          <t>KRAMFORS</t>
        </is>
      </c>
      <c r="G190" t="n">
        <v>4.6</v>
      </c>
      <c r="H190" t="n">
        <v>0</v>
      </c>
      <c r="I190" t="n">
        <v>0</v>
      </c>
      <c r="J190" t="n">
        <v>0</v>
      </c>
      <c r="K190" t="n">
        <v>0</v>
      </c>
      <c r="L190" t="n">
        <v>0</v>
      </c>
      <c r="M190" t="n">
        <v>0</v>
      </c>
      <c r="N190" t="n">
        <v>0</v>
      </c>
      <c r="O190" t="n">
        <v>0</v>
      </c>
      <c r="P190" t="n">
        <v>0</v>
      </c>
      <c r="Q190" t="n">
        <v>0</v>
      </c>
      <c r="R190" s="2" t="inlineStr"/>
    </row>
    <row r="191" ht="15" customHeight="1">
      <c r="A191" t="inlineStr">
        <is>
          <t>A 29070-2020</t>
        </is>
      </c>
      <c r="B191" s="1" t="n">
        <v>44001</v>
      </c>
      <c r="C191" s="1" t="n">
        <v>45628</v>
      </c>
      <c r="D191" t="inlineStr">
        <is>
          <t>VÄSTERNORRLANDS LÄN</t>
        </is>
      </c>
      <c r="E191" t="inlineStr">
        <is>
          <t>KRAMFORS</t>
        </is>
      </c>
      <c r="G191" t="n">
        <v>0.8</v>
      </c>
      <c r="H191" t="n">
        <v>0</v>
      </c>
      <c r="I191" t="n">
        <v>0</v>
      </c>
      <c r="J191" t="n">
        <v>0</v>
      </c>
      <c r="K191" t="n">
        <v>0</v>
      </c>
      <c r="L191" t="n">
        <v>0</v>
      </c>
      <c r="M191" t="n">
        <v>0</v>
      </c>
      <c r="N191" t="n">
        <v>0</v>
      </c>
      <c r="O191" t="n">
        <v>0</v>
      </c>
      <c r="P191" t="n">
        <v>0</v>
      </c>
      <c r="Q191" t="n">
        <v>0</v>
      </c>
      <c r="R191" s="2" t="inlineStr"/>
    </row>
    <row r="192" ht="15" customHeight="1">
      <c r="A192" t="inlineStr">
        <is>
          <t>A 29507-2020</t>
        </is>
      </c>
      <c r="B192" s="1" t="n">
        <v>44004</v>
      </c>
      <c r="C192" s="1" t="n">
        <v>45628</v>
      </c>
      <c r="D192" t="inlineStr">
        <is>
          <t>VÄSTERNORRLANDS LÄN</t>
        </is>
      </c>
      <c r="E192" t="inlineStr">
        <is>
          <t>KRAMFORS</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29815-2020</t>
        </is>
      </c>
      <c r="B193" s="1" t="n">
        <v>44005</v>
      </c>
      <c r="C193" s="1" t="n">
        <v>45628</v>
      </c>
      <c r="D193" t="inlineStr">
        <is>
          <t>VÄSTERNORRLANDS LÄN</t>
        </is>
      </c>
      <c r="E193" t="inlineStr">
        <is>
          <t>KRAMFORS</t>
        </is>
      </c>
      <c r="G193" t="n">
        <v>3.3</v>
      </c>
      <c r="H193" t="n">
        <v>0</v>
      </c>
      <c r="I193" t="n">
        <v>0</v>
      </c>
      <c r="J193" t="n">
        <v>0</v>
      </c>
      <c r="K193" t="n">
        <v>0</v>
      </c>
      <c r="L193" t="n">
        <v>0</v>
      </c>
      <c r="M193" t="n">
        <v>0</v>
      </c>
      <c r="N193" t="n">
        <v>0</v>
      </c>
      <c r="O193" t="n">
        <v>0</v>
      </c>
      <c r="P193" t="n">
        <v>0</v>
      </c>
      <c r="Q193" t="n">
        <v>0</v>
      </c>
      <c r="R193" s="2" t="inlineStr"/>
    </row>
    <row r="194" ht="15" customHeight="1">
      <c r="A194" t="inlineStr">
        <is>
          <t>A 30158-2020</t>
        </is>
      </c>
      <c r="B194" s="1" t="n">
        <v>44005</v>
      </c>
      <c r="C194" s="1" t="n">
        <v>45628</v>
      </c>
      <c r="D194" t="inlineStr">
        <is>
          <t>VÄSTERNORRLANDS LÄN</t>
        </is>
      </c>
      <c r="E194" t="inlineStr">
        <is>
          <t>KRAMFORS</t>
        </is>
      </c>
      <c r="G194" t="n">
        <v>0.6</v>
      </c>
      <c r="H194" t="n">
        <v>0</v>
      </c>
      <c r="I194" t="n">
        <v>0</v>
      </c>
      <c r="J194" t="n">
        <v>0</v>
      </c>
      <c r="K194" t="n">
        <v>0</v>
      </c>
      <c r="L194" t="n">
        <v>0</v>
      </c>
      <c r="M194" t="n">
        <v>0</v>
      </c>
      <c r="N194" t="n">
        <v>0</v>
      </c>
      <c r="O194" t="n">
        <v>0</v>
      </c>
      <c r="P194" t="n">
        <v>0</v>
      </c>
      <c r="Q194" t="n">
        <v>0</v>
      </c>
      <c r="R194" s="2" t="inlineStr"/>
    </row>
    <row r="195" ht="15" customHeight="1">
      <c r="A195" t="inlineStr">
        <is>
          <t>A 30159-2020</t>
        </is>
      </c>
      <c r="B195" s="1" t="n">
        <v>44005</v>
      </c>
      <c r="C195" s="1" t="n">
        <v>45628</v>
      </c>
      <c r="D195" t="inlineStr">
        <is>
          <t>VÄSTERNORRLANDS LÄN</t>
        </is>
      </c>
      <c r="E195" t="inlineStr">
        <is>
          <t>KRAMFORS</t>
        </is>
      </c>
      <c r="G195" t="n">
        <v>1</v>
      </c>
      <c r="H195" t="n">
        <v>0</v>
      </c>
      <c r="I195" t="n">
        <v>0</v>
      </c>
      <c r="J195" t="n">
        <v>0</v>
      </c>
      <c r="K195" t="n">
        <v>0</v>
      </c>
      <c r="L195" t="n">
        <v>0</v>
      </c>
      <c r="M195" t="n">
        <v>0</v>
      </c>
      <c r="N195" t="n">
        <v>0</v>
      </c>
      <c r="O195" t="n">
        <v>0</v>
      </c>
      <c r="P195" t="n">
        <v>0</v>
      </c>
      <c r="Q195" t="n">
        <v>0</v>
      </c>
      <c r="R195" s="2" t="inlineStr"/>
    </row>
    <row r="196" ht="15" customHeight="1">
      <c r="A196" t="inlineStr">
        <is>
          <t>A 30162-2020</t>
        </is>
      </c>
      <c r="B196" s="1" t="n">
        <v>44005</v>
      </c>
      <c r="C196" s="1" t="n">
        <v>45628</v>
      </c>
      <c r="D196" t="inlineStr">
        <is>
          <t>VÄSTERNORRLANDS LÄN</t>
        </is>
      </c>
      <c r="E196" t="inlineStr">
        <is>
          <t>KRAMFORS</t>
        </is>
      </c>
      <c r="G196" t="n">
        <v>2.1</v>
      </c>
      <c r="H196" t="n">
        <v>0</v>
      </c>
      <c r="I196" t="n">
        <v>0</v>
      </c>
      <c r="J196" t="n">
        <v>0</v>
      </c>
      <c r="K196" t="n">
        <v>0</v>
      </c>
      <c r="L196" t="n">
        <v>0</v>
      </c>
      <c r="M196" t="n">
        <v>0</v>
      </c>
      <c r="N196" t="n">
        <v>0</v>
      </c>
      <c r="O196" t="n">
        <v>0</v>
      </c>
      <c r="P196" t="n">
        <v>0</v>
      </c>
      <c r="Q196" t="n">
        <v>0</v>
      </c>
      <c r="R196" s="2" t="inlineStr"/>
    </row>
    <row r="197" ht="15" customHeight="1">
      <c r="A197" t="inlineStr">
        <is>
          <t>A 31293-2020</t>
        </is>
      </c>
      <c r="B197" s="1" t="n">
        <v>44012</v>
      </c>
      <c r="C197" s="1" t="n">
        <v>45628</v>
      </c>
      <c r="D197" t="inlineStr">
        <is>
          <t>VÄSTERNORRLANDS LÄN</t>
        </is>
      </c>
      <c r="E197" t="inlineStr">
        <is>
          <t>KRAMFORS</t>
        </is>
      </c>
      <c r="G197" t="n">
        <v>0.6</v>
      </c>
      <c r="H197" t="n">
        <v>0</v>
      </c>
      <c r="I197" t="n">
        <v>0</v>
      </c>
      <c r="J197" t="n">
        <v>0</v>
      </c>
      <c r="K197" t="n">
        <v>0</v>
      </c>
      <c r="L197" t="n">
        <v>0</v>
      </c>
      <c r="M197" t="n">
        <v>0</v>
      </c>
      <c r="N197" t="n">
        <v>0</v>
      </c>
      <c r="O197" t="n">
        <v>0</v>
      </c>
      <c r="P197" t="n">
        <v>0</v>
      </c>
      <c r="Q197" t="n">
        <v>0</v>
      </c>
      <c r="R197" s="2" t="inlineStr"/>
    </row>
    <row r="198" ht="15" customHeight="1">
      <c r="A198" t="inlineStr">
        <is>
          <t>A 31294-2020</t>
        </is>
      </c>
      <c r="B198" s="1" t="n">
        <v>44012</v>
      </c>
      <c r="C198" s="1" t="n">
        <v>45628</v>
      </c>
      <c r="D198" t="inlineStr">
        <is>
          <t>VÄSTERNORRLANDS LÄN</t>
        </is>
      </c>
      <c r="E198" t="inlineStr">
        <is>
          <t>KRAMFORS</t>
        </is>
      </c>
      <c r="G198" t="n">
        <v>0.8</v>
      </c>
      <c r="H198" t="n">
        <v>0</v>
      </c>
      <c r="I198" t="n">
        <v>0</v>
      </c>
      <c r="J198" t="n">
        <v>0</v>
      </c>
      <c r="K198" t="n">
        <v>0</v>
      </c>
      <c r="L198" t="n">
        <v>0</v>
      </c>
      <c r="M198" t="n">
        <v>0</v>
      </c>
      <c r="N198" t="n">
        <v>0</v>
      </c>
      <c r="O198" t="n">
        <v>0</v>
      </c>
      <c r="P198" t="n">
        <v>0</v>
      </c>
      <c r="Q198" t="n">
        <v>0</v>
      </c>
      <c r="R198" s="2" t="inlineStr"/>
    </row>
    <row r="199" ht="15" customHeight="1">
      <c r="A199" t="inlineStr">
        <is>
          <t>A 32115-2020</t>
        </is>
      </c>
      <c r="B199" s="1" t="n">
        <v>44014</v>
      </c>
      <c r="C199" s="1" t="n">
        <v>45628</v>
      </c>
      <c r="D199" t="inlineStr">
        <is>
          <t>VÄSTERNORRLANDS LÄN</t>
        </is>
      </c>
      <c r="E199" t="inlineStr">
        <is>
          <t>KRAMFORS</t>
        </is>
      </c>
      <c r="G199" t="n">
        <v>2.1</v>
      </c>
      <c r="H199" t="n">
        <v>0</v>
      </c>
      <c r="I199" t="n">
        <v>0</v>
      </c>
      <c r="J199" t="n">
        <v>0</v>
      </c>
      <c r="K199" t="n">
        <v>0</v>
      </c>
      <c r="L199" t="n">
        <v>0</v>
      </c>
      <c r="M199" t="n">
        <v>0</v>
      </c>
      <c r="N199" t="n">
        <v>0</v>
      </c>
      <c r="O199" t="n">
        <v>0</v>
      </c>
      <c r="P199" t="n">
        <v>0</v>
      </c>
      <c r="Q199" t="n">
        <v>0</v>
      </c>
      <c r="R199" s="2" t="inlineStr"/>
    </row>
    <row r="200" ht="15" customHeight="1">
      <c r="A200" t="inlineStr">
        <is>
          <t>A 32866-2020</t>
        </is>
      </c>
      <c r="B200" s="1" t="n">
        <v>44018</v>
      </c>
      <c r="C200" s="1" t="n">
        <v>45628</v>
      </c>
      <c r="D200" t="inlineStr">
        <is>
          <t>VÄSTERNORRLANDS LÄN</t>
        </is>
      </c>
      <c r="E200" t="inlineStr">
        <is>
          <t>KRAMFORS</t>
        </is>
      </c>
      <c r="G200" t="n">
        <v>4.6</v>
      </c>
      <c r="H200" t="n">
        <v>0</v>
      </c>
      <c r="I200" t="n">
        <v>0</v>
      </c>
      <c r="J200" t="n">
        <v>0</v>
      </c>
      <c r="K200" t="n">
        <v>0</v>
      </c>
      <c r="L200" t="n">
        <v>0</v>
      </c>
      <c r="M200" t="n">
        <v>0</v>
      </c>
      <c r="N200" t="n">
        <v>0</v>
      </c>
      <c r="O200" t="n">
        <v>0</v>
      </c>
      <c r="P200" t="n">
        <v>0</v>
      </c>
      <c r="Q200" t="n">
        <v>0</v>
      </c>
      <c r="R200" s="2" t="inlineStr"/>
    </row>
    <row r="201" ht="15" customHeight="1">
      <c r="A201" t="inlineStr">
        <is>
          <t>A 32852-2020</t>
        </is>
      </c>
      <c r="B201" s="1" t="n">
        <v>44018</v>
      </c>
      <c r="C201" s="1" t="n">
        <v>45628</v>
      </c>
      <c r="D201" t="inlineStr">
        <is>
          <t>VÄSTERNORRLANDS LÄN</t>
        </is>
      </c>
      <c r="E201" t="inlineStr">
        <is>
          <t>KRAMFORS</t>
        </is>
      </c>
      <c r="G201" t="n">
        <v>1.3</v>
      </c>
      <c r="H201" t="n">
        <v>0</v>
      </c>
      <c r="I201" t="n">
        <v>0</v>
      </c>
      <c r="J201" t="n">
        <v>0</v>
      </c>
      <c r="K201" t="n">
        <v>0</v>
      </c>
      <c r="L201" t="n">
        <v>0</v>
      </c>
      <c r="M201" t="n">
        <v>0</v>
      </c>
      <c r="N201" t="n">
        <v>0</v>
      </c>
      <c r="O201" t="n">
        <v>0</v>
      </c>
      <c r="P201" t="n">
        <v>0</v>
      </c>
      <c r="Q201" t="n">
        <v>0</v>
      </c>
      <c r="R201" s="2" t="inlineStr"/>
    </row>
    <row r="202" ht="15" customHeight="1">
      <c r="A202" t="inlineStr">
        <is>
          <t>A 32772-2020</t>
        </is>
      </c>
      <c r="B202" s="1" t="n">
        <v>44019</v>
      </c>
      <c r="C202" s="1" t="n">
        <v>45628</v>
      </c>
      <c r="D202" t="inlineStr">
        <is>
          <t>VÄSTERNORRLANDS LÄN</t>
        </is>
      </c>
      <c r="E202" t="inlineStr">
        <is>
          <t>KRAMFORS</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32774-2020</t>
        </is>
      </c>
      <c r="B203" s="1" t="n">
        <v>44019</v>
      </c>
      <c r="C203" s="1" t="n">
        <v>45628</v>
      </c>
      <c r="D203" t="inlineStr">
        <is>
          <t>VÄSTERNORRLANDS LÄN</t>
        </is>
      </c>
      <c r="E203" t="inlineStr">
        <is>
          <t>KRAMFORS</t>
        </is>
      </c>
      <c r="G203" t="n">
        <v>4.2</v>
      </c>
      <c r="H203" t="n">
        <v>0</v>
      </c>
      <c r="I203" t="n">
        <v>0</v>
      </c>
      <c r="J203" t="n">
        <v>0</v>
      </c>
      <c r="K203" t="n">
        <v>0</v>
      </c>
      <c r="L203" t="n">
        <v>0</v>
      </c>
      <c r="M203" t="n">
        <v>0</v>
      </c>
      <c r="N203" t="n">
        <v>0</v>
      </c>
      <c r="O203" t="n">
        <v>0</v>
      </c>
      <c r="P203" t="n">
        <v>0</v>
      </c>
      <c r="Q203" t="n">
        <v>0</v>
      </c>
      <c r="R203" s="2" t="inlineStr"/>
    </row>
    <row r="204" ht="15" customHeight="1">
      <c r="A204" t="inlineStr">
        <is>
          <t>A 33929-2020</t>
        </is>
      </c>
      <c r="B204" s="1" t="n">
        <v>44027</v>
      </c>
      <c r="C204" s="1" t="n">
        <v>45628</v>
      </c>
      <c r="D204" t="inlineStr">
        <is>
          <t>VÄSTERNORRLANDS LÄN</t>
        </is>
      </c>
      <c r="E204" t="inlineStr">
        <is>
          <t>KRAMFORS</t>
        </is>
      </c>
      <c r="G204" t="n">
        <v>2.7</v>
      </c>
      <c r="H204" t="n">
        <v>0</v>
      </c>
      <c r="I204" t="n">
        <v>0</v>
      </c>
      <c r="J204" t="n">
        <v>0</v>
      </c>
      <c r="K204" t="n">
        <v>0</v>
      </c>
      <c r="L204" t="n">
        <v>0</v>
      </c>
      <c r="M204" t="n">
        <v>0</v>
      </c>
      <c r="N204" t="n">
        <v>0</v>
      </c>
      <c r="O204" t="n">
        <v>0</v>
      </c>
      <c r="P204" t="n">
        <v>0</v>
      </c>
      <c r="Q204" t="n">
        <v>0</v>
      </c>
      <c r="R204" s="2" t="inlineStr"/>
    </row>
    <row r="205" ht="15" customHeight="1">
      <c r="A205" t="inlineStr">
        <is>
          <t>A 34352-2020</t>
        </is>
      </c>
      <c r="B205" s="1" t="n">
        <v>44028</v>
      </c>
      <c r="C205" s="1" t="n">
        <v>45628</v>
      </c>
      <c r="D205" t="inlineStr">
        <is>
          <t>VÄSTERNORRLANDS LÄN</t>
        </is>
      </c>
      <c r="E205" t="inlineStr">
        <is>
          <t>KRAMFORS</t>
        </is>
      </c>
      <c r="G205" t="n">
        <v>1.6</v>
      </c>
      <c r="H205" t="n">
        <v>0</v>
      </c>
      <c r="I205" t="n">
        <v>0</v>
      </c>
      <c r="J205" t="n">
        <v>0</v>
      </c>
      <c r="K205" t="n">
        <v>0</v>
      </c>
      <c r="L205" t="n">
        <v>0</v>
      </c>
      <c r="M205" t="n">
        <v>0</v>
      </c>
      <c r="N205" t="n">
        <v>0</v>
      </c>
      <c r="O205" t="n">
        <v>0</v>
      </c>
      <c r="P205" t="n">
        <v>0</v>
      </c>
      <c r="Q205" t="n">
        <v>0</v>
      </c>
      <c r="R205" s="2" t="inlineStr"/>
    </row>
    <row r="206" ht="15" customHeight="1">
      <c r="A206" t="inlineStr">
        <is>
          <t>A 35527-2020</t>
        </is>
      </c>
      <c r="B206" s="1" t="n">
        <v>44043</v>
      </c>
      <c r="C206" s="1" t="n">
        <v>45628</v>
      </c>
      <c r="D206" t="inlineStr">
        <is>
          <t>VÄSTERNORRLANDS LÄN</t>
        </is>
      </c>
      <c r="E206" t="inlineStr">
        <is>
          <t>KRAMFORS</t>
        </is>
      </c>
      <c r="G206" t="n">
        <v>0.7</v>
      </c>
      <c r="H206" t="n">
        <v>0</v>
      </c>
      <c r="I206" t="n">
        <v>0</v>
      </c>
      <c r="J206" t="n">
        <v>0</v>
      </c>
      <c r="K206" t="n">
        <v>0</v>
      </c>
      <c r="L206" t="n">
        <v>0</v>
      </c>
      <c r="M206" t="n">
        <v>0</v>
      </c>
      <c r="N206" t="n">
        <v>0</v>
      </c>
      <c r="O206" t="n">
        <v>0</v>
      </c>
      <c r="P206" t="n">
        <v>0</v>
      </c>
      <c r="Q206" t="n">
        <v>0</v>
      </c>
      <c r="R206" s="2" t="inlineStr"/>
    </row>
    <row r="207" ht="15" customHeight="1">
      <c r="A207" t="inlineStr">
        <is>
          <t>A 35526-2020</t>
        </is>
      </c>
      <c r="B207" s="1" t="n">
        <v>44043</v>
      </c>
      <c r="C207" s="1" t="n">
        <v>45628</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35720-2020</t>
        </is>
      </c>
      <c r="B208" s="1" t="n">
        <v>44046</v>
      </c>
      <c r="C208" s="1" t="n">
        <v>45628</v>
      </c>
      <c r="D208" t="inlineStr">
        <is>
          <t>VÄSTERNORRLANDS LÄN</t>
        </is>
      </c>
      <c r="E208" t="inlineStr">
        <is>
          <t>KRAMFORS</t>
        </is>
      </c>
      <c r="G208" t="n">
        <v>3.1</v>
      </c>
      <c r="H208" t="n">
        <v>0</v>
      </c>
      <c r="I208" t="n">
        <v>0</v>
      </c>
      <c r="J208" t="n">
        <v>0</v>
      </c>
      <c r="K208" t="n">
        <v>0</v>
      </c>
      <c r="L208" t="n">
        <v>0</v>
      </c>
      <c r="M208" t="n">
        <v>0</v>
      </c>
      <c r="N208" t="n">
        <v>0</v>
      </c>
      <c r="O208" t="n">
        <v>0</v>
      </c>
      <c r="P208" t="n">
        <v>0</v>
      </c>
      <c r="Q208" t="n">
        <v>0</v>
      </c>
      <c r="R208" s="2" t="inlineStr"/>
    </row>
    <row r="209" ht="15" customHeight="1">
      <c r="A209" t="inlineStr">
        <is>
          <t>A 36013-2020</t>
        </is>
      </c>
      <c r="B209" s="1" t="n">
        <v>44047</v>
      </c>
      <c r="C209" s="1" t="n">
        <v>45628</v>
      </c>
      <c r="D209" t="inlineStr">
        <is>
          <t>VÄSTERNORRLANDS LÄN</t>
        </is>
      </c>
      <c r="E209" t="inlineStr">
        <is>
          <t>KRAMFORS</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37188-2020</t>
        </is>
      </c>
      <c r="B210" s="1" t="n">
        <v>44054</v>
      </c>
      <c r="C210" s="1" t="n">
        <v>45628</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37228-2020</t>
        </is>
      </c>
      <c r="B211" s="1" t="n">
        <v>44054</v>
      </c>
      <c r="C211" s="1" t="n">
        <v>45628</v>
      </c>
      <c r="D211" t="inlineStr">
        <is>
          <t>VÄSTERNORRLANDS LÄN</t>
        </is>
      </c>
      <c r="E211" t="inlineStr">
        <is>
          <t>KRAMFORS</t>
        </is>
      </c>
      <c r="F211" t="inlineStr">
        <is>
          <t>SCA</t>
        </is>
      </c>
      <c r="G211" t="n">
        <v>26.3</v>
      </c>
      <c r="H211" t="n">
        <v>0</v>
      </c>
      <c r="I211" t="n">
        <v>0</v>
      </c>
      <c r="J211" t="n">
        <v>0</v>
      </c>
      <c r="K211" t="n">
        <v>0</v>
      </c>
      <c r="L211" t="n">
        <v>0</v>
      </c>
      <c r="M211" t="n">
        <v>0</v>
      </c>
      <c r="N211" t="n">
        <v>0</v>
      </c>
      <c r="O211" t="n">
        <v>0</v>
      </c>
      <c r="P211" t="n">
        <v>0</v>
      </c>
      <c r="Q211" t="n">
        <v>0</v>
      </c>
      <c r="R211" s="2" t="inlineStr"/>
    </row>
    <row r="212" ht="15" customHeight="1">
      <c r="A212" t="inlineStr">
        <is>
          <t>A 37903-2020</t>
        </is>
      </c>
      <c r="B212" s="1" t="n">
        <v>44057</v>
      </c>
      <c r="C212" s="1" t="n">
        <v>45628</v>
      </c>
      <c r="D212" t="inlineStr">
        <is>
          <t>VÄSTERNORRLANDS LÄN</t>
        </is>
      </c>
      <c r="E212" t="inlineStr">
        <is>
          <t>KRAMFORS</t>
        </is>
      </c>
      <c r="G212" t="n">
        <v>0.3</v>
      </c>
      <c r="H212" t="n">
        <v>0</v>
      </c>
      <c r="I212" t="n">
        <v>0</v>
      </c>
      <c r="J212" t="n">
        <v>0</v>
      </c>
      <c r="K212" t="n">
        <v>0</v>
      </c>
      <c r="L212" t="n">
        <v>0</v>
      </c>
      <c r="M212" t="n">
        <v>0</v>
      </c>
      <c r="N212" t="n">
        <v>0</v>
      </c>
      <c r="O212" t="n">
        <v>0</v>
      </c>
      <c r="P212" t="n">
        <v>0</v>
      </c>
      <c r="Q212" t="n">
        <v>0</v>
      </c>
      <c r="R212" s="2" t="inlineStr"/>
    </row>
    <row r="213" ht="15" customHeight="1">
      <c r="A213" t="inlineStr">
        <is>
          <t>A 37904-2020</t>
        </is>
      </c>
      <c r="B213" s="1" t="n">
        <v>44057</v>
      </c>
      <c r="C213" s="1" t="n">
        <v>45628</v>
      </c>
      <c r="D213" t="inlineStr">
        <is>
          <t>VÄSTERNORRLANDS LÄN</t>
        </is>
      </c>
      <c r="E213" t="inlineStr">
        <is>
          <t>KRAMFORS</t>
        </is>
      </c>
      <c r="G213" t="n">
        <v>0.1</v>
      </c>
      <c r="H213" t="n">
        <v>0</v>
      </c>
      <c r="I213" t="n">
        <v>0</v>
      </c>
      <c r="J213" t="n">
        <v>0</v>
      </c>
      <c r="K213" t="n">
        <v>0</v>
      </c>
      <c r="L213" t="n">
        <v>0</v>
      </c>
      <c r="M213" t="n">
        <v>0</v>
      </c>
      <c r="N213" t="n">
        <v>0</v>
      </c>
      <c r="O213" t="n">
        <v>0</v>
      </c>
      <c r="P213" t="n">
        <v>0</v>
      </c>
      <c r="Q213" t="n">
        <v>0</v>
      </c>
      <c r="R213" s="2" t="inlineStr"/>
    </row>
    <row r="214" ht="15" customHeight="1">
      <c r="A214" t="inlineStr">
        <is>
          <t>A 37905-2020</t>
        </is>
      </c>
      <c r="B214" s="1" t="n">
        <v>44057</v>
      </c>
      <c r="C214" s="1" t="n">
        <v>45628</v>
      </c>
      <c r="D214" t="inlineStr">
        <is>
          <t>VÄSTERNORRLANDS LÄN</t>
        </is>
      </c>
      <c r="E214" t="inlineStr">
        <is>
          <t>KRAMFORS</t>
        </is>
      </c>
      <c r="G214" t="n">
        <v>0.2</v>
      </c>
      <c r="H214" t="n">
        <v>0</v>
      </c>
      <c r="I214" t="n">
        <v>0</v>
      </c>
      <c r="J214" t="n">
        <v>0</v>
      </c>
      <c r="K214" t="n">
        <v>0</v>
      </c>
      <c r="L214" t="n">
        <v>0</v>
      </c>
      <c r="M214" t="n">
        <v>0</v>
      </c>
      <c r="N214" t="n">
        <v>0</v>
      </c>
      <c r="O214" t="n">
        <v>0</v>
      </c>
      <c r="P214" t="n">
        <v>0</v>
      </c>
      <c r="Q214" t="n">
        <v>0</v>
      </c>
      <c r="R214" s="2" t="inlineStr"/>
    </row>
    <row r="215" ht="15" customHeight="1">
      <c r="A215" t="inlineStr">
        <is>
          <t>A 38469-2020</t>
        </is>
      </c>
      <c r="B215" s="1" t="n">
        <v>44060</v>
      </c>
      <c r="C215" s="1" t="n">
        <v>45628</v>
      </c>
      <c r="D215" t="inlineStr">
        <is>
          <t>VÄSTERNORRLANDS LÄN</t>
        </is>
      </c>
      <c r="E215" t="inlineStr">
        <is>
          <t>KRAMFORS</t>
        </is>
      </c>
      <c r="G215" t="n">
        <v>1.3</v>
      </c>
      <c r="H215" t="n">
        <v>0</v>
      </c>
      <c r="I215" t="n">
        <v>0</v>
      </c>
      <c r="J215" t="n">
        <v>0</v>
      </c>
      <c r="K215" t="n">
        <v>0</v>
      </c>
      <c r="L215" t="n">
        <v>0</v>
      </c>
      <c r="M215" t="n">
        <v>0</v>
      </c>
      <c r="N215" t="n">
        <v>0</v>
      </c>
      <c r="O215" t="n">
        <v>0</v>
      </c>
      <c r="P215" t="n">
        <v>0</v>
      </c>
      <c r="Q215" t="n">
        <v>0</v>
      </c>
      <c r="R215" s="2" t="inlineStr"/>
    </row>
    <row r="216" ht="15" customHeight="1">
      <c r="A216" t="inlineStr">
        <is>
          <t>A 41066-2020</t>
        </is>
      </c>
      <c r="B216" s="1" t="n">
        <v>44071</v>
      </c>
      <c r="C216" s="1" t="n">
        <v>45628</v>
      </c>
      <c r="D216" t="inlineStr">
        <is>
          <t>VÄSTERNORRLANDS LÄN</t>
        </is>
      </c>
      <c r="E216" t="inlineStr">
        <is>
          <t>KRAMFORS</t>
        </is>
      </c>
      <c r="G216" t="n">
        <v>0.1</v>
      </c>
      <c r="H216" t="n">
        <v>0</v>
      </c>
      <c r="I216" t="n">
        <v>0</v>
      </c>
      <c r="J216" t="n">
        <v>0</v>
      </c>
      <c r="K216" t="n">
        <v>0</v>
      </c>
      <c r="L216" t="n">
        <v>0</v>
      </c>
      <c r="M216" t="n">
        <v>0</v>
      </c>
      <c r="N216" t="n">
        <v>0</v>
      </c>
      <c r="O216" t="n">
        <v>0</v>
      </c>
      <c r="P216" t="n">
        <v>0</v>
      </c>
      <c r="Q216" t="n">
        <v>0</v>
      </c>
      <c r="R216" s="2" t="inlineStr"/>
    </row>
    <row r="217" ht="15" customHeight="1">
      <c r="A217" t="inlineStr">
        <is>
          <t>A 45025-2020</t>
        </is>
      </c>
      <c r="B217" s="1" t="n">
        <v>44088</v>
      </c>
      <c r="C217" s="1" t="n">
        <v>45628</v>
      </c>
      <c r="D217" t="inlineStr">
        <is>
          <t>VÄSTERNORRLANDS LÄN</t>
        </is>
      </c>
      <c r="E217" t="inlineStr">
        <is>
          <t>KRAMFORS</t>
        </is>
      </c>
      <c r="G217" t="n">
        <v>1.5</v>
      </c>
      <c r="H217" t="n">
        <v>0</v>
      </c>
      <c r="I217" t="n">
        <v>0</v>
      </c>
      <c r="J217" t="n">
        <v>0</v>
      </c>
      <c r="K217" t="n">
        <v>0</v>
      </c>
      <c r="L217" t="n">
        <v>0</v>
      </c>
      <c r="M217" t="n">
        <v>0</v>
      </c>
      <c r="N217" t="n">
        <v>0</v>
      </c>
      <c r="O217" t="n">
        <v>0</v>
      </c>
      <c r="P217" t="n">
        <v>0</v>
      </c>
      <c r="Q217" t="n">
        <v>0</v>
      </c>
      <c r="R217" s="2" t="inlineStr"/>
    </row>
    <row r="218" ht="15" customHeight="1">
      <c r="A218" t="inlineStr">
        <is>
          <t>A 45545-2020</t>
        </is>
      </c>
      <c r="B218" s="1" t="n">
        <v>44089</v>
      </c>
      <c r="C218" s="1" t="n">
        <v>45628</v>
      </c>
      <c r="D218" t="inlineStr">
        <is>
          <t>VÄSTERNORRLANDS LÄN</t>
        </is>
      </c>
      <c r="E218" t="inlineStr">
        <is>
          <t>KRAMFORS</t>
        </is>
      </c>
      <c r="G218" t="n">
        <v>5.9</v>
      </c>
      <c r="H218" t="n">
        <v>0</v>
      </c>
      <c r="I218" t="n">
        <v>0</v>
      </c>
      <c r="J218" t="n">
        <v>0</v>
      </c>
      <c r="K218" t="n">
        <v>0</v>
      </c>
      <c r="L218" t="n">
        <v>0</v>
      </c>
      <c r="M218" t="n">
        <v>0</v>
      </c>
      <c r="N218" t="n">
        <v>0</v>
      </c>
      <c r="O218" t="n">
        <v>0</v>
      </c>
      <c r="P218" t="n">
        <v>0</v>
      </c>
      <c r="Q218" t="n">
        <v>0</v>
      </c>
      <c r="R218" s="2" t="inlineStr"/>
    </row>
    <row r="219" ht="15" customHeight="1">
      <c r="A219" t="inlineStr">
        <is>
          <t>A 45544-2020</t>
        </is>
      </c>
      <c r="B219" s="1" t="n">
        <v>44090</v>
      </c>
      <c r="C219" s="1" t="n">
        <v>45628</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46672-2020</t>
        </is>
      </c>
      <c r="B220" s="1" t="n">
        <v>44089</v>
      </c>
      <c r="C220" s="1" t="n">
        <v>45628</v>
      </c>
      <c r="D220" t="inlineStr">
        <is>
          <t>VÄSTERNORRLANDS LÄN</t>
        </is>
      </c>
      <c r="E220" t="inlineStr">
        <is>
          <t>KRAMFORS</t>
        </is>
      </c>
      <c r="G220" t="n">
        <v>1.7</v>
      </c>
      <c r="H220" t="n">
        <v>0</v>
      </c>
      <c r="I220" t="n">
        <v>0</v>
      </c>
      <c r="J220" t="n">
        <v>0</v>
      </c>
      <c r="K220" t="n">
        <v>0</v>
      </c>
      <c r="L220" t="n">
        <v>0</v>
      </c>
      <c r="M220" t="n">
        <v>0</v>
      </c>
      <c r="N220" t="n">
        <v>0</v>
      </c>
      <c r="O220" t="n">
        <v>0</v>
      </c>
      <c r="P220" t="n">
        <v>0</v>
      </c>
      <c r="Q220" t="n">
        <v>0</v>
      </c>
      <c r="R220" s="2" t="inlineStr"/>
    </row>
    <row r="221" ht="15" customHeight="1">
      <c r="A221" t="inlineStr">
        <is>
          <t>A 45649-2020</t>
        </is>
      </c>
      <c r="B221" s="1" t="n">
        <v>44090</v>
      </c>
      <c r="C221" s="1" t="n">
        <v>45628</v>
      </c>
      <c r="D221" t="inlineStr">
        <is>
          <t>VÄSTERNORRLANDS LÄN</t>
        </is>
      </c>
      <c r="E221" t="inlineStr">
        <is>
          <t>KRAMFORS</t>
        </is>
      </c>
      <c r="G221" t="n">
        <v>1.8</v>
      </c>
      <c r="H221" t="n">
        <v>0</v>
      </c>
      <c r="I221" t="n">
        <v>0</v>
      </c>
      <c r="J221" t="n">
        <v>0</v>
      </c>
      <c r="K221" t="n">
        <v>0</v>
      </c>
      <c r="L221" t="n">
        <v>0</v>
      </c>
      <c r="M221" t="n">
        <v>0</v>
      </c>
      <c r="N221" t="n">
        <v>0</v>
      </c>
      <c r="O221" t="n">
        <v>0</v>
      </c>
      <c r="P221" t="n">
        <v>0</v>
      </c>
      <c r="Q221" t="n">
        <v>0</v>
      </c>
      <c r="R221" s="2" t="inlineStr"/>
    </row>
    <row r="222" ht="15" customHeight="1">
      <c r="A222" t="inlineStr">
        <is>
          <t>A 46048-2020</t>
        </is>
      </c>
      <c r="B222" s="1" t="n">
        <v>44091</v>
      </c>
      <c r="C222" s="1" t="n">
        <v>45628</v>
      </c>
      <c r="D222" t="inlineStr">
        <is>
          <t>VÄSTERNORRLANDS LÄN</t>
        </is>
      </c>
      <c r="E222" t="inlineStr">
        <is>
          <t>KRAMFORS</t>
        </is>
      </c>
      <c r="G222" t="n">
        <v>2.3</v>
      </c>
      <c r="H222" t="n">
        <v>0</v>
      </c>
      <c r="I222" t="n">
        <v>0</v>
      </c>
      <c r="J222" t="n">
        <v>0</v>
      </c>
      <c r="K222" t="n">
        <v>0</v>
      </c>
      <c r="L222" t="n">
        <v>0</v>
      </c>
      <c r="M222" t="n">
        <v>0</v>
      </c>
      <c r="N222" t="n">
        <v>0</v>
      </c>
      <c r="O222" t="n">
        <v>0</v>
      </c>
      <c r="P222" t="n">
        <v>0</v>
      </c>
      <c r="Q222" t="n">
        <v>0</v>
      </c>
      <c r="R222" s="2" t="inlineStr"/>
    </row>
    <row r="223" ht="15" customHeight="1">
      <c r="A223" t="inlineStr">
        <is>
          <t>A 47351-2020</t>
        </is>
      </c>
      <c r="B223" s="1" t="n">
        <v>44095</v>
      </c>
      <c r="C223" s="1" t="n">
        <v>45628</v>
      </c>
      <c r="D223" t="inlineStr">
        <is>
          <t>VÄSTERNORRLANDS LÄN</t>
        </is>
      </c>
      <c r="E223" t="inlineStr">
        <is>
          <t>KRAMFORS</t>
        </is>
      </c>
      <c r="G223" t="n">
        <v>2</v>
      </c>
      <c r="H223" t="n">
        <v>0</v>
      </c>
      <c r="I223" t="n">
        <v>0</v>
      </c>
      <c r="J223" t="n">
        <v>0</v>
      </c>
      <c r="K223" t="n">
        <v>0</v>
      </c>
      <c r="L223" t="n">
        <v>0</v>
      </c>
      <c r="M223" t="n">
        <v>0</v>
      </c>
      <c r="N223" t="n">
        <v>0</v>
      </c>
      <c r="O223" t="n">
        <v>0</v>
      </c>
      <c r="P223" t="n">
        <v>0</v>
      </c>
      <c r="Q223" t="n">
        <v>0</v>
      </c>
      <c r="R223" s="2" t="inlineStr"/>
    </row>
    <row r="224" ht="15" customHeight="1">
      <c r="A224" t="inlineStr">
        <is>
          <t>A 47875-2020</t>
        </is>
      </c>
      <c r="B224" s="1" t="n">
        <v>44096</v>
      </c>
      <c r="C224" s="1" t="n">
        <v>45628</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47874-2020</t>
        </is>
      </c>
      <c r="B225" s="1" t="n">
        <v>44096</v>
      </c>
      <c r="C225" s="1" t="n">
        <v>45628</v>
      </c>
      <c r="D225" t="inlineStr">
        <is>
          <t>VÄSTERNORRLANDS LÄN</t>
        </is>
      </c>
      <c r="E225" t="inlineStr">
        <is>
          <t>KRAMFORS</t>
        </is>
      </c>
      <c r="G225" t="n">
        <v>6.6</v>
      </c>
      <c r="H225" t="n">
        <v>0</v>
      </c>
      <c r="I225" t="n">
        <v>0</v>
      </c>
      <c r="J225" t="n">
        <v>0</v>
      </c>
      <c r="K225" t="n">
        <v>0</v>
      </c>
      <c r="L225" t="n">
        <v>0</v>
      </c>
      <c r="M225" t="n">
        <v>0</v>
      </c>
      <c r="N225" t="n">
        <v>0</v>
      </c>
      <c r="O225" t="n">
        <v>0</v>
      </c>
      <c r="P225" t="n">
        <v>0</v>
      </c>
      <c r="Q225" t="n">
        <v>0</v>
      </c>
      <c r="R225" s="2" t="inlineStr"/>
    </row>
    <row r="226" ht="15" customHeight="1">
      <c r="A226" t="inlineStr">
        <is>
          <t>A 50281-2020</t>
        </is>
      </c>
      <c r="B226" s="1" t="n">
        <v>44109</v>
      </c>
      <c r="C226" s="1" t="n">
        <v>45628</v>
      </c>
      <c r="D226" t="inlineStr">
        <is>
          <t>VÄSTERNORRLANDS LÄN</t>
        </is>
      </c>
      <c r="E226" t="inlineStr">
        <is>
          <t>KRAMFORS</t>
        </is>
      </c>
      <c r="G226" t="n">
        <v>5.5</v>
      </c>
      <c r="H226" t="n">
        <v>0</v>
      </c>
      <c r="I226" t="n">
        <v>0</v>
      </c>
      <c r="J226" t="n">
        <v>0</v>
      </c>
      <c r="K226" t="n">
        <v>0</v>
      </c>
      <c r="L226" t="n">
        <v>0</v>
      </c>
      <c r="M226" t="n">
        <v>0</v>
      </c>
      <c r="N226" t="n">
        <v>0</v>
      </c>
      <c r="O226" t="n">
        <v>0</v>
      </c>
      <c r="P226" t="n">
        <v>0</v>
      </c>
      <c r="Q226" t="n">
        <v>0</v>
      </c>
      <c r="R226" s="2" t="inlineStr"/>
    </row>
    <row r="227" ht="15" customHeight="1">
      <c r="A227" t="inlineStr">
        <is>
          <t>A 50248-2020</t>
        </is>
      </c>
      <c r="B227" s="1" t="n">
        <v>44109</v>
      </c>
      <c r="C227" s="1" t="n">
        <v>45628</v>
      </c>
      <c r="D227" t="inlineStr">
        <is>
          <t>VÄSTERNORRLANDS LÄN</t>
        </is>
      </c>
      <c r="E227" t="inlineStr">
        <is>
          <t>KRAMFORS</t>
        </is>
      </c>
      <c r="F227" t="inlineStr">
        <is>
          <t>Kommuner</t>
        </is>
      </c>
      <c r="G227" t="n">
        <v>2.3</v>
      </c>
      <c r="H227" t="n">
        <v>0</v>
      </c>
      <c r="I227" t="n">
        <v>0</v>
      </c>
      <c r="J227" t="n">
        <v>0</v>
      </c>
      <c r="K227" t="n">
        <v>0</v>
      </c>
      <c r="L227" t="n">
        <v>0</v>
      </c>
      <c r="M227" t="n">
        <v>0</v>
      </c>
      <c r="N227" t="n">
        <v>0</v>
      </c>
      <c r="O227" t="n">
        <v>0</v>
      </c>
      <c r="P227" t="n">
        <v>0</v>
      </c>
      <c r="Q227" t="n">
        <v>0</v>
      </c>
      <c r="R227" s="2" t="inlineStr"/>
    </row>
    <row r="228" ht="15" customHeight="1">
      <c r="A228" t="inlineStr">
        <is>
          <t>A 50280-2020</t>
        </is>
      </c>
      <c r="B228" s="1" t="n">
        <v>44109</v>
      </c>
      <c r="C228" s="1" t="n">
        <v>45628</v>
      </c>
      <c r="D228" t="inlineStr">
        <is>
          <t>VÄSTERNORRLANDS LÄN</t>
        </is>
      </c>
      <c r="E228" t="inlineStr">
        <is>
          <t>KRAMFORS</t>
        </is>
      </c>
      <c r="G228" t="n">
        <v>5.6</v>
      </c>
      <c r="H228" t="n">
        <v>0</v>
      </c>
      <c r="I228" t="n">
        <v>0</v>
      </c>
      <c r="J228" t="n">
        <v>0</v>
      </c>
      <c r="K228" t="n">
        <v>0</v>
      </c>
      <c r="L228" t="n">
        <v>0</v>
      </c>
      <c r="M228" t="n">
        <v>0</v>
      </c>
      <c r="N228" t="n">
        <v>0</v>
      </c>
      <c r="O228" t="n">
        <v>0</v>
      </c>
      <c r="P228" t="n">
        <v>0</v>
      </c>
      <c r="Q228" t="n">
        <v>0</v>
      </c>
      <c r="R228" s="2" t="inlineStr"/>
    </row>
    <row r="229" ht="15" customHeight="1">
      <c r="A229" t="inlineStr">
        <is>
          <t>A 51947-2020</t>
        </is>
      </c>
      <c r="B229" s="1" t="n">
        <v>44109</v>
      </c>
      <c r="C229" s="1" t="n">
        <v>45628</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51926-2020</t>
        </is>
      </c>
      <c r="B230" s="1" t="n">
        <v>44109</v>
      </c>
      <c r="C230" s="1" t="n">
        <v>45628</v>
      </c>
      <c r="D230" t="inlineStr">
        <is>
          <t>VÄSTERNORRLANDS LÄN</t>
        </is>
      </c>
      <c r="E230" t="inlineStr">
        <is>
          <t>KRAMFORS</t>
        </is>
      </c>
      <c r="G230" t="n">
        <v>4.1</v>
      </c>
      <c r="H230" t="n">
        <v>0</v>
      </c>
      <c r="I230" t="n">
        <v>0</v>
      </c>
      <c r="J230" t="n">
        <v>0</v>
      </c>
      <c r="K230" t="n">
        <v>0</v>
      </c>
      <c r="L230" t="n">
        <v>0</v>
      </c>
      <c r="M230" t="n">
        <v>0</v>
      </c>
      <c r="N230" t="n">
        <v>0</v>
      </c>
      <c r="O230" t="n">
        <v>0</v>
      </c>
      <c r="P230" t="n">
        <v>0</v>
      </c>
      <c r="Q230" t="n">
        <v>0</v>
      </c>
      <c r="R230" s="2" t="inlineStr"/>
    </row>
    <row r="231" ht="15" customHeight="1">
      <c r="A231" t="inlineStr">
        <is>
          <t>A 52951-2020</t>
        </is>
      </c>
      <c r="B231" s="1" t="n">
        <v>44119</v>
      </c>
      <c r="C231" s="1" t="n">
        <v>45628</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52959-2020</t>
        </is>
      </c>
      <c r="B232" s="1" t="n">
        <v>44119</v>
      </c>
      <c r="C232" s="1" t="n">
        <v>45628</v>
      </c>
      <c r="D232" t="inlineStr">
        <is>
          <t>VÄSTERNORRLANDS LÄN</t>
        </is>
      </c>
      <c r="E232" t="inlineStr">
        <is>
          <t>KRAMFORS</t>
        </is>
      </c>
      <c r="G232" t="n">
        <v>1.4</v>
      </c>
      <c r="H232" t="n">
        <v>0</v>
      </c>
      <c r="I232" t="n">
        <v>0</v>
      </c>
      <c r="J232" t="n">
        <v>0</v>
      </c>
      <c r="K232" t="n">
        <v>0</v>
      </c>
      <c r="L232" t="n">
        <v>0</v>
      </c>
      <c r="M232" t="n">
        <v>0</v>
      </c>
      <c r="N232" t="n">
        <v>0</v>
      </c>
      <c r="O232" t="n">
        <v>0</v>
      </c>
      <c r="P232" t="n">
        <v>0</v>
      </c>
      <c r="Q232" t="n">
        <v>0</v>
      </c>
      <c r="R232" s="2" t="inlineStr"/>
    </row>
    <row r="233" ht="15" customHeight="1">
      <c r="A233" t="inlineStr">
        <is>
          <t>A 54188-2020</t>
        </is>
      </c>
      <c r="B233" s="1" t="n">
        <v>44125</v>
      </c>
      <c r="C233" s="1" t="n">
        <v>45628</v>
      </c>
      <c r="D233" t="inlineStr">
        <is>
          <t>VÄSTERNORRLANDS LÄN</t>
        </is>
      </c>
      <c r="E233" t="inlineStr">
        <is>
          <t>KRAMFORS</t>
        </is>
      </c>
      <c r="G233" t="n">
        <v>1.2</v>
      </c>
      <c r="H233" t="n">
        <v>0</v>
      </c>
      <c r="I233" t="n">
        <v>0</v>
      </c>
      <c r="J233" t="n">
        <v>0</v>
      </c>
      <c r="K233" t="n">
        <v>0</v>
      </c>
      <c r="L233" t="n">
        <v>0</v>
      </c>
      <c r="M233" t="n">
        <v>0</v>
      </c>
      <c r="N233" t="n">
        <v>0</v>
      </c>
      <c r="O233" t="n">
        <v>0</v>
      </c>
      <c r="P233" t="n">
        <v>0</v>
      </c>
      <c r="Q233" t="n">
        <v>0</v>
      </c>
      <c r="R233" s="2" t="inlineStr"/>
    </row>
    <row r="234" ht="15" customHeight="1">
      <c r="A234" t="inlineStr">
        <is>
          <t>A 54189-2020</t>
        </is>
      </c>
      <c r="B234" s="1" t="n">
        <v>44125</v>
      </c>
      <c r="C234" s="1" t="n">
        <v>45628</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55828-2020</t>
        </is>
      </c>
      <c r="B235" s="1" t="n">
        <v>44132</v>
      </c>
      <c r="C235" s="1" t="n">
        <v>45628</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55832-2020</t>
        </is>
      </c>
      <c r="B236" s="1" t="n">
        <v>44132</v>
      </c>
      <c r="C236" s="1" t="n">
        <v>45628</v>
      </c>
      <c r="D236" t="inlineStr">
        <is>
          <t>VÄSTERNORRLANDS LÄN</t>
        </is>
      </c>
      <c r="E236" t="inlineStr">
        <is>
          <t>KRAMFORS</t>
        </is>
      </c>
      <c r="G236" t="n">
        <v>0.3</v>
      </c>
      <c r="H236" t="n">
        <v>0</v>
      </c>
      <c r="I236" t="n">
        <v>0</v>
      </c>
      <c r="J236" t="n">
        <v>0</v>
      </c>
      <c r="K236" t="n">
        <v>0</v>
      </c>
      <c r="L236" t="n">
        <v>0</v>
      </c>
      <c r="M236" t="n">
        <v>0</v>
      </c>
      <c r="N236" t="n">
        <v>0</v>
      </c>
      <c r="O236" t="n">
        <v>0</v>
      </c>
      <c r="P236" t="n">
        <v>0</v>
      </c>
      <c r="Q236" t="n">
        <v>0</v>
      </c>
      <c r="R236" s="2" t="inlineStr"/>
    </row>
    <row r="237" ht="15" customHeight="1">
      <c r="A237" t="inlineStr">
        <is>
          <t>A 56558-2020</t>
        </is>
      </c>
      <c r="B237" s="1" t="n">
        <v>44137</v>
      </c>
      <c r="C237" s="1" t="n">
        <v>45628</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59044-2020</t>
        </is>
      </c>
      <c r="B238" s="1" t="n">
        <v>44147</v>
      </c>
      <c r="C238" s="1" t="n">
        <v>45628</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59043-2020</t>
        </is>
      </c>
      <c r="B239" s="1" t="n">
        <v>44147</v>
      </c>
      <c r="C239" s="1" t="n">
        <v>45628</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61044-2020</t>
        </is>
      </c>
      <c r="B240" s="1" t="n">
        <v>44154</v>
      </c>
      <c r="C240" s="1" t="n">
        <v>45628</v>
      </c>
      <c r="D240" t="inlineStr">
        <is>
          <t>VÄSTERNORRLANDS LÄN</t>
        </is>
      </c>
      <c r="E240" t="inlineStr">
        <is>
          <t>KRAMFORS</t>
        </is>
      </c>
      <c r="G240" t="n">
        <v>5.3</v>
      </c>
      <c r="H240" t="n">
        <v>0</v>
      </c>
      <c r="I240" t="n">
        <v>0</v>
      </c>
      <c r="J240" t="n">
        <v>0</v>
      </c>
      <c r="K240" t="n">
        <v>0</v>
      </c>
      <c r="L240" t="n">
        <v>0</v>
      </c>
      <c r="M240" t="n">
        <v>0</v>
      </c>
      <c r="N240" t="n">
        <v>0</v>
      </c>
      <c r="O240" t="n">
        <v>0</v>
      </c>
      <c r="P240" t="n">
        <v>0</v>
      </c>
      <c r="Q240" t="n">
        <v>0</v>
      </c>
      <c r="R240" s="2" t="inlineStr"/>
    </row>
    <row r="241" ht="15" customHeight="1">
      <c r="A241" t="inlineStr">
        <is>
          <t>A 61051-2020</t>
        </is>
      </c>
      <c r="B241" s="1" t="n">
        <v>44154</v>
      </c>
      <c r="C241" s="1" t="n">
        <v>45628</v>
      </c>
      <c r="D241" t="inlineStr">
        <is>
          <t>VÄSTERNORRLANDS LÄN</t>
        </is>
      </c>
      <c r="E241" t="inlineStr">
        <is>
          <t>KRAMFORS</t>
        </is>
      </c>
      <c r="G241" t="n">
        <v>15.4</v>
      </c>
      <c r="H241" t="n">
        <v>0</v>
      </c>
      <c r="I241" t="n">
        <v>0</v>
      </c>
      <c r="J241" t="n">
        <v>0</v>
      </c>
      <c r="K241" t="n">
        <v>0</v>
      </c>
      <c r="L241" t="n">
        <v>0</v>
      </c>
      <c r="M241" t="n">
        <v>0</v>
      </c>
      <c r="N241" t="n">
        <v>0</v>
      </c>
      <c r="O241" t="n">
        <v>0</v>
      </c>
      <c r="P241" t="n">
        <v>0</v>
      </c>
      <c r="Q241" t="n">
        <v>0</v>
      </c>
      <c r="R241" s="2" t="inlineStr"/>
    </row>
    <row r="242" ht="15" customHeight="1">
      <c r="A242" t="inlineStr">
        <is>
          <t>A 61047-2020</t>
        </is>
      </c>
      <c r="B242" s="1" t="n">
        <v>44154</v>
      </c>
      <c r="C242" s="1" t="n">
        <v>45628</v>
      </c>
      <c r="D242" t="inlineStr">
        <is>
          <t>VÄSTERNORRLANDS LÄN</t>
        </is>
      </c>
      <c r="E242" t="inlineStr">
        <is>
          <t>KRAMFORS</t>
        </is>
      </c>
      <c r="G242" t="n">
        <v>2.1</v>
      </c>
      <c r="H242" t="n">
        <v>0</v>
      </c>
      <c r="I242" t="n">
        <v>0</v>
      </c>
      <c r="J242" t="n">
        <v>0</v>
      </c>
      <c r="K242" t="n">
        <v>0</v>
      </c>
      <c r="L242" t="n">
        <v>0</v>
      </c>
      <c r="M242" t="n">
        <v>0</v>
      </c>
      <c r="N242" t="n">
        <v>0</v>
      </c>
      <c r="O242" t="n">
        <v>0</v>
      </c>
      <c r="P242" t="n">
        <v>0</v>
      </c>
      <c r="Q242" t="n">
        <v>0</v>
      </c>
      <c r="R242" s="2" t="inlineStr"/>
    </row>
    <row r="243" ht="15" customHeight="1">
      <c r="A243" t="inlineStr">
        <is>
          <t>A 61049-2020</t>
        </is>
      </c>
      <c r="B243" s="1" t="n">
        <v>44154</v>
      </c>
      <c r="C243" s="1" t="n">
        <v>45628</v>
      </c>
      <c r="D243" t="inlineStr">
        <is>
          <t>VÄSTERNORRLANDS LÄN</t>
        </is>
      </c>
      <c r="E243" t="inlineStr">
        <is>
          <t>KRAMFORS</t>
        </is>
      </c>
      <c r="G243" t="n">
        <v>1.2</v>
      </c>
      <c r="H243" t="n">
        <v>0</v>
      </c>
      <c r="I243" t="n">
        <v>0</v>
      </c>
      <c r="J243" t="n">
        <v>0</v>
      </c>
      <c r="K243" t="n">
        <v>0</v>
      </c>
      <c r="L243" t="n">
        <v>0</v>
      </c>
      <c r="M243" t="n">
        <v>0</v>
      </c>
      <c r="N243" t="n">
        <v>0</v>
      </c>
      <c r="O243" t="n">
        <v>0</v>
      </c>
      <c r="P243" t="n">
        <v>0</v>
      </c>
      <c r="Q243" t="n">
        <v>0</v>
      </c>
      <c r="R243" s="2" t="inlineStr"/>
    </row>
    <row r="244" ht="15" customHeight="1">
      <c r="A244" t="inlineStr">
        <is>
          <t>A 61932-2020</t>
        </is>
      </c>
      <c r="B244" s="1" t="n">
        <v>44155</v>
      </c>
      <c r="C244" s="1" t="n">
        <v>45628</v>
      </c>
      <c r="D244" t="inlineStr">
        <is>
          <t>VÄSTERNORRLANDS LÄN</t>
        </is>
      </c>
      <c r="E244" t="inlineStr">
        <is>
          <t>KRAMFORS</t>
        </is>
      </c>
      <c r="G244" t="n">
        <v>1.4</v>
      </c>
      <c r="H244" t="n">
        <v>0</v>
      </c>
      <c r="I244" t="n">
        <v>0</v>
      </c>
      <c r="J244" t="n">
        <v>0</v>
      </c>
      <c r="K244" t="n">
        <v>0</v>
      </c>
      <c r="L244" t="n">
        <v>0</v>
      </c>
      <c r="M244" t="n">
        <v>0</v>
      </c>
      <c r="N244" t="n">
        <v>0</v>
      </c>
      <c r="O244" t="n">
        <v>0</v>
      </c>
      <c r="P244" t="n">
        <v>0</v>
      </c>
      <c r="Q244" t="n">
        <v>0</v>
      </c>
      <c r="R244" s="2" t="inlineStr"/>
    </row>
    <row r="245" ht="15" customHeight="1">
      <c r="A245" t="inlineStr">
        <is>
          <t>A 62933-2020</t>
        </is>
      </c>
      <c r="B245" s="1" t="n">
        <v>44160</v>
      </c>
      <c r="C245" s="1" t="n">
        <v>45628</v>
      </c>
      <c r="D245" t="inlineStr">
        <is>
          <t>VÄSTERNORRLANDS LÄN</t>
        </is>
      </c>
      <c r="E245" t="inlineStr">
        <is>
          <t>KRAMFORS</t>
        </is>
      </c>
      <c r="G245" t="n">
        <v>3.7</v>
      </c>
      <c r="H245" t="n">
        <v>0</v>
      </c>
      <c r="I245" t="n">
        <v>0</v>
      </c>
      <c r="J245" t="n">
        <v>0</v>
      </c>
      <c r="K245" t="n">
        <v>0</v>
      </c>
      <c r="L245" t="n">
        <v>0</v>
      </c>
      <c r="M245" t="n">
        <v>0</v>
      </c>
      <c r="N245" t="n">
        <v>0</v>
      </c>
      <c r="O245" t="n">
        <v>0</v>
      </c>
      <c r="P245" t="n">
        <v>0</v>
      </c>
      <c r="Q245" t="n">
        <v>0</v>
      </c>
      <c r="R245" s="2" t="inlineStr"/>
    </row>
    <row r="246" ht="15" customHeight="1">
      <c r="A246" t="inlineStr">
        <is>
          <t>A 62870-2020</t>
        </is>
      </c>
      <c r="B246" s="1" t="n">
        <v>44161</v>
      </c>
      <c r="C246" s="1" t="n">
        <v>45628</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64207-2020</t>
        </is>
      </c>
      <c r="B247" s="1" t="n">
        <v>44167</v>
      </c>
      <c r="C247" s="1" t="n">
        <v>45628</v>
      </c>
      <c r="D247" t="inlineStr">
        <is>
          <t>VÄSTERNORRLANDS LÄN</t>
        </is>
      </c>
      <c r="E247" t="inlineStr">
        <is>
          <t>KRAMFORS</t>
        </is>
      </c>
      <c r="G247" t="n">
        <v>3.2</v>
      </c>
      <c r="H247" t="n">
        <v>0</v>
      </c>
      <c r="I247" t="n">
        <v>0</v>
      </c>
      <c r="J247" t="n">
        <v>0</v>
      </c>
      <c r="K247" t="n">
        <v>0</v>
      </c>
      <c r="L247" t="n">
        <v>0</v>
      </c>
      <c r="M247" t="n">
        <v>0</v>
      </c>
      <c r="N247" t="n">
        <v>0</v>
      </c>
      <c r="O247" t="n">
        <v>0</v>
      </c>
      <c r="P247" t="n">
        <v>0</v>
      </c>
      <c r="Q247" t="n">
        <v>0</v>
      </c>
      <c r="R247" s="2" t="inlineStr"/>
    </row>
    <row r="248" ht="15" customHeight="1">
      <c r="A248" t="inlineStr">
        <is>
          <t>A 65056-2020</t>
        </is>
      </c>
      <c r="B248" s="1" t="n">
        <v>44167</v>
      </c>
      <c r="C248" s="1" t="n">
        <v>45628</v>
      </c>
      <c r="D248" t="inlineStr">
        <is>
          <t>VÄSTERNORRLANDS LÄN</t>
        </is>
      </c>
      <c r="E248" t="inlineStr">
        <is>
          <t>KRAMFORS</t>
        </is>
      </c>
      <c r="G248" t="n">
        <v>2.5</v>
      </c>
      <c r="H248" t="n">
        <v>0</v>
      </c>
      <c r="I248" t="n">
        <v>0</v>
      </c>
      <c r="J248" t="n">
        <v>0</v>
      </c>
      <c r="K248" t="n">
        <v>0</v>
      </c>
      <c r="L248" t="n">
        <v>0</v>
      </c>
      <c r="M248" t="n">
        <v>0</v>
      </c>
      <c r="N248" t="n">
        <v>0</v>
      </c>
      <c r="O248" t="n">
        <v>0</v>
      </c>
      <c r="P248" t="n">
        <v>0</v>
      </c>
      <c r="Q248" t="n">
        <v>0</v>
      </c>
      <c r="R248" s="2" t="inlineStr"/>
    </row>
    <row r="249" ht="15" customHeight="1">
      <c r="A249" t="inlineStr">
        <is>
          <t>A 64205-2020</t>
        </is>
      </c>
      <c r="B249" s="1" t="n">
        <v>44167</v>
      </c>
      <c r="C249" s="1" t="n">
        <v>45628</v>
      </c>
      <c r="D249" t="inlineStr">
        <is>
          <t>VÄSTERNORRLANDS LÄN</t>
        </is>
      </c>
      <c r="E249" t="inlineStr">
        <is>
          <t>KRAMFORS</t>
        </is>
      </c>
      <c r="G249" t="n">
        <v>2.4</v>
      </c>
      <c r="H249" t="n">
        <v>0</v>
      </c>
      <c r="I249" t="n">
        <v>0</v>
      </c>
      <c r="J249" t="n">
        <v>0</v>
      </c>
      <c r="K249" t="n">
        <v>0</v>
      </c>
      <c r="L249" t="n">
        <v>0</v>
      </c>
      <c r="M249" t="n">
        <v>0</v>
      </c>
      <c r="N249" t="n">
        <v>0</v>
      </c>
      <c r="O249" t="n">
        <v>0</v>
      </c>
      <c r="P249" t="n">
        <v>0</v>
      </c>
      <c r="Q249" t="n">
        <v>0</v>
      </c>
      <c r="R249" s="2" t="inlineStr"/>
    </row>
    <row r="250" ht="15" customHeight="1">
      <c r="A250" t="inlineStr">
        <is>
          <t>A 65265-2020</t>
        </is>
      </c>
      <c r="B250" s="1" t="n">
        <v>44172</v>
      </c>
      <c r="C250" s="1" t="n">
        <v>45628</v>
      </c>
      <c r="D250" t="inlineStr">
        <is>
          <t>VÄSTERNORRLANDS LÄN</t>
        </is>
      </c>
      <c r="E250" t="inlineStr">
        <is>
          <t>KRAMFORS</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65546-2020</t>
        </is>
      </c>
      <c r="B251" s="1" t="n">
        <v>44173</v>
      </c>
      <c r="C251" s="1" t="n">
        <v>45628</v>
      </c>
      <c r="D251" t="inlineStr">
        <is>
          <t>VÄSTERNORRLANDS LÄN</t>
        </is>
      </c>
      <c r="E251" t="inlineStr">
        <is>
          <t>KRAMFORS</t>
        </is>
      </c>
      <c r="G251" t="n">
        <v>1.1</v>
      </c>
      <c r="H251" t="n">
        <v>0</v>
      </c>
      <c r="I251" t="n">
        <v>0</v>
      </c>
      <c r="J251" t="n">
        <v>0</v>
      </c>
      <c r="K251" t="n">
        <v>0</v>
      </c>
      <c r="L251" t="n">
        <v>0</v>
      </c>
      <c r="M251" t="n">
        <v>0</v>
      </c>
      <c r="N251" t="n">
        <v>0</v>
      </c>
      <c r="O251" t="n">
        <v>0</v>
      </c>
      <c r="P251" t="n">
        <v>0</v>
      </c>
      <c r="Q251" t="n">
        <v>0</v>
      </c>
      <c r="R251" s="2" t="inlineStr"/>
    </row>
    <row r="252" ht="15" customHeight="1">
      <c r="A252" t="inlineStr">
        <is>
          <t>A 65905-2020</t>
        </is>
      </c>
      <c r="B252" s="1" t="n">
        <v>44174</v>
      </c>
      <c r="C252" s="1" t="n">
        <v>45628</v>
      </c>
      <c r="D252" t="inlineStr">
        <is>
          <t>VÄSTERNORRLANDS LÄN</t>
        </is>
      </c>
      <c r="E252" t="inlineStr">
        <is>
          <t>KRAMFORS</t>
        </is>
      </c>
      <c r="G252" t="n">
        <v>2.2</v>
      </c>
      <c r="H252" t="n">
        <v>0</v>
      </c>
      <c r="I252" t="n">
        <v>0</v>
      </c>
      <c r="J252" t="n">
        <v>0</v>
      </c>
      <c r="K252" t="n">
        <v>0</v>
      </c>
      <c r="L252" t="n">
        <v>0</v>
      </c>
      <c r="M252" t="n">
        <v>0</v>
      </c>
      <c r="N252" t="n">
        <v>0</v>
      </c>
      <c r="O252" t="n">
        <v>0</v>
      </c>
      <c r="P252" t="n">
        <v>0</v>
      </c>
      <c r="Q252" t="n">
        <v>0</v>
      </c>
      <c r="R252" s="2" t="inlineStr"/>
    </row>
    <row r="253" ht="15" customHeight="1">
      <c r="A253" t="inlineStr">
        <is>
          <t>A 66252-2020</t>
        </is>
      </c>
      <c r="B253" s="1" t="n">
        <v>44175</v>
      </c>
      <c r="C253" s="1" t="n">
        <v>45628</v>
      </c>
      <c r="D253" t="inlineStr">
        <is>
          <t>VÄSTERNORRLANDS LÄN</t>
        </is>
      </c>
      <c r="E253" t="inlineStr">
        <is>
          <t>KRAMFORS</t>
        </is>
      </c>
      <c r="G253" t="n">
        <v>3.8</v>
      </c>
      <c r="H253" t="n">
        <v>0</v>
      </c>
      <c r="I253" t="n">
        <v>0</v>
      </c>
      <c r="J253" t="n">
        <v>0</v>
      </c>
      <c r="K253" t="n">
        <v>0</v>
      </c>
      <c r="L253" t="n">
        <v>0</v>
      </c>
      <c r="M253" t="n">
        <v>0</v>
      </c>
      <c r="N253" t="n">
        <v>0</v>
      </c>
      <c r="O253" t="n">
        <v>0</v>
      </c>
      <c r="P253" t="n">
        <v>0</v>
      </c>
      <c r="Q253" t="n">
        <v>0</v>
      </c>
      <c r="R253" s="2" t="inlineStr"/>
    </row>
    <row r="254" ht="15" customHeight="1">
      <c r="A254" t="inlineStr">
        <is>
          <t>A 66245-2020</t>
        </is>
      </c>
      <c r="B254" s="1" t="n">
        <v>44175</v>
      </c>
      <c r="C254" s="1" t="n">
        <v>45628</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66783-2020</t>
        </is>
      </c>
      <c r="B255" s="1" t="n">
        <v>44179</v>
      </c>
      <c r="C255" s="1" t="n">
        <v>45628</v>
      </c>
      <c r="D255" t="inlineStr">
        <is>
          <t>VÄSTERNORRLANDS LÄN</t>
        </is>
      </c>
      <c r="E255" t="inlineStr">
        <is>
          <t>KRAMFORS</t>
        </is>
      </c>
      <c r="G255" t="n">
        <v>0.7</v>
      </c>
      <c r="H255" t="n">
        <v>0</v>
      </c>
      <c r="I255" t="n">
        <v>0</v>
      </c>
      <c r="J255" t="n">
        <v>0</v>
      </c>
      <c r="K255" t="n">
        <v>0</v>
      </c>
      <c r="L255" t="n">
        <v>0</v>
      </c>
      <c r="M255" t="n">
        <v>0</v>
      </c>
      <c r="N255" t="n">
        <v>0</v>
      </c>
      <c r="O255" t="n">
        <v>0</v>
      </c>
      <c r="P255" t="n">
        <v>0</v>
      </c>
      <c r="Q255" t="n">
        <v>0</v>
      </c>
      <c r="R255" s="2" t="inlineStr"/>
    </row>
    <row r="256" ht="15" customHeight="1">
      <c r="A256" t="inlineStr">
        <is>
          <t>A 66826-2020</t>
        </is>
      </c>
      <c r="B256" s="1" t="n">
        <v>44179</v>
      </c>
      <c r="C256" s="1" t="n">
        <v>45628</v>
      </c>
      <c r="D256" t="inlineStr">
        <is>
          <t>VÄSTERNORRLANDS LÄN</t>
        </is>
      </c>
      <c r="E256" t="inlineStr">
        <is>
          <t>KRAMFORS</t>
        </is>
      </c>
      <c r="G256" t="n">
        <v>1.5</v>
      </c>
      <c r="H256" t="n">
        <v>0</v>
      </c>
      <c r="I256" t="n">
        <v>0</v>
      </c>
      <c r="J256" t="n">
        <v>0</v>
      </c>
      <c r="K256" t="n">
        <v>0</v>
      </c>
      <c r="L256" t="n">
        <v>0</v>
      </c>
      <c r="M256" t="n">
        <v>0</v>
      </c>
      <c r="N256" t="n">
        <v>0</v>
      </c>
      <c r="O256" t="n">
        <v>0</v>
      </c>
      <c r="P256" t="n">
        <v>0</v>
      </c>
      <c r="Q256" t="n">
        <v>0</v>
      </c>
      <c r="R256" s="2" t="inlineStr"/>
    </row>
    <row r="257" ht="15" customHeight="1">
      <c r="A257" t="inlineStr">
        <is>
          <t>A 67499-2020</t>
        </is>
      </c>
      <c r="B257" s="1" t="n">
        <v>44181</v>
      </c>
      <c r="C257" s="1" t="n">
        <v>45628</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67527-2020</t>
        </is>
      </c>
      <c r="B258" s="1" t="n">
        <v>44181</v>
      </c>
      <c r="C258" s="1" t="n">
        <v>45628</v>
      </c>
      <c r="D258" t="inlineStr">
        <is>
          <t>VÄSTERNORRLANDS LÄN</t>
        </is>
      </c>
      <c r="E258" t="inlineStr">
        <is>
          <t>KRAMFORS</t>
        </is>
      </c>
      <c r="G258" t="n">
        <v>0.7</v>
      </c>
      <c r="H258" t="n">
        <v>0</v>
      </c>
      <c r="I258" t="n">
        <v>0</v>
      </c>
      <c r="J258" t="n">
        <v>0</v>
      </c>
      <c r="K258" t="n">
        <v>0</v>
      </c>
      <c r="L258" t="n">
        <v>0</v>
      </c>
      <c r="M258" t="n">
        <v>0</v>
      </c>
      <c r="N258" t="n">
        <v>0</v>
      </c>
      <c r="O258" t="n">
        <v>0</v>
      </c>
      <c r="P258" t="n">
        <v>0</v>
      </c>
      <c r="Q258" t="n">
        <v>0</v>
      </c>
      <c r="R258" s="2" t="inlineStr"/>
    </row>
    <row r="259" ht="15" customHeight="1">
      <c r="A259" t="inlineStr">
        <is>
          <t>A 67523-2020</t>
        </is>
      </c>
      <c r="B259" s="1" t="n">
        <v>44181</v>
      </c>
      <c r="C259" s="1" t="n">
        <v>45628</v>
      </c>
      <c r="D259" t="inlineStr">
        <is>
          <t>VÄSTERNORRLANDS LÄN</t>
        </is>
      </c>
      <c r="E259" t="inlineStr">
        <is>
          <t>KRAMFORS</t>
        </is>
      </c>
      <c r="G259" t="n">
        <v>1</v>
      </c>
      <c r="H259" t="n">
        <v>0</v>
      </c>
      <c r="I259" t="n">
        <v>0</v>
      </c>
      <c r="J259" t="n">
        <v>0</v>
      </c>
      <c r="K259" t="n">
        <v>0</v>
      </c>
      <c r="L259" t="n">
        <v>0</v>
      </c>
      <c r="M259" t="n">
        <v>0</v>
      </c>
      <c r="N259" t="n">
        <v>0</v>
      </c>
      <c r="O259" t="n">
        <v>0</v>
      </c>
      <c r="P259" t="n">
        <v>0</v>
      </c>
      <c r="Q259" t="n">
        <v>0</v>
      </c>
      <c r="R259" s="2" t="inlineStr"/>
    </row>
    <row r="260" ht="15" customHeight="1">
      <c r="A260" t="inlineStr">
        <is>
          <t>A 67519-2020</t>
        </is>
      </c>
      <c r="B260" s="1" t="n">
        <v>44181</v>
      </c>
      <c r="C260" s="1" t="n">
        <v>45628</v>
      </c>
      <c r="D260" t="inlineStr">
        <is>
          <t>VÄSTERNORRLANDS LÄN</t>
        </is>
      </c>
      <c r="E260" t="inlineStr">
        <is>
          <t>KRAMFORS</t>
        </is>
      </c>
      <c r="G260" t="n">
        <v>1.4</v>
      </c>
      <c r="H260" t="n">
        <v>0</v>
      </c>
      <c r="I260" t="n">
        <v>0</v>
      </c>
      <c r="J260" t="n">
        <v>0</v>
      </c>
      <c r="K260" t="n">
        <v>0</v>
      </c>
      <c r="L260" t="n">
        <v>0</v>
      </c>
      <c r="M260" t="n">
        <v>0</v>
      </c>
      <c r="N260" t="n">
        <v>0</v>
      </c>
      <c r="O260" t="n">
        <v>0</v>
      </c>
      <c r="P260" t="n">
        <v>0</v>
      </c>
      <c r="Q260" t="n">
        <v>0</v>
      </c>
      <c r="R260" s="2" t="inlineStr"/>
    </row>
    <row r="261" ht="15" customHeight="1">
      <c r="A261" t="inlineStr">
        <is>
          <t>A 67601-2020</t>
        </is>
      </c>
      <c r="B261" s="1" t="n">
        <v>44181</v>
      </c>
      <c r="C261" s="1" t="n">
        <v>45628</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67513-2020</t>
        </is>
      </c>
      <c r="B262" s="1" t="n">
        <v>44181</v>
      </c>
      <c r="C262" s="1" t="n">
        <v>45628</v>
      </c>
      <c r="D262" t="inlineStr">
        <is>
          <t>VÄSTERNORRLANDS LÄN</t>
        </is>
      </c>
      <c r="E262" t="inlineStr">
        <is>
          <t>KRAMFORS</t>
        </is>
      </c>
      <c r="G262" t="n">
        <v>0.9</v>
      </c>
      <c r="H262" t="n">
        <v>0</v>
      </c>
      <c r="I262" t="n">
        <v>0</v>
      </c>
      <c r="J262" t="n">
        <v>0</v>
      </c>
      <c r="K262" t="n">
        <v>0</v>
      </c>
      <c r="L262" t="n">
        <v>0</v>
      </c>
      <c r="M262" t="n">
        <v>0</v>
      </c>
      <c r="N262" t="n">
        <v>0</v>
      </c>
      <c r="O262" t="n">
        <v>0</v>
      </c>
      <c r="P262" t="n">
        <v>0</v>
      </c>
      <c r="Q262" t="n">
        <v>0</v>
      </c>
      <c r="R262" s="2" t="inlineStr"/>
    </row>
    <row r="263" ht="15" customHeight="1">
      <c r="A263" t="inlineStr">
        <is>
          <t>A 67503-2020</t>
        </is>
      </c>
      <c r="B263" s="1" t="n">
        <v>44181</v>
      </c>
      <c r="C263" s="1" t="n">
        <v>45628</v>
      </c>
      <c r="D263" t="inlineStr">
        <is>
          <t>VÄSTERNORRLANDS LÄN</t>
        </is>
      </c>
      <c r="E263" t="inlineStr">
        <is>
          <t>KRAMFORS</t>
        </is>
      </c>
      <c r="G263" t="n">
        <v>4.2</v>
      </c>
      <c r="H263" t="n">
        <v>0</v>
      </c>
      <c r="I263" t="n">
        <v>0</v>
      </c>
      <c r="J263" t="n">
        <v>0</v>
      </c>
      <c r="K263" t="n">
        <v>0</v>
      </c>
      <c r="L263" t="n">
        <v>0</v>
      </c>
      <c r="M263" t="n">
        <v>0</v>
      </c>
      <c r="N263" t="n">
        <v>0</v>
      </c>
      <c r="O263" t="n">
        <v>0</v>
      </c>
      <c r="P263" t="n">
        <v>0</v>
      </c>
      <c r="Q263" t="n">
        <v>0</v>
      </c>
      <c r="R263" s="2" t="inlineStr"/>
    </row>
    <row r="264" ht="15" customHeight="1">
      <c r="A264" t="inlineStr">
        <is>
          <t>A 68445-2020</t>
        </is>
      </c>
      <c r="B264" s="1" t="n">
        <v>44186</v>
      </c>
      <c r="C264" s="1" t="n">
        <v>45628</v>
      </c>
      <c r="D264" t="inlineStr">
        <is>
          <t>VÄSTERNORRLANDS LÄN</t>
        </is>
      </c>
      <c r="E264" t="inlineStr">
        <is>
          <t>KRAMFORS</t>
        </is>
      </c>
      <c r="G264" t="n">
        <v>1.7</v>
      </c>
      <c r="H264" t="n">
        <v>0</v>
      </c>
      <c r="I264" t="n">
        <v>0</v>
      </c>
      <c r="J264" t="n">
        <v>0</v>
      </c>
      <c r="K264" t="n">
        <v>0</v>
      </c>
      <c r="L264" t="n">
        <v>0</v>
      </c>
      <c r="M264" t="n">
        <v>0</v>
      </c>
      <c r="N264" t="n">
        <v>0</v>
      </c>
      <c r="O264" t="n">
        <v>0</v>
      </c>
      <c r="P264" t="n">
        <v>0</v>
      </c>
      <c r="Q264" t="n">
        <v>0</v>
      </c>
      <c r="R264" s="2" t="inlineStr"/>
    </row>
    <row r="265" ht="15" customHeight="1">
      <c r="A265" t="inlineStr">
        <is>
          <t>A 69365-2020</t>
        </is>
      </c>
      <c r="B265" s="1" t="n">
        <v>44193</v>
      </c>
      <c r="C265" s="1" t="n">
        <v>45628</v>
      </c>
      <c r="D265" t="inlineStr">
        <is>
          <t>VÄSTERNORRLANDS LÄN</t>
        </is>
      </c>
      <c r="E265" t="inlineStr">
        <is>
          <t>KRAMFORS</t>
        </is>
      </c>
      <c r="G265" t="n">
        <v>2.5</v>
      </c>
      <c r="H265" t="n">
        <v>0</v>
      </c>
      <c r="I265" t="n">
        <v>0</v>
      </c>
      <c r="J265" t="n">
        <v>0</v>
      </c>
      <c r="K265" t="n">
        <v>0</v>
      </c>
      <c r="L265" t="n">
        <v>0</v>
      </c>
      <c r="M265" t="n">
        <v>0</v>
      </c>
      <c r="N265" t="n">
        <v>0</v>
      </c>
      <c r="O265" t="n">
        <v>0</v>
      </c>
      <c r="P265" t="n">
        <v>0</v>
      </c>
      <c r="Q265" t="n">
        <v>0</v>
      </c>
      <c r="R265" s="2" t="inlineStr"/>
    </row>
    <row r="266" ht="15" customHeight="1">
      <c r="A266" t="inlineStr">
        <is>
          <t>A 302-2021</t>
        </is>
      </c>
      <c r="B266" s="1" t="n">
        <v>44201</v>
      </c>
      <c r="C266" s="1" t="n">
        <v>45628</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301-2021</t>
        </is>
      </c>
      <c r="B267" s="1" t="n">
        <v>44201</v>
      </c>
      <c r="C267" s="1" t="n">
        <v>45628</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1010-2021</t>
        </is>
      </c>
      <c r="B268" s="1" t="n">
        <v>44207</v>
      </c>
      <c r="C268" s="1" t="n">
        <v>45628</v>
      </c>
      <c r="D268" t="inlineStr">
        <is>
          <t>VÄSTERNORRLANDS LÄN</t>
        </is>
      </c>
      <c r="E268" t="inlineStr">
        <is>
          <t>KRAMFORS</t>
        </is>
      </c>
      <c r="G268" t="n">
        <v>1.6</v>
      </c>
      <c r="H268" t="n">
        <v>0</v>
      </c>
      <c r="I268" t="n">
        <v>0</v>
      </c>
      <c r="J268" t="n">
        <v>0</v>
      </c>
      <c r="K268" t="n">
        <v>0</v>
      </c>
      <c r="L268" t="n">
        <v>0</v>
      </c>
      <c r="M268" t="n">
        <v>0</v>
      </c>
      <c r="N268" t="n">
        <v>0</v>
      </c>
      <c r="O268" t="n">
        <v>0</v>
      </c>
      <c r="P268" t="n">
        <v>0</v>
      </c>
      <c r="Q268" t="n">
        <v>0</v>
      </c>
      <c r="R268" s="2" t="inlineStr"/>
    </row>
    <row r="269" ht="15" customHeight="1">
      <c r="A269" t="inlineStr">
        <is>
          <t>A 1013-2021</t>
        </is>
      </c>
      <c r="B269" s="1" t="n">
        <v>44207</v>
      </c>
      <c r="C269" s="1" t="n">
        <v>45628</v>
      </c>
      <c r="D269" t="inlineStr">
        <is>
          <t>VÄSTERNORRLANDS LÄN</t>
        </is>
      </c>
      <c r="E269" t="inlineStr">
        <is>
          <t>KRAMFORS</t>
        </is>
      </c>
      <c r="G269" t="n">
        <v>0.9</v>
      </c>
      <c r="H269" t="n">
        <v>0</v>
      </c>
      <c r="I269" t="n">
        <v>0</v>
      </c>
      <c r="J269" t="n">
        <v>0</v>
      </c>
      <c r="K269" t="n">
        <v>0</v>
      </c>
      <c r="L269" t="n">
        <v>0</v>
      </c>
      <c r="M269" t="n">
        <v>0</v>
      </c>
      <c r="N269" t="n">
        <v>0</v>
      </c>
      <c r="O269" t="n">
        <v>0</v>
      </c>
      <c r="P269" t="n">
        <v>0</v>
      </c>
      <c r="Q269" t="n">
        <v>0</v>
      </c>
      <c r="R269" s="2" t="inlineStr"/>
    </row>
    <row r="270" ht="15" customHeight="1">
      <c r="A270" t="inlineStr">
        <is>
          <t>A 1203-2021</t>
        </is>
      </c>
      <c r="B270" s="1" t="n">
        <v>44207</v>
      </c>
      <c r="C270" s="1" t="n">
        <v>45628</v>
      </c>
      <c r="D270" t="inlineStr">
        <is>
          <t>VÄSTERNORRLANDS LÄN</t>
        </is>
      </c>
      <c r="E270" t="inlineStr">
        <is>
          <t>KRAMFORS</t>
        </is>
      </c>
      <c r="G270" t="n">
        <v>3</v>
      </c>
      <c r="H270" t="n">
        <v>0</v>
      </c>
      <c r="I270" t="n">
        <v>0</v>
      </c>
      <c r="J270" t="n">
        <v>0</v>
      </c>
      <c r="K270" t="n">
        <v>0</v>
      </c>
      <c r="L270" t="n">
        <v>0</v>
      </c>
      <c r="M270" t="n">
        <v>0</v>
      </c>
      <c r="N270" t="n">
        <v>0</v>
      </c>
      <c r="O270" t="n">
        <v>0</v>
      </c>
      <c r="P270" t="n">
        <v>0</v>
      </c>
      <c r="Q270" t="n">
        <v>0</v>
      </c>
      <c r="R270" s="2" t="inlineStr"/>
    </row>
    <row r="271" ht="15" customHeight="1">
      <c r="A271" t="inlineStr">
        <is>
          <t>A 1282-2021</t>
        </is>
      </c>
      <c r="B271" s="1" t="n">
        <v>44207</v>
      </c>
      <c r="C271" s="1" t="n">
        <v>45628</v>
      </c>
      <c r="D271" t="inlineStr">
        <is>
          <t>VÄSTERNORRLANDS LÄN</t>
        </is>
      </c>
      <c r="E271" t="inlineStr">
        <is>
          <t>KRAMFORS</t>
        </is>
      </c>
      <c r="G271" t="n">
        <v>12.5</v>
      </c>
      <c r="H271" t="n">
        <v>0</v>
      </c>
      <c r="I271" t="n">
        <v>0</v>
      </c>
      <c r="J271" t="n">
        <v>0</v>
      </c>
      <c r="K271" t="n">
        <v>0</v>
      </c>
      <c r="L271" t="n">
        <v>0</v>
      </c>
      <c r="M271" t="n">
        <v>0</v>
      </c>
      <c r="N271" t="n">
        <v>0</v>
      </c>
      <c r="O271" t="n">
        <v>0</v>
      </c>
      <c r="P271" t="n">
        <v>0</v>
      </c>
      <c r="Q271" t="n">
        <v>0</v>
      </c>
      <c r="R271" s="2" t="inlineStr"/>
    </row>
    <row r="272" ht="15" customHeight="1">
      <c r="A272" t="inlineStr">
        <is>
          <t>A 1776-2021</t>
        </is>
      </c>
      <c r="B272" s="1" t="n">
        <v>44209</v>
      </c>
      <c r="C272" s="1" t="n">
        <v>45628</v>
      </c>
      <c r="D272" t="inlineStr">
        <is>
          <t>VÄSTERNORRLANDS LÄN</t>
        </is>
      </c>
      <c r="E272" t="inlineStr">
        <is>
          <t>KRAMFORS</t>
        </is>
      </c>
      <c r="G272" t="n">
        <v>4.1</v>
      </c>
      <c r="H272" t="n">
        <v>0</v>
      </c>
      <c r="I272" t="n">
        <v>0</v>
      </c>
      <c r="J272" t="n">
        <v>0</v>
      </c>
      <c r="K272" t="n">
        <v>0</v>
      </c>
      <c r="L272" t="n">
        <v>0</v>
      </c>
      <c r="M272" t="n">
        <v>0</v>
      </c>
      <c r="N272" t="n">
        <v>0</v>
      </c>
      <c r="O272" t="n">
        <v>0</v>
      </c>
      <c r="P272" t="n">
        <v>0</v>
      </c>
      <c r="Q272" t="n">
        <v>0</v>
      </c>
      <c r="R272" s="2" t="inlineStr"/>
    </row>
    <row r="273" ht="15" customHeight="1">
      <c r="A273" t="inlineStr">
        <is>
          <t>A 2022-2021</t>
        </is>
      </c>
      <c r="B273" s="1" t="n">
        <v>44210</v>
      </c>
      <c r="C273" s="1" t="n">
        <v>45628</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2289-2021</t>
        </is>
      </c>
      <c r="B274" s="1" t="n">
        <v>44211</v>
      </c>
      <c r="C274" s="1" t="n">
        <v>45628</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2677-2021</t>
        </is>
      </c>
      <c r="B275" s="1" t="n">
        <v>44215</v>
      </c>
      <c r="C275" s="1" t="n">
        <v>45628</v>
      </c>
      <c r="D275" t="inlineStr">
        <is>
          <t>VÄSTERNORRLANDS LÄN</t>
        </is>
      </c>
      <c r="E275" t="inlineStr">
        <is>
          <t>KRAMFORS</t>
        </is>
      </c>
      <c r="G275" t="n">
        <v>4.9</v>
      </c>
      <c r="H275" t="n">
        <v>0</v>
      </c>
      <c r="I275" t="n">
        <v>0</v>
      </c>
      <c r="J275" t="n">
        <v>0</v>
      </c>
      <c r="K275" t="n">
        <v>0</v>
      </c>
      <c r="L275" t="n">
        <v>0</v>
      </c>
      <c r="M275" t="n">
        <v>0</v>
      </c>
      <c r="N275" t="n">
        <v>0</v>
      </c>
      <c r="O275" t="n">
        <v>0</v>
      </c>
      <c r="P275" t="n">
        <v>0</v>
      </c>
      <c r="Q275" t="n">
        <v>0</v>
      </c>
      <c r="R275" s="2" t="inlineStr"/>
    </row>
    <row r="276" ht="15" customHeight="1">
      <c r="A276" t="inlineStr">
        <is>
          <t>A 3830-2021</t>
        </is>
      </c>
      <c r="B276" s="1" t="n">
        <v>44216</v>
      </c>
      <c r="C276" s="1" t="n">
        <v>45628</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3754-2021</t>
        </is>
      </c>
      <c r="B277" s="1" t="n">
        <v>44221</v>
      </c>
      <c r="C277" s="1" t="n">
        <v>45628</v>
      </c>
      <c r="D277" t="inlineStr">
        <is>
          <t>VÄSTERNORRLANDS LÄN</t>
        </is>
      </c>
      <c r="E277" t="inlineStr">
        <is>
          <t>KRAMFORS</t>
        </is>
      </c>
      <c r="G277" t="n">
        <v>2.8</v>
      </c>
      <c r="H277" t="n">
        <v>0</v>
      </c>
      <c r="I277" t="n">
        <v>0</v>
      </c>
      <c r="J277" t="n">
        <v>0</v>
      </c>
      <c r="K277" t="n">
        <v>0</v>
      </c>
      <c r="L277" t="n">
        <v>0</v>
      </c>
      <c r="M277" t="n">
        <v>0</v>
      </c>
      <c r="N277" t="n">
        <v>0</v>
      </c>
      <c r="O277" t="n">
        <v>0</v>
      </c>
      <c r="P277" t="n">
        <v>0</v>
      </c>
      <c r="Q277" t="n">
        <v>0</v>
      </c>
      <c r="R277" s="2" t="inlineStr"/>
    </row>
    <row r="278" ht="15" customHeight="1">
      <c r="A278" t="inlineStr">
        <is>
          <t>A 4057-2021</t>
        </is>
      </c>
      <c r="B278" s="1" t="n">
        <v>44222</v>
      </c>
      <c r="C278" s="1" t="n">
        <v>45628</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4664-2021</t>
        </is>
      </c>
      <c r="B279" s="1" t="n">
        <v>44224</v>
      </c>
      <c r="C279" s="1" t="n">
        <v>45628</v>
      </c>
      <c r="D279" t="inlineStr">
        <is>
          <t>VÄSTERNORRLANDS LÄN</t>
        </is>
      </c>
      <c r="E279" t="inlineStr">
        <is>
          <t>KRAMFORS</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5210-2021</t>
        </is>
      </c>
      <c r="B280" s="1" t="n">
        <v>44228</v>
      </c>
      <c r="C280" s="1" t="n">
        <v>45628</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5209-2021</t>
        </is>
      </c>
      <c r="B281" s="1" t="n">
        <v>44228</v>
      </c>
      <c r="C281" s="1" t="n">
        <v>45628</v>
      </c>
      <c r="D281" t="inlineStr">
        <is>
          <t>VÄSTERNORRLANDS LÄN</t>
        </is>
      </c>
      <c r="E281" t="inlineStr">
        <is>
          <t>KRAMFORS</t>
        </is>
      </c>
      <c r="G281" t="n">
        <v>1.6</v>
      </c>
      <c r="H281" t="n">
        <v>0</v>
      </c>
      <c r="I281" t="n">
        <v>0</v>
      </c>
      <c r="J281" t="n">
        <v>0</v>
      </c>
      <c r="K281" t="n">
        <v>0</v>
      </c>
      <c r="L281" t="n">
        <v>0</v>
      </c>
      <c r="M281" t="n">
        <v>0</v>
      </c>
      <c r="N281" t="n">
        <v>0</v>
      </c>
      <c r="O281" t="n">
        <v>0</v>
      </c>
      <c r="P281" t="n">
        <v>0</v>
      </c>
      <c r="Q281" t="n">
        <v>0</v>
      </c>
      <c r="R281" s="2" t="inlineStr"/>
    </row>
    <row r="282" ht="15" customHeight="1">
      <c r="A282" t="inlineStr">
        <is>
          <t>A 5684-2021</t>
        </is>
      </c>
      <c r="B282" s="1" t="n">
        <v>44229</v>
      </c>
      <c r="C282" s="1" t="n">
        <v>45628</v>
      </c>
      <c r="D282" t="inlineStr">
        <is>
          <t>VÄSTERNORRLANDS LÄN</t>
        </is>
      </c>
      <c r="E282" t="inlineStr">
        <is>
          <t>KRAMFORS</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6492-2021</t>
        </is>
      </c>
      <c r="B283" s="1" t="n">
        <v>44235</v>
      </c>
      <c r="C283" s="1" t="n">
        <v>45628</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6938-2021</t>
        </is>
      </c>
      <c r="B284" s="1" t="n">
        <v>44237</v>
      </c>
      <c r="C284" s="1" t="n">
        <v>45628</v>
      </c>
      <c r="D284" t="inlineStr">
        <is>
          <t>VÄSTERNORRLANDS LÄN</t>
        </is>
      </c>
      <c r="E284" t="inlineStr">
        <is>
          <t>KRAMFORS</t>
        </is>
      </c>
      <c r="G284" t="n">
        <v>7.2</v>
      </c>
      <c r="H284" t="n">
        <v>0</v>
      </c>
      <c r="I284" t="n">
        <v>0</v>
      </c>
      <c r="J284" t="n">
        <v>0</v>
      </c>
      <c r="K284" t="n">
        <v>0</v>
      </c>
      <c r="L284" t="n">
        <v>0</v>
      </c>
      <c r="M284" t="n">
        <v>0</v>
      </c>
      <c r="N284" t="n">
        <v>0</v>
      </c>
      <c r="O284" t="n">
        <v>0</v>
      </c>
      <c r="P284" t="n">
        <v>0</v>
      </c>
      <c r="Q284" t="n">
        <v>0</v>
      </c>
      <c r="R284" s="2" t="inlineStr"/>
    </row>
    <row r="285" ht="15" customHeight="1">
      <c r="A285" t="inlineStr">
        <is>
          <t>A 7318-2021</t>
        </is>
      </c>
      <c r="B285" s="1" t="n">
        <v>44239</v>
      </c>
      <c r="C285" s="1" t="n">
        <v>45628</v>
      </c>
      <c r="D285" t="inlineStr">
        <is>
          <t>VÄSTERNORRLANDS LÄN</t>
        </is>
      </c>
      <c r="E285" t="inlineStr">
        <is>
          <t>KRAMFORS</t>
        </is>
      </c>
      <c r="G285" t="n">
        <v>0.7</v>
      </c>
      <c r="H285" t="n">
        <v>0</v>
      </c>
      <c r="I285" t="n">
        <v>0</v>
      </c>
      <c r="J285" t="n">
        <v>0</v>
      </c>
      <c r="K285" t="n">
        <v>0</v>
      </c>
      <c r="L285" t="n">
        <v>0</v>
      </c>
      <c r="M285" t="n">
        <v>0</v>
      </c>
      <c r="N285" t="n">
        <v>0</v>
      </c>
      <c r="O285" t="n">
        <v>0</v>
      </c>
      <c r="P285" t="n">
        <v>0</v>
      </c>
      <c r="Q285" t="n">
        <v>0</v>
      </c>
      <c r="R285" s="2" t="inlineStr"/>
    </row>
    <row r="286" ht="15" customHeight="1">
      <c r="A286" t="inlineStr">
        <is>
          <t>A 8078-2021</t>
        </is>
      </c>
      <c r="B286" s="1" t="n">
        <v>44243</v>
      </c>
      <c r="C286" s="1" t="n">
        <v>45628</v>
      </c>
      <c r="D286" t="inlineStr">
        <is>
          <t>VÄSTERNORRLANDS LÄN</t>
        </is>
      </c>
      <c r="E286" t="inlineStr">
        <is>
          <t>KRAMFORS</t>
        </is>
      </c>
      <c r="G286" t="n">
        <v>27.7</v>
      </c>
      <c r="H286" t="n">
        <v>0</v>
      </c>
      <c r="I286" t="n">
        <v>0</v>
      </c>
      <c r="J286" t="n">
        <v>0</v>
      </c>
      <c r="K286" t="n">
        <v>0</v>
      </c>
      <c r="L286" t="n">
        <v>0</v>
      </c>
      <c r="M286" t="n">
        <v>0</v>
      </c>
      <c r="N286" t="n">
        <v>0</v>
      </c>
      <c r="O286" t="n">
        <v>0</v>
      </c>
      <c r="P286" t="n">
        <v>0</v>
      </c>
      <c r="Q286" t="n">
        <v>0</v>
      </c>
      <c r="R286" s="2" t="inlineStr"/>
    </row>
    <row r="287" ht="15" customHeight="1">
      <c r="A287" t="inlineStr">
        <is>
          <t>A 8068-2021</t>
        </is>
      </c>
      <c r="B287" s="1" t="n">
        <v>44243</v>
      </c>
      <c r="C287" s="1" t="n">
        <v>45628</v>
      </c>
      <c r="D287" t="inlineStr">
        <is>
          <t>VÄSTERNORRLANDS LÄN</t>
        </is>
      </c>
      <c r="E287" t="inlineStr">
        <is>
          <t>KRAMFORS</t>
        </is>
      </c>
      <c r="G287" t="n">
        <v>10.4</v>
      </c>
      <c r="H287" t="n">
        <v>0</v>
      </c>
      <c r="I287" t="n">
        <v>0</v>
      </c>
      <c r="J287" t="n">
        <v>0</v>
      </c>
      <c r="K287" t="n">
        <v>0</v>
      </c>
      <c r="L287" t="n">
        <v>0</v>
      </c>
      <c r="M287" t="n">
        <v>0</v>
      </c>
      <c r="N287" t="n">
        <v>0</v>
      </c>
      <c r="O287" t="n">
        <v>0</v>
      </c>
      <c r="P287" t="n">
        <v>0</v>
      </c>
      <c r="Q287" t="n">
        <v>0</v>
      </c>
      <c r="R287" s="2" t="inlineStr"/>
    </row>
    <row r="288" ht="15" customHeight="1">
      <c r="A288" t="inlineStr">
        <is>
          <t>A 8200-2021</t>
        </is>
      </c>
      <c r="B288" s="1" t="n">
        <v>44243</v>
      </c>
      <c r="C288" s="1" t="n">
        <v>45628</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8298-2021</t>
        </is>
      </c>
      <c r="B289" s="1" t="n">
        <v>44244</v>
      </c>
      <c r="C289" s="1" t="n">
        <v>45628</v>
      </c>
      <c r="D289" t="inlineStr">
        <is>
          <t>VÄSTERNORRLANDS LÄN</t>
        </is>
      </c>
      <c r="E289" t="inlineStr">
        <is>
          <t>KRAMFORS</t>
        </is>
      </c>
      <c r="G289" t="n">
        <v>0.1</v>
      </c>
      <c r="H289" t="n">
        <v>0</v>
      </c>
      <c r="I289" t="n">
        <v>0</v>
      </c>
      <c r="J289" t="n">
        <v>0</v>
      </c>
      <c r="K289" t="n">
        <v>0</v>
      </c>
      <c r="L289" t="n">
        <v>0</v>
      </c>
      <c r="M289" t="n">
        <v>0</v>
      </c>
      <c r="N289" t="n">
        <v>0</v>
      </c>
      <c r="O289" t="n">
        <v>0</v>
      </c>
      <c r="P289" t="n">
        <v>0</v>
      </c>
      <c r="Q289" t="n">
        <v>0</v>
      </c>
      <c r="R289" s="2" t="inlineStr"/>
    </row>
    <row r="290" ht="15" customHeight="1">
      <c r="A290" t="inlineStr">
        <is>
          <t>A 8645-2021</t>
        </is>
      </c>
      <c r="B290" s="1" t="n">
        <v>44245</v>
      </c>
      <c r="C290" s="1" t="n">
        <v>45628</v>
      </c>
      <c r="D290" t="inlineStr">
        <is>
          <t>VÄSTERNORRLANDS LÄN</t>
        </is>
      </c>
      <c r="E290" t="inlineStr">
        <is>
          <t>KRAMFORS</t>
        </is>
      </c>
      <c r="G290" t="n">
        <v>1.2</v>
      </c>
      <c r="H290" t="n">
        <v>0</v>
      </c>
      <c r="I290" t="n">
        <v>0</v>
      </c>
      <c r="J290" t="n">
        <v>0</v>
      </c>
      <c r="K290" t="n">
        <v>0</v>
      </c>
      <c r="L290" t="n">
        <v>0</v>
      </c>
      <c r="M290" t="n">
        <v>0</v>
      </c>
      <c r="N290" t="n">
        <v>0</v>
      </c>
      <c r="O290" t="n">
        <v>0</v>
      </c>
      <c r="P290" t="n">
        <v>0</v>
      </c>
      <c r="Q290" t="n">
        <v>0</v>
      </c>
      <c r="R290" s="2" t="inlineStr"/>
    </row>
    <row r="291" ht="15" customHeight="1">
      <c r="A291" t="inlineStr">
        <is>
          <t>A 8861-2021</t>
        </is>
      </c>
      <c r="B291" s="1" t="n">
        <v>44246</v>
      </c>
      <c r="C291" s="1" t="n">
        <v>45628</v>
      </c>
      <c r="D291" t="inlineStr">
        <is>
          <t>VÄSTERNORRLANDS LÄN</t>
        </is>
      </c>
      <c r="E291" t="inlineStr">
        <is>
          <t>KRAMFORS</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9815-2021</t>
        </is>
      </c>
      <c r="B292" s="1" t="n">
        <v>44252</v>
      </c>
      <c r="C292" s="1" t="n">
        <v>45628</v>
      </c>
      <c r="D292" t="inlineStr">
        <is>
          <t>VÄSTERNORRLANDS LÄN</t>
        </is>
      </c>
      <c r="E292" t="inlineStr">
        <is>
          <t>KRAMFORS</t>
        </is>
      </c>
      <c r="G292" t="n">
        <v>1.6</v>
      </c>
      <c r="H292" t="n">
        <v>0</v>
      </c>
      <c r="I292" t="n">
        <v>0</v>
      </c>
      <c r="J292" t="n">
        <v>0</v>
      </c>
      <c r="K292" t="n">
        <v>0</v>
      </c>
      <c r="L292" t="n">
        <v>0</v>
      </c>
      <c r="M292" t="n">
        <v>0</v>
      </c>
      <c r="N292" t="n">
        <v>0</v>
      </c>
      <c r="O292" t="n">
        <v>0</v>
      </c>
      <c r="P292" t="n">
        <v>0</v>
      </c>
      <c r="Q292" t="n">
        <v>0</v>
      </c>
      <c r="R292" s="2" t="inlineStr"/>
    </row>
    <row r="293" ht="15" customHeight="1">
      <c r="A293" t="inlineStr">
        <is>
          <t>A 10277-2021</t>
        </is>
      </c>
      <c r="B293" s="1" t="n">
        <v>44256</v>
      </c>
      <c r="C293" s="1" t="n">
        <v>45628</v>
      </c>
      <c r="D293" t="inlineStr">
        <is>
          <t>VÄSTERNORRLANDS LÄN</t>
        </is>
      </c>
      <c r="E293" t="inlineStr">
        <is>
          <t>KRAMFORS</t>
        </is>
      </c>
      <c r="G293" t="n">
        <v>3.2</v>
      </c>
      <c r="H293" t="n">
        <v>0</v>
      </c>
      <c r="I293" t="n">
        <v>0</v>
      </c>
      <c r="J293" t="n">
        <v>0</v>
      </c>
      <c r="K293" t="n">
        <v>0</v>
      </c>
      <c r="L293" t="n">
        <v>0</v>
      </c>
      <c r="M293" t="n">
        <v>0</v>
      </c>
      <c r="N293" t="n">
        <v>0</v>
      </c>
      <c r="O293" t="n">
        <v>0</v>
      </c>
      <c r="P293" t="n">
        <v>0</v>
      </c>
      <c r="Q293" t="n">
        <v>0</v>
      </c>
      <c r="R293" s="2" t="inlineStr"/>
    </row>
    <row r="294" ht="15" customHeight="1">
      <c r="A294" t="inlineStr">
        <is>
          <t>A 11717-2021</t>
        </is>
      </c>
      <c r="B294" s="1" t="n">
        <v>44264</v>
      </c>
      <c r="C294" s="1" t="n">
        <v>45628</v>
      </c>
      <c r="D294" t="inlineStr">
        <is>
          <t>VÄSTERNORRLANDS LÄN</t>
        </is>
      </c>
      <c r="E294" t="inlineStr">
        <is>
          <t>KRAMFORS</t>
        </is>
      </c>
      <c r="G294" t="n">
        <v>0.9</v>
      </c>
      <c r="H294" t="n">
        <v>0</v>
      </c>
      <c r="I294" t="n">
        <v>0</v>
      </c>
      <c r="J294" t="n">
        <v>0</v>
      </c>
      <c r="K294" t="n">
        <v>0</v>
      </c>
      <c r="L294" t="n">
        <v>0</v>
      </c>
      <c r="M294" t="n">
        <v>0</v>
      </c>
      <c r="N294" t="n">
        <v>0</v>
      </c>
      <c r="O294" t="n">
        <v>0</v>
      </c>
      <c r="P294" t="n">
        <v>0</v>
      </c>
      <c r="Q294" t="n">
        <v>0</v>
      </c>
      <c r="R294" s="2" t="inlineStr"/>
    </row>
    <row r="295" ht="15" customHeight="1">
      <c r="A295" t="inlineStr">
        <is>
          <t>A 12040-2021</t>
        </is>
      </c>
      <c r="B295" s="1" t="n">
        <v>44266</v>
      </c>
      <c r="C295" s="1" t="n">
        <v>45628</v>
      </c>
      <c r="D295" t="inlineStr">
        <is>
          <t>VÄSTERNORRLANDS LÄN</t>
        </is>
      </c>
      <c r="E295" t="inlineStr">
        <is>
          <t>KRAMFORS</t>
        </is>
      </c>
      <c r="G295" t="n">
        <v>1.9</v>
      </c>
      <c r="H295" t="n">
        <v>0</v>
      </c>
      <c r="I295" t="n">
        <v>0</v>
      </c>
      <c r="J295" t="n">
        <v>0</v>
      </c>
      <c r="K295" t="n">
        <v>0</v>
      </c>
      <c r="L295" t="n">
        <v>0</v>
      </c>
      <c r="M295" t="n">
        <v>0</v>
      </c>
      <c r="N295" t="n">
        <v>0</v>
      </c>
      <c r="O295" t="n">
        <v>0</v>
      </c>
      <c r="P295" t="n">
        <v>0</v>
      </c>
      <c r="Q295" t="n">
        <v>0</v>
      </c>
      <c r="R295" s="2" t="inlineStr"/>
    </row>
    <row r="296" ht="15" customHeight="1">
      <c r="A296" t="inlineStr">
        <is>
          <t>A 12307-2021</t>
        </is>
      </c>
      <c r="B296" s="1" t="n">
        <v>44267</v>
      </c>
      <c r="C296" s="1" t="n">
        <v>45628</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12306-2021</t>
        </is>
      </c>
      <c r="B297" s="1" t="n">
        <v>44267</v>
      </c>
      <c r="C297" s="1" t="n">
        <v>45628</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12315-2021</t>
        </is>
      </c>
      <c r="B298" s="1" t="n">
        <v>44267</v>
      </c>
      <c r="C298" s="1" t="n">
        <v>45628</v>
      </c>
      <c r="D298" t="inlineStr">
        <is>
          <t>VÄSTERNORRLANDS LÄN</t>
        </is>
      </c>
      <c r="E298" t="inlineStr">
        <is>
          <t>KRAMFORS</t>
        </is>
      </c>
      <c r="G298" t="n">
        <v>14.4</v>
      </c>
      <c r="H298" t="n">
        <v>0</v>
      </c>
      <c r="I298" t="n">
        <v>0</v>
      </c>
      <c r="J298" t="n">
        <v>0</v>
      </c>
      <c r="K298" t="n">
        <v>0</v>
      </c>
      <c r="L298" t="n">
        <v>0</v>
      </c>
      <c r="M298" t="n">
        <v>0</v>
      </c>
      <c r="N298" t="n">
        <v>0</v>
      </c>
      <c r="O298" t="n">
        <v>0</v>
      </c>
      <c r="P298" t="n">
        <v>0</v>
      </c>
      <c r="Q298" t="n">
        <v>0</v>
      </c>
      <c r="R298" s="2" t="inlineStr"/>
    </row>
    <row r="299" ht="15" customHeight="1">
      <c r="A299" t="inlineStr">
        <is>
          <t>A 13189-2021</t>
        </is>
      </c>
      <c r="B299" s="1" t="n">
        <v>44272</v>
      </c>
      <c r="C299" s="1" t="n">
        <v>45628</v>
      </c>
      <c r="D299" t="inlineStr">
        <is>
          <t>VÄSTERNORRLANDS LÄN</t>
        </is>
      </c>
      <c r="E299" t="inlineStr">
        <is>
          <t>KRAMFORS</t>
        </is>
      </c>
      <c r="G299" t="n">
        <v>21.6</v>
      </c>
      <c r="H299" t="n">
        <v>0</v>
      </c>
      <c r="I299" t="n">
        <v>0</v>
      </c>
      <c r="J299" t="n">
        <v>0</v>
      </c>
      <c r="K299" t="n">
        <v>0</v>
      </c>
      <c r="L299" t="n">
        <v>0</v>
      </c>
      <c r="M299" t="n">
        <v>0</v>
      </c>
      <c r="N299" t="n">
        <v>0</v>
      </c>
      <c r="O299" t="n">
        <v>0</v>
      </c>
      <c r="P299" t="n">
        <v>0</v>
      </c>
      <c r="Q299" t="n">
        <v>0</v>
      </c>
      <c r="R299" s="2" t="inlineStr"/>
    </row>
    <row r="300" ht="15" customHeight="1">
      <c r="A300" t="inlineStr">
        <is>
          <t>A 14254-2021</t>
        </is>
      </c>
      <c r="B300" s="1" t="n">
        <v>44278</v>
      </c>
      <c r="C300" s="1" t="n">
        <v>45628</v>
      </c>
      <c r="D300" t="inlineStr">
        <is>
          <t>VÄSTERNORRLANDS LÄN</t>
        </is>
      </c>
      <c r="E300" t="inlineStr">
        <is>
          <t>KRAMFORS</t>
        </is>
      </c>
      <c r="G300" t="n">
        <v>1.5</v>
      </c>
      <c r="H300" t="n">
        <v>0</v>
      </c>
      <c r="I300" t="n">
        <v>0</v>
      </c>
      <c r="J300" t="n">
        <v>0</v>
      </c>
      <c r="K300" t="n">
        <v>0</v>
      </c>
      <c r="L300" t="n">
        <v>0</v>
      </c>
      <c r="M300" t="n">
        <v>0</v>
      </c>
      <c r="N300" t="n">
        <v>0</v>
      </c>
      <c r="O300" t="n">
        <v>0</v>
      </c>
      <c r="P300" t="n">
        <v>0</v>
      </c>
      <c r="Q300" t="n">
        <v>0</v>
      </c>
      <c r="R300" s="2" t="inlineStr"/>
    </row>
    <row r="301" ht="15" customHeight="1">
      <c r="A301" t="inlineStr">
        <is>
          <t>A 14705-2021</t>
        </is>
      </c>
      <c r="B301" s="1" t="n">
        <v>44280</v>
      </c>
      <c r="C301" s="1" t="n">
        <v>45628</v>
      </c>
      <c r="D301" t="inlineStr">
        <is>
          <t>VÄSTERNORRLANDS LÄN</t>
        </is>
      </c>
      <c r="E301" t="inlineStr">
        <is>
          <t>KRAMFORS</t>
        </is>
      </c>
      <c r="G301" t="n">
        <v>4.1</v>
      </c>
      <c r="H301" t="n">
        <v>0</v>
      </c>
      <c r="I301" t="n">
        <v>0</v>
      </c>
      <c r="J301" t="n">
        <v>0</v>
      </c>
      <c r="K301" t="n">
        <v>0</v>
      </c>
      <c r="L301" t="n">
        <v>0</v>
      </c>
      <c r="M301" t="n">
        <v>0</v>
      </c>
      <c r="N301" t="n">
        <v>0</v>
      </c>
      <c r="O301" t="n">
        <v>0</v>
      </c>
      <c r="P301" t="n">
        <v>0</v>
      </c>
      <c r="Q301" t="n">
        <v>0</v>
      </c>
      <c r="R301" s="2" t="inlineStr"/>
    </row>
    <row r="302" ht="15" customHeight="1">
      <c r="A302" t="inlineStr">
        <is>
          <t>A 15262-2021</t>
        </is>
      </c>
      <c r="B302" s="1" t="n">
        <v>44284</v>
      </c>
      <c r="C302" s="1" t="n">
        <v>45628</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16066-2021</t>
        </is>
      </c>
      <c r="B303" s="1" t="n">
        <v>44287</v>
      </c>
      <c r="C303" s="1" t="n">
        <v>45628</v>
      </c>
      <c r="D303" t="inlineStr">
        <is>
          <t>VÄSTERNORRLANDS LÄN</t>
        </is>
      </c>
      <c r="E303" t="inlineStr">
        <is>
          <t>KRAMFORS</t>
        </is>
      </c>
      <c r="G303" t="n">
        <v>1.1</v>
      </c>
      <c r="H303" t="n">
        <v>0</v>
      </c>
      <c r="I303" t="n">
        <v>0</v>
      </c>
      <c r="J303" t="n">
        <v>0</v>
      </c>
      <c r="K303" t="n">
        <v>0</v>
      </c>
      <c r="L303" t="n">
        <v>0</v>
      </c>
      <c r="M303" t="n">
        <v>0</v>
      </c>
      <c r="N303" t="n">
        <v>0</v>
      </c>
      <c r="O303" t="n">
        <v>0</v>
      </c>
      <c r="P303" t="n">
        <v>0</v>
      </c>
      <c r="Q303" t="n">
        <v>0</v>
      </c>
      <c r="R303" s="2" t="inlineStr"/>
    </row>
    <row r="304" ht="15" customHeight="1">
      <c r="A304" t="inlineStr">
        <is>
          <t>A 16345-2021</t>
        </is>
      </c>
      <c r="B304" s="1" t="n">
        <v>44292</v>
      </c>
      <c r="C304" s="1" t="n">
        <v>45628</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16448-2021</t>
        </is>
      </c>
      <c r="B305" s="1" t="n">
        <v>44292</v>
      </c>
      <c r="C305" s="1" t="n">
        <v>45628</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16354-2021</t>
        </is>
      </c>
      <c r="B306" s="1" t="n">
        <v>44292</v>
      </c>
      <c r="C306" s="1" t="n">
        <v>45628</v>
      </c>
      <c r="D306" t="inlineStr">
        <is>
          <t>VÄSTERNORRLANDS LÄN</t>
        </is>
      </c>
      <c r="E306" t="inlineStr">
        <is>
          <t>KRAMFORS</t>
        </is>
      </c>
      <c r="F306" t="inlineStr">
        <is>
          <t>Kyrkan</t>
        </is>
      </c>
      <c r="G306" t="n">
        <v>2.7</v>
      </c>
      <c r="H306" t="n">
        <v>0</v>
      </c>
      <c r="I306" t="n">
        <v>0</v>
      </c>
      <c r="J306" t="n">
        <v>0</v>
      </c>
      <c r="K306" t="n">
        <v>0</v>
      </c>
      <c r="L306" t="n">
        <v>0</v>
      </c>
      <c r="M306" t="n">
        <v>0</v>
      </c>
      <c r="N306" t="n">
        <v>0</v>
      </c>
      <c r="O306" t="n">
        <v>0</v>
      </c>
      <c r="P306" t="n">
        <v>0</v>
      </c>
      <c r="Q306" t="n">
        <v>0</v>
      </c>
      <c r="R306" s="2" t="inlineStr"/>
    </row>
    <row r="307" ht="15" customHeight="1">
      <c r="A307" t="inlineStr">
        <is>
          <t>A 16338-2021</t>
        </is>
      </c>
      <c r="B307" s="1" t="n">
        <v>44293</v>
      </c>
      <c r="C307" s="1" t="n">
        <v>45628</v>
      </c>
      <c r="D307" t="inlineStr">
        <is>
          <t>VÄSTERNORRLANDS LÄN</t>
        </is>
      </c>
      <c r="E307" t="inlineStr">
        <is>
          <t>KRAMFORS</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16444-2021</t>
        </is>
      </c>
      <c r="B308" s="1" t="n">
        <v>44293</v>
      </c>
      <c r="C308" s="1" t="n">
        <v>45628</v>
      </c>
      <c r="D308" t="inlineStr">
        <is>
          <t>VÄSTERNORRLANDS LÄN</t>
        </is>
      </c>
      <c r="E308" t="inlineStr">
        <is>
          <t>KRAMFORS</t>
        </is>
      </c>
      <c r="G308" t="n">
        <v>14.1</v>
      </c>
      <c r="H308" t="n">
        <v>0</v>
      </c>
      <c r="I308" t="n">
        <v>0</v>
      </c>
      <c r="J308" t="n">
        <v>0</v>
      </c>
      <c r="K308" t="n">
        <v>0</v>
      </c>
      <c r="L308" t="n">
        <v>0</v>
      </c>
      <c r="M308" t="n">
        <v>0</v>
      </c>
      <c r="N308" t="n">
        <v>0</v>
      </c>
      <c r="O308" t="n">
        <v>0</v>
      </c>
      <c r="P308" t="n">
        <v>0</v>
      </c>
      <c r="Q308" t="n">
        <v>0</v>
      </c>
      <c r="R308" s="2" t="inlineStr"/>
    </row>
    <row r="309" ht="15" customHeight="1">
      <c r="A309" t="inlineStr">
        <is>
          <t>A 16636-2021</t>
        </is>
      </c>
      <c r="B309" s="1" t="n">
        <v>44294</v>
      </c>
      <c r="C309" s="1" t="n">
        <v>45628</v>
      </c>
      <c r="D309" t="inlineStr">
        <is>
          <t>VÄSTERNORRLANDS LÄN</t>
        </is>
      </c>
      <c r="E309" t="inlineStr">
        <is>
          <t>KRAMFORS</t>
        </is>
      </c>
      <c r="G309" t="n">
        <v>4.7</v>
      </c>
      <c r="H309" t="n">
        <v>0</v>
      </c>
      <c r="I309" t="n">
        <v>0</v>
      </c>
      <c r="J309" t="n">
        <v>0</v>
      </c>
      <c r="K309" t="n">
        <v>0</v>
      </c>
      <c r="L309" t="n">
        <v>0</v>
      </c>
      <c r="M309" t="n">
        <v>0</v>
      </c>
      <c r="N309" t="n">
        <v>0</v>
      </c>
      <c r="O309" t="n">
        <v>0</v>
      </c>
      <c r="P309" t="n">
        <v>0</v>
      </c>
      <c r="Q309" t="n">
        <v>0</v>
      </c>
      <c r="R309" s="2" t="inlineStr"/>
    </row>
    <row r="310" ht="15" customHeight="1">
      <c r="A310" t="inlineStr">
        <is>
          <t>A 16902-2021</t>
        </is>
      </c>
      <c r="B310" s="1" t="n">
        <v>44294</v>
      </c>
      <c r="C310" s="1" t="n">
        <v>45628</v>
      </c>
      <c r="D310" t="inlineStr">
        <is>
          <t>VÄSTERNORRLANDS LÄN</t>
        </is>
      </c>
      <c r="E310" t="inlineStr">
        <is>
          <t>KRAMFORS</t>
        </is>
      </c>
      <c r="G310" t="n">
        <v>3.7</v>
      </c>
      <c r="H310" t="n">
        <v>0</v>
      </c>
      <c r="I310" t="n">
        <v>0</v>
      </c>
      <c r="J310" t="n">
        <v>0</v>
      </c>
      <c r="K310" t="n">
        <v>0</v>
      </c>
      <c r="L310" t="n">
        <v>0</v>
      </c>
      <c r="M310" t="n">
        <v>0</v>
      </c>
      <c r="N310" t="n">
        <v>0</v>
      </c>
      <c r="O310" t="n">
        <v>0</v>
      </c>
      <c r="P310" t="n">
        <v>0</v>
      </c>
      <c r="Q310" t="n">
        <v>0</v>
      </c>
      <c r="R310" s="2" t="inlineStr"/>
    </row>
    <row r="311" ht="15" customHeight="1">
      <c r="A311" t="inlineStr">
        <is>
          <t>A 17129-2021</t>
        </is>
      </c>
      <c r="B311" s="1" t="n">
        <v>44298</v>
      </c>
      <c r="C311" s="1" t="n">
        <v>45628</v>
      </c>
      <c r="D311" t="inlineStr">
        <is>
          <t>VÄSTERNORRLANDS LÄN</t>
        </is>
      </c>
      <c r="E311" t="inlineStr">
        <is>
          <t>KRAMFORS</t>
        </is>
      </c>
      <c r="G311" t="n">
        <v>2</v>
      </c>
      <c r="H311" t="n">
        <v>0</v>
      </c>
      <c r="I311" t="n">
        <v>0</v>
      </c>
      <c r="J311" t="n">
        <v>0</v>
      </c>
      <c r="K311" t="n">
        <v>0</v>
      </c>
      <c r="L311" t="n">
        <v>0</v>
      </c>
      <c r="M311" t="n">
        <v>0</v>
      </c>
      <c r="N311" t="n">
        <v>0</v>
      </c>
      <c r="O311" t="n">
        <v>0</v>
      </c>
      <c r="P311" t="n">
        <v>0</v>
      </c>
      <c r="Q311" t="n">
        <v>0</v>
      </c>
      <c r="R311" s="2" t="inlineStr"/>
    </row>
    <row r="312" ht="15" customHeight="1">
      <c r="A312" t="inlineStr">
        <is>
          <t>A 18225-2021</t>
        </is>
      </c>
      <c r="B312" s="1" t="n">
        <v>44302</v>
      </c>
      <c r="C312" s="1" t="n">
        <v>45628</v>
      </c>
      <c r="D312" t="inlineStr">
        <is>
          <t>VÄSTERNORRLANDS LÄN</t>
        </is>
      </c>
      <c r="E312" t="inlineStr">
        <is>
          <t>KRAMFORS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18223-2021</t>
        </is>
      </c>
      <c r="B313" s="1" t="n">
        <v>44303</v>
      </c>
      <c r="C313" s="1" t="n">
        <v>45628</v>
      </c>
      <c r="D313" t="inlineStr">
        <is>
          <t>VÄSTERNORRLANDS LÄN</t>
        </is>
      </c>
      <c r="E313" t="inlineStr">
        <is>
          <t>KRAMFORS</t>
        </is>
      </c>
      <c r="G313" t="n">
        <v>0.6</v>
      </c>
      <c r="H313" t="n">
        <v>0</v>
      </c>
      <c r="I313" t="n">
        <v>0</v>
      </c>
      <c r="J313" t="n">
        <v>0</v>
      </c>
      <c r="K313" t="n">
        <v>0</v>
      </c>
      <c r="L313" t="n">
        <v>0</v>
      </c>
      <c r="M313" t="n">
        <v>0</v>
      </c>
      <c r="N313" t="n">
        <v>0</v>
      </c>
      <c r="O313" t="n">
        <v>0</v>
      </c>
      <c r="P313" t="n">
        <v>0</v>
      </c>
      <c r="Q313" t="n">
        <v>0</v>
      </c>
      <c r="R313" s="2" t="inlineStr"/>
    </row>
    <row r="314" ht="15" customHeight="1">
      <c r="A314" t="inlineStr">
        <is>
          <t>A 18224-2021</t>
        </is>
      </c>
      <c r="B314" s="1" t="n">
        <v>44303</v>
      </c>
      <c r="C314" s="1" t="n">
        <v>45628</v>
      </c>
      <c r="D314" t="inlineStr">
        <is>
          <t>VÄSTERNORRLANDS LÄN</t>
        </is>
      </c>
      <c r="E314" t="inlineStr">
        <is>
          <t>KRAMFORS</t>
        </is>
      </c>
      <c r="G314" t="n">
        <v>1.2</v>
      </c>
      <c r="H314" t="n">
        <v>0</v>
      </c>
      <c r="I314" t="n">
        <v>0</v>
      </c>
      <c r="J314" t="n">
        <v>0</v>
      </c>
      <c r="K314" t="n">
        <v>0</v>
      </c>
      <c r="L314" t="n">
        <v>0</v>
      </c>
      <c r="M314" t="n">
        <v>0</v>
      </c>
      <c r="N314" t="n">
        <v>0</v>
      </c>
      <c r="O314" t="n">
        <v>0</v>
      </c>
      <c r="P314" t="n">
        <v>0</v>
      </c>
      <c r="Q314" t="n">
        <v>0</v>
      </c>
      <c r="R314" s="2" t="inlineStr"/>
    </row>
    <row r="315" ht="15" customHeight="1">
      <c r="A315" t="inlineStr">
        <is>
          <t>A 18222-2021</t>
        </is>
      </c>
      <c r="B315" s="1" t="n">
        <v>44302</v>
      </c>
      <c r="C315" s="1" t="n">
        <v>45628</v>
      </c>
      <c r="D315" t="inlineStr">
        <is>
          <t>VÄSTERNORRLANDS LÄN</t>
        </is>
      </c>
      <c r="E315" t="inlineStr">
        <is>
          <t>KRAMFORS</t>
        </is>
      </c>
      <c r="G315" t="n">
        <v>0.7</v>
      </c>
      <c r="H315" t="n">
        <v>0</v>
      </c>
      <c r="I315" t="n">
        <v>0</v>
      </c>
      <c r="J315" t="n">
        <v>0</v>
      </c>
      <c r="K315" t="n">
        <v>0</v>
      </c>
      <c r="L315" t="n">
        <v>0</v>
      </c>
      <c r="M315" t="n">
        <v>0</v>
      </c>
      <c r="N315" t="n">
        <v>0</v>
      </c>
      <c r="O315" t="n">
        <v>0</v>
      </c>
      <c r="P315" t="n">
        <v>0</v>
      </c>
      <c r="Q315" t="n">
        <v>0</v>
      </c>
      <c r="R315" s="2" t="inlineStr"/>
    </row>
    <row r="316" ht="15" customHeight="1">
      <c r="A316" t="inlineStr">
        <is>
          <t>A 18226-2021</t>
        </is>
      </c>
      <c r="B316" s="1" t="n">
        <v>44302</v>
      </c>
      <c r="C316" s="1" t="n">
        <v>45628</v>
      </c>
      <c r="D316" t="inlineStr">
        <is>
          <t>VÄSTERNORRLANDS LÄN</t>
        </is>
      </c>
      <c r="E316" t="inlineStr">
        <is>
          <t>KRAMFORS</t>
        </is>
      </c>
      <c r="G316" t="n">
        <v>3.3</v>
      </c>
      <c r="H316" t="n">
        <v>0</v>
      </c>
      <c r="I316" t="n">
        <v>0</v>
      </c>
      <c r="J316" t="n">
        <v>0</v>
      </c>
      <c r="K316" t="n">
        <v>0</v>
      </c>
      <c r="L316" t="n">
        <v>0</v>
      </c>
      <c r="M316" t="n">
        <v>0</v>
      </c>
      <c r="N316" t="n">
        <v>0</v>
      </c>
      <c r="O316" t="n">
        <v>0</v>
      </c>
      <c r="P316" t="n">
        <v>0</v>
      </c>
      <c r="Q316" t="n">
        <v>0</v>
      </c>
      <c r="R316" s="2" t="inlineStr"/>
    </row>
    <row r="317" ht="15" customHeight="1">
      <c r="A317" t="inlineStr">
        <is>
          <t>A 18682-2021</t>
        </is>
      </c>
      <c r="B317" s="1" t="n">
        <v>44307</v>
      </c>
      <c r="C317" s="1" t="n">
        <v>45628</v>
      </c>
      <c r="D317" t="inlineStr">
        <is>
          <t>VÄSTERNORRLANDS LÄN</t>
        </is>
      </c>
      <c r="E317" t="inlineStr">
        <is>
          <t>KRAMFORS</t>
        </is>
      </c>
      <c r="G317" t="n">
        <v>4.8</v>
      </c>
      <c r="H317" t="n">
        <v>0</v>
      </c>
      <c r="I317" t="n">
        <v>0</v>
      </c>
      <c r="J317" t="n">
        <v>0</v>
      </c>
      <c r="K317" t="n">
        <v>0</v>
      </c>
      <c r="L317" t="n">
        <v>0</v>
      </c>
      <c r="M317" t="n">
        <v>0</v>
      </c>
      <c r="N317" t="n">
        <v>0</v>
      </c>
      <c r="O317" t="n">
        <v>0</v>
      </c>
      <c r="P317" t="n">
        <v>0</v>
      </c>
      <c r="Q317" t="n">
        <v>0</v>
      </c>
      <c r="R317" s="2" t="inlineStr"/>
    </row>
    <row r="318" ht="15" customHeight="1">
      <c r="A318" t="inlineStr">
        <is>
          <t>A 19131-2021</t>
        </is>
      </c>
      <c r="B318" s="1" t="n">
        <v>44308</v>
      </c>
      <c r="C318" s="1" t="n">
        <v>45628</v>
      </c>
      <c r="D318" t="inlineStr">
        <is>
          <t>VÄSTERNORRLANDS LÄN</t>
        </is>
      </c>
      <c r="E318" t="inlineStr">
        <is>
          <t>KRAMFORS</t>
        </is>
      </c>
      <c r="G318" t="n">
        <v>1.9</v>
      </c>
      <c r="H318" t="n">
        <v>0</v>
      </c>
      <c r="I318" t="n">
        <v>0</v>
      </c>
      <c r="J318" t="n">
        <v>0</v>
      </c>
      <c r="K318" t="n">
        <v>0</v>
      </c>
      <c r="L318" t="n">
        <v>0</v>
      </c>
      <c r="M318" t="n">
        <v>0</v>
      </c>
      <c r="N318" t="n">
        <v>0</v>
      </c>
      <c r="O318" t="n">
        <v>0</v>
      </c>
      <c r="P318" t="n">
        <v>0</v>
      </c>
      <c r="Q318" t="n">
        <v>0</v>
      </c>
      <c r="R318" s="2" t="inlineStr"/>
    </row>
    <row r="319" ht="15" customHeight="1">
      <c r="A319" t="inlineStr">
        <is>
          <t>A 19122-2021</t>
        </is>
      </c>
      <c r="B319" s="1" t="n">
        <v>44308</v>
      </c>
      <c r="C319" s="1" t="n">
        <v>45628</v>
      </c>
      <c r="D319" t="inlineStr">
        <is>
          <t>VÄSTERNORRLANDS LÄN</t>
        </is>
      </c>
      <c r="E319" t="inlineStr">
        <is>
          <t>KRAMFORS</t>
        </is>
      </c>
      <c r="G319" t="n">
        <v>2.7</v>
      </c>
      <c r="H319" t="n">
        <v>0</v>
      </c>
      <c r="I319" t="n">
        <v>0</v>
      </c>
      <c r="J319" t="n">
        <v>0</v>
      </c>
      <c r="K319" t="n">
        <v>0</v>
      </c>
      <c r="L319" t="n">
        <v>0</v>
      </c>
      <c r="M319" t="n">
        <v>0</v>
      </c>
      <c r="N319" t="n">
        <v>0</v>
      </c>
      <c r="O319" t="n">
        <v>0</v>
      </c>
      <c r="P319" t="n">
        <v>0</v>
      </c>
      <c r="Q319" t="n">
        <v>0</v>
      </c>
      <c r="R319" s="2" t="inlineStr"/>
    </row>
    <row r="320" ht="15" customHeight="1">
      <c r="A320" t="inlineStr">
        <is>
          <t>A 19128-2021</t>
        </is>
      </c>
      <c r="B320" s="1" t="n">
        <v>44308</v>
      </c>
      <c r="C320" s="1" t="n">
        <v>45628</v>
      </c>
      <c r="D320" t="inlineStr">
        <is>
          <t>VÄSTERNORRLANDS LÄN</t>
        </is>
      </c>
      <c r="E320" t="inlineStr">
        <is>
          <t>KRAMFORS</t>
        </is>
      </c>
      <c r="G320" t="n">
        <v>6.9</v>
      </c>
      <c r="H320" t="n">
        <v>0</v>
      </c>
      <c r="I320" t="n">
        <v>0</v>
      </c>
      <c r="J320" t="n">
        <v>0</v>
      </c>
      <c r="K320" t="n">
        <v>0</v>
      </c>
      <c r="L320" t="n">
        <v>0</v>
      </c>
      <c r="M320" t="n">
        <v>0</v>
      </c>
      <c r="N320" t="n">
        <v>0</v>
      </c>
      <c r="O320" t="n">
        <v>0</v>
      </c>
      <c r="P320" t="n">
        <v>0</v>
      </c>
      <c r="Q320" t="n">
        <v>0</v>
      </c>
      <c r="R320" s="2" t="inlineStr"/>
    </row>
    <row r="321" ht="15" customHeight="1">
      <c r="A321" t="inlineStr">
        <is>
          <t>A 19136-2021</t>
        </is>
      </c>
      <c r="B321" s="1" t="n">
        <v>44308</v>
      </c>
      <c r="C321" s="1" t="n">
        <v>45628</v>
      </c>
      <c r="D321" t="inlineStr">
        <is>
          <t>VÄSTERNORRLANDS LÄN</t>
        </is>
      </c>
      <c r="E321" t="inlineStr">
        <is>
          <t>KRAMFORS</t>
        </is>
      </c>
      <c r="G321" t="n">
        <v>4</v>
      </c>
      <c r="H321" t="n">
        <v>0</v>
      </c>
      <c r="I321" t="n">
        <v>0</v>
      </c>
      <c r="J321" t="n">
        <v>0</v>
      </c>
      <c r="K321" t="n">
        <v>0</v>
      </c>
      <c r="L321" t="n">
        <v>0</v>
      </c>
      <c r="M321" t="n">
        <v>0</v>
      </c>
      <c r="N321" t="n">
        <v>0</v>
      </c>
      <c r="O321" t="n">
        <v>0</v>
      </c>
      <c r="P321" t="n">
        <v>0</v>
      </c>
      <c r="Q321" t="n">
        <v>0</v>
      </c>
      <c r="R321" s="2" t="inlineStr"/>
    </row>
    <row r="322" ht="15" customHeight="1">
      <c r="A322" t="inlineStr">
        <is>
          <t>A 19418-2021</t>
        </is>
      </c>
      <c r="B322" s="1" t="n">
        <v>44309</v>
      </c>
      <c r="C322" s="1" t="n">
        <v>45628</v>
      </c>
      <c r="D322" t="inlineStr">
        <is>
          <t>VÄSTERNORRLANDS LÄN</t>
        </is>
      </c>
      <c r="E322" t="inlineStr">
        <is>
          <t>KRAMFORS</t>
        </is>
      </c>
      <c r="G322" t="n">
        <v>6.4</v>
      </c>
      <c r="H322" t="n">
        <v>0</v>
      </c>
      <c r="I322" t="n">
        <v>0</v>
      </c>
      <c r="J322" t="n">
        <v>0</v>
      </c>
      <c r="K322" t="n">
        <v>0</v>
      </c>
      <c r="L322" t="n">
        <v>0</v>
      </c>
      <c r="M322" t="n">
        <v>0</v>
      </c>
      <c r="N322" t="n">
        <v>0</v>
      </c>
      <c r="O322" t="n">
        <v>0</v>
      </c>
      <c r="P322" t="n">
        <v>0</v>
      </c>
      <c r="Q322" t="n">
        <v>0</v>
      </c>
      <c r="R322" s="2" t="inlineStr"/>
    </row>
    <row r="323" ht="15" customHeight="1">
      <c r="A323" t="inlineStr">
        <is>
          <t>A 19420-2021</t>
        </is>
      </c>
      <c r="B323" s="1" t="n">
        <v>44310</v>
      </c>
      <c r="C323" s="1" t="n">
        <v>45628</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19425-2021</t>
        </is>
      </c>
      <c r="B324" s="1" t="n">
        <v>44309</v>
      </c>
      <c r="C324" s="1" t="n">
        <v>45628</v>
      </c>
      <c r="D324" t="inlineStr">
        <is>
          <t>VÄSTERNORRLANDS LÄN</t>
        </is>
      </c>
      <c r="E324" t="inlineStr">
        <is>
          <t>KRAMFORS</t>
        </is>
      </c>
      <c r="G324" t="n">
        <v>2.3</v>
      </c>
      <c r="H324" t="n">
        <v>0</v>
      </c>
      <c r="I324" t="n">
        <v>0</v>
      </c>
      <c r="J324" t="n">
        <v>0</v>
      </c>
      <c r="K324" t="n">
        <v>0</v>
      </c>
      <c r="L324" t="n">
        <v>0</v>
      </c>
      <c r="M324" t="n">
        <v>0</v>
      </c>
      <c r="N324" t="n">
        <v>0</v>
      </c>
      <c r="O324" t="n">
        <v>0</v>
      </c>
      <c r="P324" t="n">
        <v>0</v>
      </c>
      <c r="Q324" t="n">
        <v>0</v>
      </c>
      <c r="R324" s="2" t="inlineStr"/>
    </row>
    <row r="325" ht="15" customHeight="1">
      <c r="A325" t="inlineStr">
        <is>
          <t>A 19438-2021</t>
        </is>
      </c>
      <c r="B325" s="1" t="n">
        <v>44310</v>
      </c>
      <c r="C325" s="1" t="n">
        <v>45628</v>
      </c>
      <c r="D325" t="inlineStr">
        <is>
          <t>VÄSTERNORRLANDS LÄN</t>
        </is>
      </c>
      <c r="E325" t="inlineStr">
        <is>
          <t>KRAMFORS</t>
        </is>
      </c>
      <c r="G325" t="n">
        <v>5</v>
      </c>
      <c r="H325" t="n">
        <v>0</v>
      </c>
      <c r="I325" t="n">
        <v>0</v>
      </c>
      <c r="J325" t="n">
        <v>0</v>
      </c>
      <c r="K325" t="n">
        <v>0</v>
      </c>
      <c r="L325" t="n">
        <v>0</v>
      </c>
      <c r="M325" t="n">
        <v>0</v>
      </c>
      <c r="N325" t="n">
        <v>0</v>
      </c>
      <c r="O325" t="n">
        <v>0</v>
      </c>
      <c r="P325" t="n">
        <v>0</v>
      </c>
      <c r="Q325" t="n">
        <v>0</v>
      </c>
      <c r="R325" s="2" t="inlineStr"/>
    </row>
    <row r="326" ht="15" customHeight="1">
      <c r="A326" t="inlineStr">
        <is>
          <t>A 19440-2021</t>
        </is>
      </c>
      <c r="B326" s="1" t="n">
        <v>44310</v>
      </c>
      <c r="C326" s="1" t="n">
        <v>45628</v>
      </c>
      <c r="D326" t="inlineStr">
        <is>
          <t>VÄSTERNORRLANDS LÄN</t>
        </is>
      </c>
      <c r="E326" t="inlineStr">
        <is>
          <t>KRAMFORS</t>
        </is>
      </c>
      <c r="G326" t="n">
        <v>10.3</v>
      </c>
      <c r="H326" t="n">
        <v>0</v>
      </c>
      <c r="I326" t="n">
        <v>0</v>
      </c>
      <c r="J326" t="n">
        <v>0</v>
      </c>
      <c r="K326" t="n">
        <v>0</v>
      </c>
      <c r="L326" t="n">
        <v>0</v>
      </c>
      <c r="M326" t="n">
        <v>0</v>
      </c>
      <c r="N326" t="n">
        <v>0</v>
      </c>
      <c r="O326" t="n">
        <v>0</v>
      </c>
      <c r="P326" t="n">
        <v>0</v>
      </c>
      <c r="Q326" t="n">
        <v>0</v>
      </c>
      <c r="R326" s="2" t="inlineStr"/>
    </row>
    <row r="327" ht="15" customHeight="1">
      <c r="A327" t="inlineStr">
        <is>
          <t>A 19437-2021</t>
        </is>
      </c>
      <c r="B327" s="1" t="n">
        <v>44310</v>
      </c>
      <c r="C327" s="1" t="n">
        <v>45628</v>
      </c>
      <c r="D327" t="inlineStr">
        <is>
          <t>VÄSTERNORRLANDS LÄN</t>
        </is>
      </c>
      <c r="E327" t="inlineStr">
        <is>
          <t>KRAMFORS</t>
        </is>
      </c>
      <c r="G327" t="n">
        <v>6.7</v>
      </c>
      <c r="H327" t="n">
        <v>0</v>
      </c>
      <c r="I327" t="n">
        <v>0</v>
      </c>
      <c r="J327" t="n">
        <v>0</v>
      </c>
      <c r="K327" t="n">
        <v>0</v>
      </c>
      <c r="L327" t="n">
        <v>0</v>
      </c>
      <c r="M327" t="n">
        <v>0</v>
      </c>
      <c r="N327" t="n">
        <v>0</v>
      </c>
      <c r="O327" t="n">
        <v>0</v>
      </c>
      <c r="P327" t="n">
        <v>0</v>
      </c>
      <c r="Q327" t="n">
        <v>0</v>
      </c>
      <c r="R327" s="2" t="inlineStr"/>
    </row>
    <row r="328" ht="15" customHeight="1">
      <c r="A328" t="inlineStr">
        <is>
          <t>A 20296-2021</t>
        </is>
      </c>
      <c r="B328" s="1" t="n">
        <v>44314</v>
      </c>
      <c r="C328" s="1" t="n">
        <v>45628</v>
      </c>
      <c r="D328" t="inlineStr">
        <is>
          <t>VÄSTERNORRLANDS LÄN</t>
        </is>
      </c>
      <c r="E328" t="inlineStr">
        <is>
          <t>KRAMFORS</t>
        </is>
      </c>
      <c r="F328" t="inlineStr">
        <is>
          <t>SCA</t>
        </is>
      </c>
      <c r="G328" t="n">
        <v>5.4</v>
      </c>
      <c r="H328" t="n">
        <v>0</v>
      </c>
      <c r="I328" t="n">
        <v>0</v>
      </c>
      <c r="J328" t="n">
        <v>0</v>
      </c>
      <c r="K328" t="n">
        <v>0</v>
      </c>
      <c r="L328" t="n">
        <v>0</v>
      </c>
      <c r="M328" t="n">
        <v>0</v>
      </c>
      <c r="N328" t="n">
        <v>0</v>
      </c>
      <c r="O328" t="n">
        <v>0</v>
      </c>
      <c r="P328" t="n">
        <v>0</v>
      </c>
      <c r="Q328" t="n">
        <v>0</v>
      </c>
      <c r="R328" s="2" t="inlineStr"/>
    </row>
    <row r="329" ht="15" customHeight="1">
      <c r="A329" t="inlineStr">
        <is>
          <t>A 20541-2021</t>
        </is>
      </c>
      <c r="B329" s="1" t="n">
        <v>44316</v>
      </c>
      <c r="C329" s="1" t="n">
        <v>45628</v>
      </c>
      <c r="D329" t="inlineStr">
        <is>
          <t>VÄSTERNORRLANDS LÄN</t>
        </is>
      </c>
      <c r="E329" t="inlineStr">
        <is>
          <t>KRAMFORS</t>
        </is>
      </c>
      <c r="F329" t="inlineStr">
        <is>
          <t>SCA</t>
        </is>
      </c>
      <c r="G329" t="n">
        <v>9.9</v>
      </c>
      <c r="H329" t="n">
        <v>0</v>
      </c>
      <c r="I329" t="n">
        <v>0</v>
      </c>
      <c r="J329" t="n">
        <v>0</v>
      </c>
      <c r="K329" t="n">
        <v>0</v>
      </c>
      <c r="L329" t="n">
        <v>0</v>
      </c>
      <c r="M329" t="n">
        <v>0</v>
      </c>
      <c r="N329" t="n">
        <v>0</v>
      </c>
      <c r="O329" t="n">
        <v>0</v>
      </c>
      <c r="P329" t="n">
        <v>0</v>
      </c>
      <c r="Q329" t="n">
        <v>0</v>
      </c>
      <c r="R329" s="2" t="inlineStr"/>
    </row>
    <row r="330" ht="15" customHeight="1">
      <c r="A330" t="inlineStr">
        <is>
          <t>A 20545-2021</t>
        </is>
      </c>
      <c r="B330" s="1" t="n">
        <v>44315</v>
      </c>
      <c r="C330" s="1" t="n">
        <v>45628</v>
      </c>
      <c r="D330" t="inlineStr">
        <is>
          <t>VÄSTERNORRLANDS LÄN</t>
        </is>
      </c>
      <c r="E330" t="inlineStr">
        <is>
          <t>KRAMFORS</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20546-2021</t>
        </is>
      </c>
      <c r="B331" s="1" t="n">
        <v>44316</v>
      </c>
      <c r="C331" s="1" t="n">
        <v>45628</v>
      </c>
      <c r="D331" t="inlineStr">
        <is>
          <t>VÄSTERNORRLANDS LÄN</t>
        </is>
      </c>
      <c r="E331" t="inlineStr">
        <is>
          <t>KRAMFORS</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20543-2021</t>
        </is>
      </c>
      <c r="B332" s="1" t="n">
        <v>44315</v>
      </c>
      <c r="C332" s="1" t="n">
        <v>45628</v>
      </c>
      <c r="D332" t="inlineStr">
        <is>
          <t>VÄSTERNORRLANDS LÄN</t>
        </is>
      </c>
      <c r="E332" t="inlineStr">
        <is>
          <t>KRAMFORS</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20542-2021</t>
        </is>
      </c>
      <c r="B333" s="1" t="n">
        <v>44316</v>
      </c>
      <c r="C333" s="1" t="n">
        <v>45628</v>
      </c>
      <c r="D333" t="inlineStr">
        <is>
          <t>VÄSTERNORRLANDS LÄN</t>
        </is>
      </c>
      <c r="E333" t="inlineStr">
        <is>
          <t>KRAMFORS</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20540-2021</t>
        </is>
      </c>
      <c r="B334" s="1" t="n">
        <v>44316</v>
      </c>
      <c r="C334" s="1" t="n">
        <v>45628</v>
      </c>
      <c r="D334" t="inlineStr">
        <is>
          <t>VÄSTERNORRLANDS LÄN</t>
        </is>
      </c>
      <c r="E334" t="inlineStr">
        <is>
          <t>KRAMFORS</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20544-2021</t>
        </is>
      </c>
      <c r="B335" s="1" t="n">
        <v>44316</v>
      </c>
      <c r="C335" s="1" t="n">
        <v>45628</v>
      </c>
      <c r="D335" t="inlineStr">
        <is>
          <t>VÄSTERNORRLANDS LÄN</t>
        </is>
      </c>
      <c r="E335" t="inlineStr">
        <is>
          <t>KRAMFORS</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20554-2021</t>
        </is>
      </c>
      <c r="B336" s="1" t="n">
        <v>44315</v>
      </c>
      <c r="C336" s="1" t="n">
        <v>45628</v>
      </c>
      <c r="D336" t="inlineStr">
        <is>
          <t>VÄSTERNORRLANDS LÄN</t>
        </is>
      </c>
      <c r="E336" t="inlineStr">
        <is>
          <t>KRAMFORS</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20741-2021</t>
        </is>
      </c>
      <c r="B337" s="1" t="n">
        <v>44316</v>
      </c>
      <c r="C337" s="1" t="n">
        <v>45628</v>
      </c>
      <c r="D337" t="inlineStr">
        <is>
          <t>VÄSTERNORRLANDS LÄN</t>
        </is>
      </c>
      <c r="E337" t="inlineStr">
        <is>
          <t>KRAMFORS</t>
        </is>
      </c>
      <c r="G337" t="n">
        <v>4.9</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45628</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45628</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45628</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45628</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45628</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45628</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45628</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45628</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45628</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45628</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45628</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45628</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45628</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45628</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45628</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45628</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45628</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45628</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45628</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45628</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45628</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45628</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45628</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45628</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45628</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45628</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45628</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45628</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45628</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45628</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45628</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45628</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45628</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45628</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45628</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45628</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45628</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45628</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45628</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45628</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45628</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45628</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45628</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45628</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45628</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45628</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45628</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45628</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45628</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45628</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45628</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45628</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45628</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45628</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45628</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45628</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45628</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45628</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45628</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45628</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45628</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45628</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45628</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45628</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45628</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45628</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45628</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45628</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45628</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45628</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45628</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45628</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45628</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45628</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45628</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45628</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45628</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45628</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45628</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45628</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45628</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45628</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45628</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45628</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45628</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45628</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45628</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45628</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45628</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45628</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45628</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45628</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45628</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45628</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45628</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45628</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45628</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45628</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45628</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45628</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45628</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45628</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45628</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45628</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45628</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45628</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45628</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45628</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45628</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45628</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45628</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45628</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45628</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45628</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45628</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45628</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45628</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45628</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45628</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45628</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45628</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45628</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45628</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45628</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45628</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45628</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45628</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45628</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45628</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45628</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45628</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45628</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45628</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45628</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45628</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45628</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45628</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45628</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45628</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45628</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45628</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45628</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45628</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45628</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45628</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45628</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45628</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45628</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45628</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45628</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45628</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45628</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45628</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45628</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45628</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45628</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45628</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45628</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45628</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45628</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45628</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45628</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45628</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45628</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45628</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45628</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45628</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45628</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45628</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45628</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45628</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45628</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45628</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45628</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45628</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45628</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45628</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45628</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45628</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45628</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45628</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45628</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45628</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45628</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45628</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45628</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45628</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45628</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45628</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45628</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45628</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45628</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45628</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45628</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45628</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45628</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45628</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45628</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45628</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45628</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45628</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45628</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45628</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45628</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45628</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45628</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45628</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45628</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45628</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45628</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45628</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45628</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45628</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45628</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45628</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45628</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45628</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45628</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45628</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45628</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45628</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45628</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45628</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45628</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45628</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45628</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45628</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45628</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45628</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45628</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45628</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45628</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45628</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45628</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45628</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45628</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45628</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45628</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45628</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45628</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45628</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45628</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45628</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45628</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45628</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45628</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45628</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45628</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45628</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45628</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45628</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45628</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45628</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45628</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45628</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45628</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45628</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45628</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45628</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45628</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45628</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45628</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45628</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45628</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45628</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45628</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45628</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45628</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45628</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45628</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45628</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45628</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45628</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45628</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45628</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45628</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45628</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45628</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45628</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45628</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45628</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45628</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45628</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45628</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45628</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45628</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45628</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45628</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45628</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45628</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45628</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45628</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45628</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45628</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45628</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45628</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45628</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45628</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45628</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45628</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45628</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45628</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45628</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45628</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45628</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45628</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45628</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45628</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45628</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45628</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45628</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45628</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45628</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45628</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45628</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45628</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45628</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45628</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45628</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45628</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45628</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45628</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45628</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45628</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45628</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45628</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45628</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45628</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45628</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45628</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45628</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45628</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45628</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45628</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45628</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45628</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45628</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45628</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45628</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45628</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45628</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45628</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45628</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45628</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45628</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45628</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45628</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45628</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45628</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45628</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45628</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45628</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45628</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45628</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45628</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45628</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45628</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45628</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45628</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45628</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45628</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45628</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45628</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45628</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45628</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45628</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45628</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45628</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45628</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45628</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45628</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45628</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45628</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45628</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45628</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45628</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45628</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45628</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45628</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45628</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45628</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45628</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45628</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45628</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45628</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45628</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45628</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45628</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45628</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45628</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45628</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45628</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45628</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45628</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45628</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45628</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45628</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45628</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45628</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45628</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45628</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45628</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45628</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45628</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45628</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45628</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45628</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45628</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45628</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45628</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45628</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45628</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45628</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45628</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45628</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45628</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45628</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45628</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45628</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45628</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45628</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45628</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45628</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45628</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45628</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45628</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45628</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45628</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45628</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45628</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45628</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45628</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45628</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45628</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45628</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45628</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45628</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45628</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45628</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45628</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45628</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45628</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45628</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45628</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45628</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45628</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45628</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45628</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45628</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45628</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45628</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45628</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45628</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45628</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45628</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45628</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45628</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45628</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45628</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45628</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45628</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45628</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45628</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45628</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45628</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45628</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45628</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45628</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45628</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45628</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45628</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45628</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45628</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45628</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45628</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45628</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45628</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45628</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45628</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45628</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45628</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45628</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45628</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45628</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45628</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45628</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45628</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45628</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45628</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45628</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45628</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45628</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45628</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45628</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45628</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45628</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45628</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45628</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45628</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45628</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45628</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45628</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45628</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45628</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45628</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45628</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45628</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45628</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45628</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45628</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45628</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45628</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45628</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45628</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45628</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45628</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45628</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45628</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45628</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45628</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45628</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45628</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45628</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45628</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45628</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45628</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45628</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45628</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45628</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45628</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45628</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45628</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45628</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45628</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45628</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45628</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45628</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45628</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45628</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45628</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45628</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45628</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45628</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45628</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45628</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45628</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45628</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45628</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45628</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45628</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45628</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45628</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45628</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45628</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45628</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45628</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45628</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45628</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45628</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50496-2023</t>
        </is>
      </c>
      <c r="B897" s="1" t="n">
        <v>45216</v>
      </c>
      <c r="C897" s="1" t="n">
        <v>45628</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45628</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45628</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45628</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45628</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45628</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45628</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45628</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45628</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45628</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45628</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45628</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45628</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45628</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45628</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45628</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45628</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45628</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45628</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45628</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45628</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45628</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45628</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45628</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45628</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45628</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45628</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45628</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45628</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45628</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45628</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45628</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45628</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45628</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45628</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45628</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45628</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45628</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45628</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45628</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45628</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45628</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45628</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45628</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45628</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45628</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45628</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45628</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45628</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45628</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45628</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45628</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45628</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45628</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45628</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45628</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45628</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45628</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45628</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45628</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45628</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45628</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45628</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45628</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45628</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45628</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45628</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45628</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45628</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45628</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45628</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45628</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45628</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45628</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45628</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45628</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45628</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45628</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45628</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45628</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45628</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45628</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45628</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45628</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45628</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45628</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45628</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45628</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45628</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45628</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45628</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45628</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45628</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45628</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45628</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45628</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45628</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45628</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45628</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45628</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45628</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45628</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45628</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45628</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45628</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45628</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45628</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45628</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45628</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45628</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45628</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45628</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45628</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45628</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45628</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45628</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45628</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45628</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45628</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45628</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45628</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45628</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45628</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45628</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45628</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45628</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45628</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45628</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45628</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45628</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45628</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45628</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45628</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45628</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45628</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45628</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45628</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45628</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45628</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45628</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45628</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45628</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45628</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45628</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45628</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45628</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45628</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45628</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45628</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45628</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45628</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45628</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45628</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45628</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45628</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45628</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45628</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45628</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45628</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45628</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45628</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45628</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45628</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45628</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45628</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45628</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45628</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45628</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45628</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45628</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45628</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45628</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45628</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45628</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45628</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45628</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45628</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45628</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45628</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45628</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45628</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45628</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45628</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45628</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45628</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45628</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45628</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45628</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45628</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45628</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45628</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45628</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45628</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45628</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13332-2024</t>
        </is>
      </c>
      <c r="B1091" s="1" t="n">
        <v>45387</v>
      </c>
      <c r="C1091" s="1" t="n">
        <v>45628</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13844-2024</t>
        </is>
      </c>
      <c r="B1092" s="1" t="n">
        <v>45390</v>
      </c>
      <c r="C1092" s="1" t="n">
        <v>45628</v>
      </c>
      <c r="D1092" t="inlineStr">
        <is>
          <t>VÄSTERNORRLANDS LÄN</t>
        </is>
      </c>
      <c r="E1092" t="inlineStr">
        <is>
          <t>KRAMFORS</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14150-2024</t>
        </is>
      </c>
      <c r="B1093" s="1" t="n">
        <v>45392</v>
      </c>
      <c r="C1093" s="1" t="n">
        <v>45628</v>
      </c>
      <c r="D1093" t="inlineStr">
        <is>
          <t>VÄSTERNORRLANDS LÄN</t>
        </is>
      </c>
      <c r="E1093" t="inlineStr">
        <is>
          <t>KRAMFORS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14149-2024</t>
        </is>
      </c>
      <c r="B1094" s="1" t="n">
        <v>45393</v>
      </c>
      <c r="C1094" s="1" t="n">
        <v>45628</v>
      </c>
      <c r="D1094" t="inlineStr">
        <is>
          <t>VÄSTERNORRLANDS LÄN</t>
        </is>
      </c>
      <c r="E1094" t="inlineStr">
        <is>
          <t>KRAMFORS</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14551-2024</t>
        </is>
      </c>
      <c r="B1095" s="1" t="n">
        <v>45394</v>
      </c>
      <c r="C1095" s="1" t="n">
        <v>45628</v>
      </c>
      <c r="D1095" t="inlineStr">
        <is>
          <t>VÄSTERNORRLANDS LÄN</t>
        </is>
      </c>
      <c r="E1095" t="inlineStr">
        <is>
          <t>KRAMFORS</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15140-2024</t>
        </is>
      </c>
      <c r="B1096" s="1" t="n">
        <v>45399</v>
      </c>
      <c r="C1096" s="1" t="n">
        <v>45628</v>
      </c>
      <c r="D1096" t="inlineStr">
        <is>
          <t>VÄSTERNORRLANDS LÄN</t>
        </is>
      </c>
      <c r="E1096" t="inlineStr">
        <is>
          <t>KRAMFORS</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15314-2024</t>
        </is>
      </c>
      <c r="B1097" s="1" t="n">
        <v>45400</v>
      </c>
      <c r="C1097" s="1" t="n">
        <v>45628</v>
      </c>
      <c r="D1097" t="inlineStr">
        <is>
          <t>VÄSTERNORRLANDS LÄN</t>
        </is>
      </c>
      <c r="E1097" t="inlineStr">
        <is>
          <t>KRAMFORS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15311-2024</t>
        </is>
      </c>
      <c r="B1098" s="1" t="n">
        <v>45400</v>
      </c>
      <c r="C1098" s="1" t="n">
        <v>45628</v>
      </c>
      <c r="D1098" t="inlineStr">
        <is>
          <t>VÄSTERNORRLANDS LÄN</t>
        </is>
      </c>
      <c r="E1098" t="inlineStr">
        <is>
          <t>KRAMFORS</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15312-2024</t>
        </is>
      </c>
      <c r="B1099" s="1" t="n">
        <v>45400</v>
      </c>
      <c r="C1099" s="1" t="n">
        <v>45628</v>
      </c>
      <c r="D1099" t="inlineStr">
        <is>
          <t>VÄSTERNORRLANDS LÄN</t>
        </is>
      </c>
      <c r="E1099" t="inlineStr">
        <is>
          <t>KRAMFORS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15374-2024</t>
        </is>
      </c>
      <c r="B1100" s="1" t="n">
        <v>45400</v>
      </c>
      <c r="C1100" s="1" t="n">
        <v>45628</v>
      </c>
      <c r="D1100" t="inlineStr">
        <is>
          <t>VÄSTERNORRLANDS LÄN</t>
        </is>
      </c>
      <c r="E1100" t="inlineStr">
        <is>
          <t>KRAMFORS</t>
        </is>
      </c>
      <c r="G1100" t="n">
        <v>29.6</v>
      </c>
      <c r="H1100" t="n">
        <v>0</v>
      </c>
      <c r="I1100" t="n">
        <v>0</v>
      </c>
      <c r="J1100" t="n">
        <v>0</v>
      </c>
      <c r="K1100" t="n">
        <v>0</v>
      </c>
      <c r="L1100" t="n">
        <v>0</v>
      </c>
      <c r="M1100" t="n">
        <v>0</v>
      </c>
      <c r="N1100" t="n">
        <v>0</v>
      </c>
      <c r="O1100" t="n">
        <v>0</v>
      </c>
      <c r="P1100" t="n">
        <v>0</v>
      </c>
      <c r="Q1100" t="n">
        <v>0</v>
      </c>
      <c r="R1100" s="2" t="inlineStr"/>
    </row>
    <row r="1101" ht="15" customHeight="1">
      <c r="A1101" t="inlineStr">
        <is>
          <t>A 15378-2024</t>
        </is>
      </c>
      <c r="B1101" s="1" t="n">
        <v>45401</v>
      </c>
      <c r="C1101" s="1" t="n">
        <v>45628</v>
      </c>
      <c r="D1101" t="inlineStr">
        <is>
          <t>VÄSTERNORRLANDS LÄN</t>
        </is>
      </c>
      <c r="E1101" t="inlineStr">
        <is>
          <t>KRAMFORS</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15522-2024</t>
        </is>
      </c>
      <c r="B1102" s="1" t="n">
        <v>45401</v>
      </c>
      <c r="C1102" s="1" t="n">
        <v>45628</v>
      </c>
      <c r="D1102" t="inlineStr">
        <is>
          <t>VÄSTERNORRLANDS LÄN</t>
        </is>
      </c>
      <c r="E1102" t="inlineStr">
        <is>
          <t>KRAMFORS</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15612-2024</t>
        </is>
      </c>
      <c r="B1103" s="1" t="n">
        <v>45401</v>
      </c>
      <c r="C1103" s="1" t="n">
        <v>45628</v>
      </c>
      <c r="D1103" t="inlineStr">
        <is>
          <t>VÄSTERNORRLANDS LÄN</t>
        </is>
      </c>
      <c r="E1103" t="inlineStr">
        <is>
          <t>KRAMFORS</t>
        </is>
      </c>
      <c r="F1103" t="inlineStr">
        <is>
          <t>SCA</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16218-2024</t>
        </is>
      </c>
      <c r="B1104" s="1" t="n">
        <v>45407</v>
      </c>
      <c r="C1104" s="1" t="n">
        <v>45628</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16066-2024</t>
        </is>
      </c>
      <c r="B1105" s="1" t="n">
        <v>45406</v>
      </c>
      <c r="C1105" s="1" t="n">
        <v>45628</v>
      </c>
      <c r="D1105" t="inlineStr">
        <is>
          <t>VÄSTERNORRLANDS LÄN</t>
        </is>
      </c>
      <c r="E1105" t="inlineStr">
        <is>
          <t>KRAMFORS</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16504-2024</t>
        </is>
      </c>
      <c r="B1106" s="1" t="n">
        <v>45408</v>
      </c>
      <c r="C1106" s="1" t="n">
        <v>45628</v>
      </c>
      <c r="D1106" t="inlineStr">
        <is>
          <t>VÄSTERNORRLANDS LÄN</t>
        </is>
      </c>
      <c r="E1106" t="inlineStr">
        <is>
          <t>KRAMFORS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16957-2024</t>
        </is>
      </c>
      <c r="B1107" s="1" t="n">
        <v>45411</v>
      </c>
      <c r="C1107" s="1" t="n">
        <v>45628</v>
      </c>
      <c r="D1107" t="inlineStr">
        <is>
          <t>VÄSTERNORRLANDS LÄN</t>
        </is>
      </c>
      <c r="E1107" t="inlineStr">
        <is>
          <t>KRAMFORS</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16956-2024</t>
        </is>
      </c>
      <c r="B1108" s="1" t="n">
        <v>45411</v>
      </c>
      <c r="C1108" s="1" t="n">
        <v>45628</v>
      </c>
      <c r="D1108" t="inlineStr">
        <is>
          <t>VÄSTERNORRLANDS LÄN</t>
        </is>
      </c>
      <c r="E1108" t="inlineStr">
        <is>
          <t>KRAMFORS</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17574-2024</t>
        </is>
      </c>
      <c r="B1109" s="1" t="n">
        <v>45415</v>
      </c>
      <c r="C1109" s="1" t="n">
        <v>45628</v>
      </c>
      <c r="D1109" t="inlineStr">
        <is>
          <t>VÄSTERNORRLANDS LÄN</t>
        </is>
      </c>
      <c r="E1109" t="inlineStr">
        <is>
          <t>KRAMFORS</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17725-2024</t>
        </is>
      </c>
      <c r="B1110" s="1" t="n">
        <v>45418</v>
      </c>
      <c r="C1110" s="1" t="n">
        <v>45628</v>
      </c>
      <c r="D1110" t="inlineStr">
        <is>
          <t>VÄSTERNORRLANDS LÄN</t>
        </is>
      </c>
      <c r="E1110" t="inlineStr">
        <is>
          <t>KRAMFORS</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17729-2024</t>
        </is>
      </c>
      <c r="B1111" s="1" t="n">
        <v>45418</v>
      </c>
      <c r="C1111" s="1" t="n">
        <v>45628</v>
      </c>
      <c r="D1111" t="inlineStr">
        <is>
          <t>VÄSTERNORRLANDS LÄN</t>
        </is>
      </c>
      <c r="E1111" t="inlineStr">
        <is>
          <t>KRAMFORS</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17736-2024</t>
        </is>
      </c>
      <c r="B1112" s="1" t="n">
        <v>45418</v>
      </c>
      <c r="C1112" s="1" t="n">
        <v>45628</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17733-2024</t>
        </is>
      </c>
      <c r="B1113" s="1" t="n">
        <v>45418</v>
      </c>
      <c r="C1113" s="1" t="n">
        <v>45628</v>
      </c>
      <c r="D1113" t="inlineStr">
        <is>
          <t>VÄSTERNORRLANDS LÄN</t>
        </is>
      </c>
      <c r="E1113" t="inlineStr">
        <is>
          <t>KRAMFORS</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17789-2024</t>
        </is>
      </c>
      <c r="B1114" s="1" t="n">
        <v>45418</v>
      </c>
      <c r="C1114" s="1" t="n">
        <v>45628</v>
      </c>
      <c r="D1114" t="inlineStr">
        <is>
          <t>VÄSTERNORRLANDS LÄN</t>
        </is>
      </c>
      <c r="E1114" t="inlineStr">
        <is>
          <t>KRAMFORS</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17873-2024</t>
        </is>
      </c>
      <c r="B1115" s="1" t="n">
        <v>45419</v>
      </c>
      <c r="C1115" s="1" t="n">
        <v>45628</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17876-2024</t>
        </is>
      </c>
      <c r="B1116" s="1" t="n">
        <v>45419</v>
      </c>
      <c r="C1116" s="1" t="n">
        <v>45628</v>
      </c>
      <c r="D1116" t="inlineStr">
        <is>
          <t>VÄSTERNORRLANDS LÄN</t>
        </is>
      </c>
      <c r="E1116" t="inlineStr">
        <is>
          <t>KRAMFORS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18185-2024</t>
        </is>
      </c>
      <c r="B1117" s="1" t="n">
        <v>45420</v>
      </c>
      <c r="C1117" s="1" t="n">
        <v>45628</v>
      </c>
      <c r="D1117" t="inlineStr">
        <is>
          <t>VÄSTERNORRLANDS LÄN</t>
        </is>
      </c>
      <c r="E1117" t="inlineStr">
        <is>
          <t>KRAMFORS</t>
        </is>
      </c>
      <c r="G1117" t="n">
        <v>23.2</v>
      </c>
      <c r="H1117" t="n">
        <v>0</v>
      </c>
      <c r="I1117" t="n">
        <v>0</v>
      </c>
      <c r="J1117" t="n">
        <v>0</v>
      </c>
      <c r="K1117" t="n">
        <v>0</v>
      </c>
      <c r="L1117" t="n">
        <v>0</v>
      </c>
      <c r="M1117" t="n">
        <v>0</v>
      </c>
      <c r="N1117" t="n">
        <v>0</v>
      </c>
      <c r="O1117" t="n">
        <v>0</v>
      </c>
      <c r="P1117" t="n">
        <v>0</v>
      </c>
      <c r="Q1117" t="n">
        <v>0</v>
      </c>
      <c r="R1117" s="2" t="inlineStr"/>
    </row>
    <row r="1118" ht="15" customHeight="1">
      <c r="A1118" t="inlineStr">
        <is>
          <t>A 18187-2024</t>
        </is>
      </c>
      <c r="B1118" s="1" t="n">
        <v>45420</v>
      </c>
      <c r="C1118" s="1" t="n">
        <v>45628</v>
      </c>
      <c r="D1118" t="inlineStr">
        <is>
          <t>VÄSTERNORRLANDS LÄN</t>
        </is>
      </c>
      <c r="E1118" t="inlineStr">
        <is>
          <t>KRAMFORS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18603-2024</t>
        </is>
      </c>
      <c r="B1119" s="1" t="n">
        <v>45425</v>
      </c>
      <c r="C1119" s="1" t="n">
        <v>45628</v>
      </c>
      <c r="D1119" t="inlineStr">
        <is>
          <t>VÄSTERNORRLANDS LÄN</t>
        </is>
      </c>
      <c r="E1119" t="inlineStr">
        <is>
          <t>KRAMFORS</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18420-2024</t>
        </is>
      </c>
      <c r="B1120" s="1" t="n">
        <v>45425</v>
      </c>
      <c r="C1120" s="1" t="n">
        <v>45628</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18604-2024</t>
        </is>
      </c>
      <c r="B1121" s="1" t="n">
        <v>45425</v>
      </c>
      <c r="C1121" s="1" t="n">
        <v>45628</v>
      </c>
      <c r="D1121" t="inlineStr">
        <is>
          <t>VÄSTERNORRLANDS LÄN</t>
        </is>
      </c>
      <c r="E1121" t="inlineStr">
        <is>
          <t>KRAMFORS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18633-2024</t>
        </is>
      </c>
      <c r="B1122" s="1" t="n">
        <v>45426</v>
      </c>
      <c r="C1122" s="1" t="n">
        <v>45628</v>
      </c>
      <c r="D1122" t="inlineStr">
        <is>
          <t>VÄSTERNORRLANDS LÄN</t>
        </is>
      </c>
      <c r="E1122" t="inlineStr">
        <is>
          <t>KRAMFORS</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18638-2024</t>
        </is>
      </c>
      <c r="B1123" s="1" t="n">
        <v>45425</v>
      </c>
      <c r="C1123" s="1" t="n">
        <v>45628</v>
      </c>
      <c r="D1123" t="inlineStr">
        <is>
          <t>VÄSTERNORRLANDS LÄN</t>
        </is>
      </c>
      <c r="E1123" t="inlineStr">
        <is>
          <t>KRAMFORS</t>
        </is>
      </c>
      <c r="F1123" t="inlineStr">
        <is>
          <t>SCA</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18803-2024</t>
        </is>
      </c>
      <c r="B1124" s="1" t="n">
        <v>45426</v>
      </c>
      <c r="C1124" s="1" t="n">
        <v>45628</v>
      </c>
      <c r="D1124" t="inlineStr">
        <is>
          <t>VÄSTERNORRLANDS LÄN</t>
        </is>
      </c>
      <c r="E1124" t="inlineStr">
        <is>
          <t>KRAMFORS</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19779-2024</t>
        </is>
      </c>
      <c r="B1125" s="1" t="n">
        <v>45432</v>
      </c>
      <c r="C1125" s="1" t="n">
        <v>45628</v>
      </c>
      <c r="D1125" t="inlineStr">
        <is>
          <t>VÄSTERNORRLANDS LÄN</t>
        </is>
      </c>
      <c r="E1125" t="inlineStr">
        <is>
          <t>KRAMFORS</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19778-2024</t>
        </is>
      </c>
      <c r="B1126" s="1" t="n">
        <v>45432</v>
      </c>
      <c r="C1126" s="1" t="n">
        <v>45628</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19655-2024</t>
        </is>
      </c>
      <c r="B1127" s="1" t="n">
        <v>45432</v>
      </c>
      <c r="C1127" s="1" t="n">
        <v>45628</v>
      </c>
      <c r="D1127" t="inlineStr">
        <is>
          <t>VÄSTERNORRLANDS LÄN</t>
        </is>
      </c>
      <c r="E1127" t="inlineStr">
        <is>
          <t>KRAMFORS</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19835-2024</t>
        </is>
      </c>
      <c r="B1128" s="1" t="n">
        <v>45433</v>
      </c>
      <c r="C1128" s="1" t="n">
        <v>45628</v>
      </c>
      <c r="D1128" t="inlineStr">
        <is>
          <t>VÄSTERNORRLANDS LÄN</t>
        </is>
      </c>
      <c r="E1128" t="inlineStr">
        <is>
          <t>KRAMFORS</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19855-2024</t>
        </is>
      </c>
      <c r="B1129" s="1" t="n">
        <v>45433</v>
      </c>
      <c r="C1129" s="1" t="n">
        <v>45628</v>
      </c>
      <c r="D1129" t="inlineStr">
        <is>
          <t>VÄSTERNORRLANDS LÄN</t>
        </is>
      </c>
      <c r="E1129" t="inlineStr">
        <is>
          <t>KRAMFORS</t>
        </is>
      </c>
      <c r="G1129" t="n">
        <v>18.9</v>
      </c>
      <c r="H1129" t="n">
        <v>0</v>
      </c>
      <c r="I1129" t="n">
        <v>0</v>
      </c>
      <c r="J1129" t="n">
        <v>0</v>
      </c>
      <c r="K1129" t="n">
        <v>0</v>
      </c>
      <c r="L1129" t="n">
        <v>0</v>
      </c>
      <c r="M1129" t="n">
        <v>0</v>
      </c>
      <c r="N1129" t="n">
        <v>0</v>
      </c>
      <c r="O1129" t="n">
        <v>0</v>
      </c>
      <c r="P1129" t="n">
        <v>0</v>
      </c>
      <c r="Q1129" t="n">
        <v>0</v>
      </c>
      <c r="R1129" s="2" t="inlineStr"/>
    </row>
    <row r="1130" ht="15" customHeight="1">
      <c r="A1130" t="inlineStr">
        <is>
          <t>A 20519-2024</t>
        </is>
      </c>
      <c r="B1130" s="1" t="n">
        <v>45435</v>
      </c>
      <c r="C1130" s="1" t="n">
        <v>45628</v>
      </c>
      <c r="D1130" t="inlineStr">
        <is>
          <t>VÄSTERNORRLANDS LÄN</t>
        </is>
      </c>
      <c r="E1130" t="inlineStr">
        <is>
          <t>KRAMFORS</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20528-2024</t>
        </is>
      </c>
      <c r="B1131" s="1" t="n">
        <v>45436</v>
      </c>
      <c r="C1131" s="1" t="n">
        <v>45628</v>
      </c>
      <c r="D1131" t="inlineStr">
        <is>
          <t>VÄSTERNORRLANDS LÄN</t>
        </is>
      </c>
      <c r="E1131" t="inlineStr">
        <is>
          <t>KRAMFORS</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20697-2024</t>
        </is>
      </c>
      <c r="B1132" s="1" t="n">
        <v>45436</v>
      </c>
      <c r="C1132" s="1" t="n">
        <v>45628</v>
      </c>
      <c r="D1132" t="inlineStr">
        <is>
          <t>VÄSTERNORRLANDS LÄN</t>
        </is>
      </c>
      <c r="E1132" t="inlineStr">
        <is>
          <t>KRAMFORS</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20694-2024</t>
        </is>
      </c>
      <c r="B1133" s="1" t="n">
        <v>45436</v>
      </c>
      <c r="C1133" s="1" t="n">
        <v>45628</v>
      </c>
      <c r="D1133" t="inlineStr">
        <is>
          <t>VÄSTERNORRLANDS LÄN</t>
        </is>
      </c>
      <c r="E1133" t="inlineStr">
        <is>
          <t>KRAMFORS</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20759-2024</t>
        </is>
      </c>
      <c r="B1134" s="1" t="n">
        <v>45436</v>
      </c>
      <c r="C1134" s="1" t="n">
        <v>45628</v>
      </c>
      <c r="D1134" t="inlineStr">
        <is>
          <t>VÄSTERNORRLANDS LÄN</t>
        </is>
      </c>
      <c r="E1134" t="inlineStr">
        <is>
          <t>KRAMFORS</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20783-2024</t>
        </is>
      </c>
      <c r="B1135" s="1" t="n">
        <v>45437</v>
      </c>
      <c r="C1135" s="1" t="n">
        <v>45628</v>
      </c>
      <c r="D1135" t="inlineStr">
        <is>
          <t>VÄSTERNORRLANDS LÄN</t>
        </is>
      </c>
      <c r="E1135" t="inlineStr">
        <is>
          <t>KRAMFORS</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20820-2024</t>
        </is>
      </c>
      <c r="B1136" s="1" t="n">
        <v>45439</v>
      </c>
      <c r="C1136" s="1" t="n">
        <v>45628</v>
      </c>
      <c r="D1136" t="inlineStr">
        <is>
          <t>VÄSTERNORRLANDS LÄN</t>
        </is>
      </c>
      <c r="E1136" t="inlineStr">
        <is>
          <t>KRAMFORS</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21157-2024</t>
        </is>
      </c>
      <c r="B1137" s="1" t="n">
        <v>45440</v>
      </c>
      <c r="C1137" s="1" t="n">
        <v>45628</v>
      </c>
      <c r="D1137" t="inlineStr">
        <is>
          <t>VÄSTERNORRLANDS LÄN</t>
        </is>
      </c>
      <c r="E1137" t="inlineStr">
        <is>
          <t>KRAMFORS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21342-2024</t>
        </is>
      </c>
      <c r="B1138" s="1" t="n">
        <v>45441</v>
      </c>
      <c r="C1138" s="1" t="n">
        <v>45628</v>
      </c>
      <c r="D1138" t="inlineStr">
        <is>
          <t>VÄSTERNORRLANDS LÄN</t>
        </is>
      </c>
      <c r="E1138" t="inlineStr">
        <is>
          <t>KRAMFORS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22218-2024</t>
        </is>
      </c>
      <c r="B1139" s="1" t="n">
        <v>45446</v>
      </c>
      <c r="C1139" s="1" t="n">
        <v>45628</v>
      </c>
      <c r="D1139" t="inlineStr">
        <is>
          <t>VÄSTERNORRLANDS LÄN</t>
        </is>
      </c>
      <c r="E1139" t="inlineStr">
        <is>
          <t>KRAMFORS</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22496-2024</t>
        </is>
      </c>
      <c r="B1140" s="1" t="n">
        <v>45447</v>
      </c>
      <c r="C1140" s="1" t="n">
        <v>45628</v>
      </c>
      <c r="D1140" t="inlineStr">
        <is>
          <t>VÄSTERNORRLANDS LÄN</t>
        </is>
      </c>
      <c r="E1140" t="inlineStr">
        <is>
          <t>KRAMFORS</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23129-2024</t>
        </is>
      </c>
      <c r="B1141" s="1" t="n">
        <v>45450</v>
      </c>
      <c r="C1141" s="1" t="n">
        <v>45628</v>
      </c>
      <c r="D1141" t="inlineStr">
        <is>
          <t>VÄSTERNORRLANDS LÄN</t>
        </is>
      </c>
      <c r="E1141" t="inlineStr">
        <is>
          <t>KRAMFORS</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23127-2024</t>
        </is>
      </c>
      <c r="B1142" s="1" t="n">
        <v>45450</v>
      </c>
      <c r="C1142" s="1" t="n">
        <v>45628</v>
      </c>
      <c r="D1142" t="inlineStr">
        <is>
          <t>VÄSTERNORRLANDS LÄN</t>
        </is>
      </c>
      <c r="E1142" t="inlineStr">
        <is>
          <t>KRAMFORS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23573-2024</t>
        </is>
      </c>
      <c r="B1143" s="1" t="n">
        <v>45454</v>
      </c>
      <c r="C1143" s="1" t="n">
        <v>45628</v>
      </c>
      <c r="D1143" t="inlineStr">
        <is>
          <t>VÄSTERNORRLANDS LÄN</t>
        </is>
      </c>
      <c r="E1143" t="inlineStr">
        <is>
          <t>KRAMFORS</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23668-2024</t>
        </is>
      </c>
      <c r="B1144" s="1" t="n">
        <v>45454</v>
      </c>
      <c r="C1144" s="1" t="n">
        <v>45628</v>
      </c>
      <c r="D1144" t="inlineStr">
        <is>
          <t>VÄSTERNORRLANDS LÄN</t>
        </is>
      </c>
      <c r="E1144" t="inlineStr">
        <is>
          <t>KRAMFORS</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23717-2024</t>
        </is>
      </c>
      <c r="B1145" s="1" t="n">
        <v>45454</v>
      </c>
      <c r="C1145" s="1" t="n">
        <v>45628</v>
      </c>
      <c r="D1145" t="inlineStr">
        <is>
          <t>VÄSTERNORRLANDS LÄN</t>
        </is>
      </c>
      <c r="E1145" t="inlineStr">
        <is>
          <t>KRAMFORS</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23974-2024</t>
        </is>
      </c>
      <c r="B1146" s="1" t="n">
        <v>45456</v>
      </c>
      <c r="C1146" s="1" t="n">
        <v>45628</v>
      </c>
      <c r="D1146" t="inlineStr">
        <is>
          <t>VÄSTERNORRLANDS LÄN</t>
        </is>
      </c>
      <c r="E1146" t="inlineStr">
        <is>
          <t>KRAMFORS</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24450-2024</t>
        </is>
      </c>
      <c r="B1147" s="1" t="n">
        <v>45458</v>
      </c>
      <c r="C1147" s="1" t="n">
        <v>45628</v>
      </c>
      <c r="D1147" t="inlineStr">
        <is>
          <t>VÄSTERNORRLANDS LÄN</t>
        </is>
      </c>
      <c r="E1147" t="inlineStr">
        <is>
          <t>KRAMFORS</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25032-2024</t>
        </is>
      </c>
      <c r="B1148" s="1" t="n">
        <v>45462</v>
      </c>
      <c r="C1148" s="1" t="n">
        <v>45628</v>
      </c>
      <c r="D1148" t="inlineStr">
        <is>
          <t>VÄSTERNORRLANDS LÄN</t>
        </is>
      </c>
      <c r="E1148" t="inlineStr">
        <is>
          <t>KRAMFORS</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25769-2024</t>
        </is>
      </c>
      <c r="B1149" s="1" t="n">
        <v>45466</v>
      </c>
      <c r="C1149" s="1" t="n">
        <v>45628</v>
      </c>
      <c r="D1149" t="inlineStr">
        <is>
          <t>VÄSTERNORRLANDS LÄN</t>
        </is>
      </c>
      <c r="E1149" t="inlineStr">
        <is>
          <t>KRAMFORS</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26000-2024</t>
        </is>
      </c>
      <c r="B1150" s="1" t="n">
        <v>45468</v>
      </c>
      <c r="C1150" s="1" t="n">
        <v>45628</v>
      </c>
      <c r="D1150" t="inlineStr">
        <is>
          <t>VÄSTERNORRLANDS LÄN</t>
        </is>
      </c>
      <c r="E1150" t="inlineStr">
        <is>
          <t>KRAMFORS</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25997-2024</t>
        </is>
      </c>
      <c r="B1151" s="1" t="n">
        <v>45467</v>
      </c>
      <c r="C1151" s="1" t="n">
        <v>45628</v>
      </c>
      <c r="D1151" t="inlineStr">
        <is>
          <t>VÄSTERNORRLANDS LÄN</t>
        </is>
      </c>
      <c r="E1151" t="inlineStr">
        <is>
          <t>KRAMFORS</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25998-2024</t>
        </is>
      </c>
      <c r="B1152" s="1" t="n">
        <v>45468</v>
      </c>
      <c r="C1152" s="1" t="n">
        <v>45628</v>
      </c>
      <c r="D1152" t="inlineStr">
        <is>
          <t>VÄSTERNORRLANDS LÄN</t>
        </is>
      </c>
      <c r="E1152" t="inlineStr">
        <is>
          <t>KRAMFORS</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26125-2024</t>
        </is>
      </c>
      <c r="B1153" s="1" t="n">
        <v>45468</v>
      </c>
      <c r="C1153" s="1" t="n">
        <v>45628</v>
      </c>
      <c r="D1153" t="inlineStr">
        <is>
          <t>VÄSTERNORRLANDS LÄN</t>
        </is>
      </c>
      <c r="E1153" t="inlineStr">
        <is>
          <t>KRAMFORS</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26284-2024</t>
        </is>
      </c>
      <c r="B1154" s="1" t="n">
        <v>45468</v>
      </c>
      <c r="C1154" s="1" t="n">
        <v>45628</v>
      </c>
      <c r="D1154" t="inlineStr">
        <is>
          <t>VÄSTERNORRLANDS LÄN</t>
        </is>
      </c>
      <c r="E1154" t="inlineStr">
        <is>
          <t>KRAMFORS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26070-2024</t>
        </is>
      </c>
      <c r="B1155" s="1" t="n">
        <v>45468</v>
      </c>
      <c r="C1155" s="1" t="n">
        <v>45628</v>
      </c>
      <c r="D1155" t="inlineStr">
        <is>
          <t>VÄSTERNORRLANDS LÄN</t>
        </is>
      </c>
      <c r="E1155" t="inlineStr">
        <is>
          <t>KRAMFORS</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26524-2024</t>
        </is>
      </c>
      <c r="B1156" s="1" t="n">
        <v>45469</v>
      </c>
      <c r="C1156" s="1" t="n">
        <v>45628</v>
      </c>
      <c r="D1156" t="inlineStr">
        <is>
          <t>VÄSTERNORRLANDS LÄN</t>
        </is>
      </c>
      <c r="E1156" t="inlineStr">
        <is>
          <t>KRAMFORS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26973-2024</t>
        </is>
      </c>
      <c r="B1157" s="1" t="n">
        <v>45471</v>
      </c>
      <c r="C1157" s="1" t="n">
        <v>45628</v>
      </c>
      <c r="D1157" t="inlineStr">
        <is>
          <t>VÄSTERNORRLANDS LÄN</t>
        </is>
      </c>
      <c r="E1157" t="inlineStr">
        <is>
          <t>KRAMFORS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27622-2024</t>
        </is>
      </c>
      <c r="B1158" s="1" t="n">
        <v>45474</v>
      </c>
      <c r="C1158" s="1" t="n">
        <v>45628</v>
      </c>
      <c r="D1158" t="inlineStr">
        <is>
          <t>VÄSTERNORRLANDS LÄN</t>
        </is>
      </c>
      <c r="E1158" t="inlineStr">
        <is>
          <t>KRAMFORS</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27836-2024</t>
        </is>
      </c>
      <c r="B1159" s="1" t="n">
        <v>45475</v>
      </c>
      <c r="C1159" s="1" t="n">
        <v>45628</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27840-2024</t>
        </is>
      </c>
      <c r="B1160" s="1" t="n">
        <v>45475</v>
      </c>
      <c r="C1160" s="1" t="n">
        <v>45628</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27845-2024</t>
        </is>
      </c>
      <c r="B1161" s="1" t="n">
        <v>45475</v>
      </c>
      <c r="C1161" s="1" t="n">
        <v>45628</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27709-2024</t>
        </is>
      </c>
      <c r="B1162" s="1" t="n">
        <v>45475</v>
      </c>
      <c r="C1162" s="1" t="n">
        <v>45628</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28114-2024</t>
        </is>
      </c>
      <c r="B1163" s="1" t="n">
        <v>45476</v>
      </c>
      <c r="C1163" s="1" t="n">
        <v>45628</v>
      </c>
      <c r="D1163" t="inlineStr">
        <is>
          <t>VÄSTERNORRLANDS LÄN</t>
        </is>
      </c>
      <c r="E1163" t="inlineStr">
        <is>
          <t>KRAMFORS</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28125-2024</t>
        </is>
      </c>
      <c r="B1164" s="1" t="n">
        <v>45476</v>
      </c>
      <c r="C1164" s="1" t="n">
        <v>45628</v>
      </c>
      <c r="D1164" t="inlineStr">
        <is>
          <t>VÄSTERNORRLANDS LÄN</t>
        </is>
      </c>
      <c r="E1164" t="inlineStr">
        <is>
          <t>KRAMFORS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28121-2024</t>
        </is>
      </c>
      <c r="B1165" s="1" t="n">
        <v>45476</v>
      </c>
      <c r="C1165" s="1" t="n">
        <v>45628</v>
      </c>
      <c r="D1165" t="inlineStr">
        <is>
          <t>VÄSTERNORRLANDS LÄN</t>
        </is>
      </c>
      <c r="E1165" t="inlineStr">
        <is>
          <t>KRAMFORS</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29065-2024</t>
        </is>
      </c>
      <c r="B1166" s="1" t="n">
        <v>45481</v>
      </c>
      <c r="C1166" s="1" t="n">
        <v>45628</v>
      </c>
      <c r="D1166" t="inlineStr">
        <is>
          <t>VÄSTERNORRLANDS LÄN</t>
        </is>
      </c>
      <c r="E1166" t="inlineStr">
        <is>
          <t>KRAMFORS</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29240-2024</t>
        </is>
      </c>
      <c r="B1167" s="1" t="n">
        <v>45483</v>
      </c>
      <c r="C1167" s="1" t="n">
        <v>45628</v>
      </c>
      <c r="D1167" t="inlineStr">
        <is>
          <t>VÄSTERNORRLANDS LÄN</t>
        </is>
      </c>
      <c r="E1167" t="inlineStr">
        <is>
          <t>KRAMFORS</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29285-2024</t>
        </is>
      </c>
      <c r="B1168" s="1" t="n">
        <v>45483</v>
      </c>
      <c r="C1168" s="1" t="n">
        <v>45628</v>
      </c>
      <c r="D1168" t="inlineStr">
        <is>
          <t>VÄSTERNORRLANDS LÄN</t>
        </is>
      </c>
      <c r="E1168" t="inlineStr">
        <is>
          <t>KRAMFORS</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29613-2024</t>
        </is>
      </c>
      <c r="B1169" s="1" t="n">
        <v>45484</v>
      </c>
      <c r="C1169" s="1" t="n">
        <v>45628</v>
      </c>
      <c r="D1169" t="inlineStr">
        <is>
          <t>VÄSTERNORRLANDS LÄN</t>
        </is>
      </c>
      <c r="E1169" t="inlineStr">
        <is>
          <t>KRAMFORS</t>
        </is>
      </c>
      <c r="G1169" t="n">
        <v>9.6</v>
      </c>
      <c r="H1169" t="n">
        <v>0</v>
      </c>
      <c r="I1169" t="n">
        <v>0</v>
      </c>
      <c r="J1169" t="n">
        <v>0</v>
      </c>
      <c r="K1169" t="n">
        <v>0</v>
      </c>
      <c r="L1169" t="n">
        <v>0</v>
      </c>
      <c r="M1169" t="n">
        <v>0</v>
      </c>
      <c r="N1169" t="n">
        <v>0</v>
      </c>
      <c r="O1169" t="n">
        <v>0</v>
      </c>
      <c r="P1169" t="n">
        <v>0</v>
      </c>
      <c r="Q1169" t="n">
        <v>0</v>
      </c>
      <c r="R1169" s="2" t="inlineStr"/>
    </row>
    <row r="1170" ht="15" customHeight="1">
      <c r="A1170" t="inlineStr">
        <is>
          <t>A 29592-2024</t>
        </is>
      </c>
      <c r="B1170" s="1" t="n">
        <v>45484</v>
      </c>
      <c r="C1170" s="1" t="n">
        <v>45628</v>
      </c>
      <c r="D1170" t="inlineStr">
        <is>
          <t>VÄSTERNORRLANDS LÄN</t>
        </is>
      </c>
      <c r="E1170" t="inlineStr">
        <is>
          <t>KRAMFORS</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30215-2024</t>
        </is>
      </c>
      <c r="B1171" s="1" t="n">
        <v>45490</v>
      </c>
      <c r="C1171" s="1" t="n">
        <v>45628</v>
      </c>
      <c r="D1171" t="inlineStr">
        <is>
          <t>VÄSTERNORRLANDS LÄN</t>
        </is>
      </c>
      <c r="E1171" t="inlineStr">
        <is>
          <t>KRAMFORS</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30456-2024</t>
        </is>
      </c>
      <c r="B1172" s="1" t="n">
        <v>45492</v>
      </c>
      <c r="C1172" s="1" t="n">
        <v>45628</v>
      </c>
      <c r="D1172" t="inlineStr">
        <is>
          <t>VÄSTERNORRLANDS LÄN</t>
        </is>
      </c>
      <c r="E1172" t="inlineStr">
        <is>
          <t>KRAMFORS</t>
        </is>
      </c>
      <c r="F1172" t="inlineStr">
        <is>
          <t>SCA</t>
        </is>
      </c>
      <c r="G1172" t="n">
        <v>13.4</v>
      </c>
      <c r="H1172" t="n">
        <v>0</v>
      </c>
      <c r="I1172" t="n">
        <v>0</v>
      </c>
      <c r="J1172" t="n">
        <v>0</v>
      </c>
      <c r="K1172" t="n">
        <v>0</v>
      </c>
      <c r="L1172" t="n">
        <v>0</v>
      </c>
      <c r="M1172" t="n">
        <v>0</v>
      </c>
      <c r="N1172" t="n">
        <v>0</v>
      </c>
      <c r="O1172" t="n">
        <v>0</v>
      </c>
      <c r="P1172" t="n">
        <v>0</v>
      </c>
      <c r="Q1172" t="n">
        <v>0</v>
      </c>
      <c r="R1172" s="2" t="inlineStr"/>
    </row>
    <row r="1173" ht="15" customHeight="1">
      <c r="A1173" t="inlineStr">
        <is>
          <t>A 30458-2024</t>
        </is>
      </c>
      <c r="B1173" s="1" t="n">
        <v>45492</v>
      </c>
      <c r="C1173" s="1" t="n">
        <v>45628</v>
      </c>
      <c r="D1173" t="inlineStr">
        <is>
          <t>VÄSTERNORRLANDS LÄN</t>
        </is>
      </c>
      <c r="E1173" t="inlineStr">
        <is>
          <t>KRAMFORS</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30457-2024</t>
        </is>
      </c>
      <c r="B1174" s="1" t="n">
        <v>45492</v>
      </c>
      <c r="C1174" s="1" t="n">
        <v>45628</v>
      </c>
      <c r="D1174" t="inlineStr">
        <is>
          <t>VÄSTERNORRLANDS LÄN</t>
        </is>
      </c>
      <c r="E1174" t="inlineStr">
        <is>
          <t>KRAMFORS</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30615-2024</t>
        </is>
      </c>
      <c r="B1175" s="1" t="n">
        <v>45495</v>
      </c>
      <c r="C1175" s="1" t="n">
        <v>45628</v>
      </c>
      <c r="D1175" t="inlineStr">
        <is>
          <t>VÄSTERNORRLANDS LÄN</t>
        </is>
      </c>
      <c r="E1175" t="inlineStr">
        <is>
          <t>KRAMFORS</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30621-2024</t>
        </is>
      </c>
      <c r="B1176" s="1" t="n">
        <v>45495</v>
      </c>
      <c r="C1176" s="1" t="n">
        <v>45628</v>
      </c>
      <c r="D1176" t="inlineStr">
        <is>
          <t>VÄSTERNORRLANDS LÄN</t>
        </is>
      </c>
      <c r="E1176" t="inlineStr">
        <is>
          <t>KRAMFORS</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30769-2024</t>
        </is>
      </c>
      <c r="B1177" s="1" t="n">
        <v>45497</v>
      </c>
      <c r="C1177" s="1" t="n">
        <v>45628</v>
      </c>
      <c r="D1177" t="inlineStr">
        <is>
          <t>VÄSTERNORRLANDS LÄN</t>
        </is>
      </c>
      <c r="E1177" t="inlineStr">
        <is>
          <t>KRAMFORS</t>
        </is>
      </c>
      <c r="F1177" t="inlineStr">
        <is>
          <t>Kyrkan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30768-2024</t>
        </is>
      </c>
      <c r="B1178" s="1" t="n">
        <v>45496</v>
      </c>
      <c r="C1178" s="1" t="n">
        <v>45628</v>
      </c>
      <c r="D1178" t="inlineStr">
        <is>
          <t>VÄSTERNORRLANDS LÄN</t>
        </is>
      </c>
      <c r="E1178" t="inlineStr">
        <is>
          <t>KRAMFORS</t>
        </is>
      </c>
      <c r="F1178" t="inlineStr">
        <is>
          <t>Kyrkan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30770-2024</t>
        </is>
      </c>
      <c r="B1179" s="1" t="n">
        <v>45497</v>
      </c>
      <c r="C1179" s="1" t="n">
        <v>45628</v>
      </c>
      <c r="D1179" t="inlineStr">
        <is>
          <t>VÄSTERNORRLANDS LÄN</t>
        </is>
      </c>
      <c r="E1179" t="inlineStr">
        <is>
          <t>KRAMFORS</t>
        </is>
      </c>
      <c r="F1179" t="inlineStr">
        <is>
          <t>Kyrkan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31138-2024</t>
        </is>
      </c>
      <c r="B1180" s="1" t="n">
        <v>45502</v>
      </c>
      <c r="C1180" s="1" t="n">
        <v>45628</v>
      </c>
      <c r="D1180" t="inlineStr">
        <is>
          <t>VÄSTERNORRLANDS LÄN</t>
        </is>
      </c>
      <c r="E1180" t="inlineStr">
        <is>
          <t>KRAMFORS</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31140-2024</t>
        </is>
      </c>
      <c r="B1181" s="1" t="n">
        <v>45502</v>
      </c>
      <c r="C1181" s="1" t="n">
        <v>45628</v>
      </c>
      <c r="D1181" t="inlineStr">
        <is>
          <t>VÄSTERNORRLANDS LÄN</t>
        </is>
      </c>
      <c r="E1181" t="inlineStr">
        <is>
          <t>KRAMFORS</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31542-2024</t>
        </is>
      </c>
      <c r="B1182" s="1" t="n">
        <v>45506</v>
      </c>
      <c r="C1182" s="1" t="n">
        <v>45628</v>
      </c>
      <c r="D1182" t="inlineStr">
        <is>
          <t>VÄSTERNORRLANDS LÄN</t>
        </is>
      </c>
      <c r="E1182" t="inlineStr">
        <is>
          <t>KRAMFORS</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31663-2024</t>
        </is>
      </c>
      <c r="B1183" s="1" t="n">
        <v>45507</v>
      </c>
      <c r="C1183" s="1" t="n">
        <v>45628</v>
      </c>
      <c r="D1183" t="inlineStr">
        <is>
          <t>VÄSTERNORRLANDS LÄN</t>
        </is>
      </c>
      <c r="E1183" t="inlineStr">
        <is>
          <t>KRAMFORS</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31890-2024</t>
        </is>
      </c>
      <c r="B1184" s="1" t="n">
        <v>45510</v>
      </c>
      <c r="C1184" s="1" t="n">
        <v>45628</v>
      </c>
      <c r="D1184" t="inlineStr">
        <is>
          <t>VÄSTERNORRLANDS LÄN</t>
        </is>
      </c>
      <c r="E1184" t="inlineStr">
        <is>
          <t>KRAMFORS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32170-2024</t>
        </is>
      </c>
      <c r="B1185" s="1" t="n">
        <v>45511</v>
      </c>
      <c r="C1185" s="1" t="n">
        <v>45628</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32184-2024</t>
        </is>
      </c>
      <c r="B1186" s="1" t="n">
        <v>45511</v>
      </c>
      <c r="C1186" s="1" t="n">
        <v>45628</v>
      </c>
      <c r="D1186" t="inlineStr">
        <is>
          <t>VÄSTERNORRLANDS LÄN</t>
        </is>
      </c>
      <c r="E1186" t="inlineStr">
        <is>
          <t>KRAMFORS</t>
        </is>
      </c>
      <c r="G1186" t="n">
        <v>11.2</v>
      </c>
      <c r="H1186" t="n">
        <v>0</v>
      </c>
      <c r="I1186" t="n">
        <v>0</v>
      </c>
      <c r="J1186" t="n">
        <v>0</v>
      </c>
      <c r="K1186" t="n">
        <v>0</v>
      </c>
      <c r="L1186" t="n">
        <v>0</v>
      </c>
      <c r="M1186" t="n">
        <v>0</v>
      </c>
      <c r="N1186" t="n">
        <v>0</v>
      </c>
      <c r="O1186" t="n">
        <v>0</v>
      </c>
      <c r="P1186" t="n">
        <v>0</v>
      </c>
      <c r="Q1186" t="n">
        <v>0</v>
      </c>
      <c r="R1186" s="2" t="inlineStr"/>
    </row>
    <row r="1187" ht="15" customHeight="1">
      <c r="A1187" t="inlineStr">
        <is>
          <t>A 32446-2024</t>
        </is>
      </c>
      <c r="B1187" s="1" t="n">
        <v>45512</v>
      </c>
      <c r="C1187" s="1" t="n">
        <v>45628</v>
      </c>
      <c r="D1187" t="inlineStr">
        <is>
          <t>VÄSTERNORRLANDS LÄN</t>
        </is>
      </c>
      <c r="E1187" t="inlineStr">
        <is>
          <t>KRAMFORS</t>
        </is>
      </c>
      <c r="F1187" t="inlineStr">
        <is>
          <t>SCA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32271-2024</t>
        </is>
      </c>
      <c r="B1188" s="1" t="n">
        <v>45512</v>
      </c>
      <c r="C1188" s="1" t="n">
        <v>45628</v>
      </c>
      <c r="D1188" t="inlineStr">
        <is>
          <t>VÄSTERNORRLANDS LÄN</t>
        </is>
      </c>
      <c r="E1188" t="inlineStr">
        <is>
          <t>KRAMFORS</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32501-2024</t>
        </is>
      </c>
      <c r="B1189" s="1" t="n">
        <v>45513</v>
      </c>
      <c r="C1189" s="1" t="n">
        <v>45628</v>
      </c>
      <c r="D1189" t="inlineStr">
        <is>
          <t>VÄSTERNORRLANDS LÄN</t>
        </is>
      </c>
      <c r="E1189" t="inlineStr">
        <is>
          <t>KRAMFORS</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32513-2024</t>
        </is>
      </c>
      <c r="B1190" s="1" t="n">
        <v>45513</v>
      </c>
      <c r="C1190" s="1" t="n">
        <v>45628</v>
      </c>
      <c r="D1190" t="inlineStr">
        <is>
          <t>VÄSTERNORRLANDS LÄN</t>
        </is>
      </c>
      <c r="E1190" t="inlineStr">
        <is>
          <t>KRAMFORS</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32908-2024</t>
        </is>
      </c>
      <c r="B1191" s="1" t="n">
        <v>45516</v>
      </c>
      <c r="C1191" s="1" t="n">
        <v>45628</v>
      </c>
      <c r="D1191" t="inlineStr">
        <is>
          <t>VÄSTERNORRLANDS LÄN</t>
        </is>
      </c>
      <c r="E1191" t="inlineStr">
        <is>
          <t>KRAMFORS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33000-2024</t>
        </is>
      </c>
      <c r="B1192" s="1" t="n">
        <v>45517</v>
      </c>
      <c r="C1192" s="1" t="n">
        <v>45628</v>
      </c>
      <c r="D1192" t="inlineStr">
        <is>
          <t>VÄSTERNORRLANDS LÄN</t>
        </is>
      </c>
      <c r="E1192" t="inlineStr">
        <is>
          <t>KRAMFORS</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33300-2024</t>
        </is>
      </c>
      <c r="B1193" s="1" t="n">
        <v>45519</v>
      </c>
      <c r="C1193" s="1" t="n">
        <v>45628</v>
      </c>
      <c r="D1193" t="inlineStr">
        <is>
          <t>VÄSTERNORRLANDS LÄN</t>
        </is>
      </c>
      <c r="E1193" t="inlineStr">
        <is>
          <t>KRAMFORS</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33296-2024</t>
        </is>
      </c>
      <c r="B1194" s="1" t="n">
        <v>45518</v>
      </c>
      <c r="C1194" s="1" t="n">
        <v>45628</v>
      </c>
      <c r="D1194" t="inlineStr">
        <is>
          <t>VÄSTERNORRLANDS LÄN</t>
        </is>
      </c>
      <c r="E1194" t="inlineStr">
        <is>
          <t>KRAMFORS</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33328-2024</t>
        </is>
      </c>
      <c r="B1195" s="1" t="n">
        <v>45519</v>
      </c>
      <c r="C1195" s="1" t="n">
        <v>45628</v>
      </c>
      <c r="D1195" t="inlineStr">
        <is>
          <t>VÄSTERNORRLANDS LÄN</t>
        </is>
      </c>
      <c r="E1195" t="inlineStr">
        <is>
          <t>KRAMFORS</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33438-2024</t>
        </is>
      </c>
      <c r="B1196" s="1" t="n">
        <v>45519</v>
      </c>
      <c r="C1196" s="1" t="n">
        <v>45628</v>
      </c>
      <c r="D1196" t="inlineStr">
        <is>
          <t>VÄSTERNORRLANDS LÄN</t>
        </is>
      </c>
      <c r="E1196" t="inlineStr">
        <is>
          <t>KRAMFORS</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33782-2024</t>
        </is>
      </c>
      <c r="B1197" s="1" t="n">
        <v>45520</v>
      </c>
      <c r="C1197" s="1" t="n">
        <v>45628</v>
      </c>
      <c r="D1197" t="inlineStr">
        <is>
          <t>VÄSTERNORRLANDS LÄN</t>
        </is>
      </c>
      <c r="E1197" t="inlineStr">
        <is>
          <t>KRAMFORS</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34200-2024</t>
        </is>
      </c>
      <c r="B1198" s="1" t="n">
        <v>45524</v>
      </c>
      <c r="C1198" s="1" t="n">
        <v>45628</v>
      </c>
      <c r="D1198" t="inlineStr">
        <is>
          <t>VÄSTERNORRLANDS LÄN</t>
        </is>
      </c>
      <c r="E1198" t="inlineStr">
        <is>
          <t>KRAMFORS</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34642-2024</t>
        </is>
      </c>
      <c r="B1199" s="1" t="n">
        <v>45526</v>
      </c>
      <c r="C1199" s="1" t="n">
        <v>45628</v>
      </c>
      <c r="D1199" t="inlineStr">
        <is>
          <t>VÄSTERNORRLANDS LÄN</t>
        </is>
      </c>
      <c r="E1199" t="inlineStr">
        <is>
          <t>KRAMFORS</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34967-2024</t>
        </is>
      </c>
      <c r="B1200" s="1" t="n">
        <v>45527</v>
      </c>
      <c r="C1200" s="1" t="n">
        <v>45628</v>
      </c>
      <c r="D1200" t="inlineStr">
        <is>
          <t>VÄSTERNORRLANDS LÄN</t>
        </is>
      </c>
      <c r="E1200" t="inlineStr">
        <is>
          <t>KRAMFORS</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35237-2024</t>
        </is>
      </c>
      <c r="B1201" s="1" t="n">
        <v>45530</v>
      </c>
      <c r="C1201" s="1" t="n">
        <v>45628</v>
      </c>
      <c r="D1201" t="inlineStr">
        <is>
          <t>VÄSTERNORRLANDS LÄN</t>
        </is>
      </c>
      <c r="E1201" t="inlineStr">
        <is>
          <t>KRAMFORS</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35241-2024</t>
        </is>
      </c>
      <c r="B1202" s="1" t="n">
        <v>45530</v>
      </c>
      <c r="C1202" s="1" t="n">
        <v>45628</v>
      </c>
      <c r="D1202" t="inlineStr">
        <is>
          <t>VÄSTERNORRLANDS LÄN</t>
        </is>
      </c>
      <c r="E1202" t="inlineStr">
        <is>
          <t>KRAMFORS</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35172-2024</t>
        </is>
      </c>
      <c r="B1203" s="1" t="n">
        <v>45530</v>
      </c>
      <c r="C1203" s="1" t="n">
        <v>45628</v>
      </c>
      <c r="D1203" t="inlineStr">
        <is>
          <t>VÄSTERNORRLANDS LÄN</t>
        </is>
      </c>
      <c r="E1203" t="inlineStr">
        <is>
          <t>KRAMFORS</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35234-2024</t>
        </is>
      </c>
      <c r="B1204" s="1" t="n">
        <v>45530</v>
      </c>
      <c r="C1204" s="1" t="n">
        <v>45628</v>
      </c>
      <c r="D1204" t="inlineStr">
        <is>
          <t>VÄSTERNORRLANDS LÄN</t>
        </is>
      </c>
      <c r="E1204" t="inlineStr">
        <is>
          <t>KRAMFORS</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35486-2024</t>
        </is>
      </c>
      <c r="B1205" s="1" t="n">
        <v>45531</v>
      </c>
      <c r="C1205" s="1" t="n">
        <v>45628</v>
      </c>
      <c r="D1205" t="inlineStr">
        <is>
          <t>VÄSTERNORRLANDS LÄN</t>
        </is>
      </c>
      <c r="E1205" t="inlineStr">
        <is>
          <t>KRAMFORS</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35485-2024</t>
        </is>
      </c>
      <c r="B1206" s="1" t="n">
        <v>45531</v>
      </c>
      <c r="C1206" s="1" t="n">
        <v>45628</v>
      </c>
      <c r="D1206" t="inlineStr">
        <is>
          <t>VÄSTERNORRLANDS LÄN</t>
        </is>
      </c>
      <c r="E1206" t="inlineStr">
        <is>
          <t>KRAMFORS</t>
        </is>
      </c>
      <c r="G1206" t="n">
        <v>12.8</v>
      </c>
      <c r="H1206" t="n">
        <v>0</v>
      </c>
      <c r="I1206" t="n">
        <v>0</v>
      </c>
      <c r="J1206" t="n">
        <v>0</v>
      </c>
      <c r="K1206" t="n">
        <v>0</v>
      </c>
      <c r="L1206" t="n">
        <v>0</v>
      </c>
      <c r="M1206" t="n">
        <v>0</v>
      </c>
      <c r="N1206" t="n">
        <v>0</v>
      </c>
      <c r="O1206" t="n">
        <v>0</v>
      </c>
      <c r="P1206" t="n">
        <v>0</v>
      </c>
      <c r="Q1206" t="n">
        <v>0</v>
      </c>
      <c r="R1206" s="2" t="inlineStr"/>
    </row>
    <row r="1207" ht="15" customHeight="1">
      <c r="A1207" t="inlineStr">
        <is>
          <t>A 35871-2024</t>
        </is>
      </c>
      <c r="B1207" s="1" t="n">
        <v>45533</v>
      </c>
      <c r="C1207" s="1" t="n">
        <v>45628</v>
      </c>
      <c r="D1207" t="inlineStr">
        <is>
          <t>VÄSTERNORRLANDS LÄN</t>
        </is>
      </c>
      <c r="E1207" t="inlineStr">
        <is>
          <t>KRAMFORS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36178-2024</t>
        </is>
      </c>
      <c r="B1208" s="1" t="n">
        <v>45534</v>
      </c>
      <c r="C1208" s="1" t="n">
        <v>45628</v>
      </c>
      <c r="D1208" t="inlineStr">
        <is>
          <t>VÄSTERNORRLANDS LÄN</t>
        </is>
      </c>
      <c r="E1208" t="inlineStr">
        <is>
          <t>KRAMFORS</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36896-2024</t>
        </is>
      </c>
      <c r="B1209" s="1" t="n">
        <v>45538</v>
      </c>
      <c r="C1209" s="1" t="n">
        <v>45628</v>
      </c>
      <c r="D1209" t="inlineStr">
        <is>
          <t>VÄSTERNORRLANDS LÄN</t>
        </is>
      </c>
      <c r="E1209" t="inlineStr">
        <is>
          <t>KRAMFORS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37674-2024</t>
        </is>
      </c>
      <c r="B1210" s="1" t="n">
        <v>45541</v>
      </c>
      <c r="C1210" s="1" t="n">
        <v>45628</v>
      </c>
      <c r="D1210" t="inlineStr">
        <is>
          <t>VÄSTERNORRLANDS LÄN</t>
        </is>
      </c>
      <c r="E1210" t="inlineStr">
        <is>
          <t>KRAMFORS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37517-2024</t>
        </is>
      </c>
      <c r="B1211" s="1" t="n">
        <v>45541</v>
      </c>
      <c r="C1211" s="1" t="n">
        <v>45628</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37530-2024</t>
        </is>
      </c>
      <c r="B1212" s="1" t="n">
        <v>45541</v>
      </c>
      <c r="C1212" s="1" t="n">
        <v>45628</v>
      </c>
      <c r="D1212" t="inlineStr">
        <is>
          <t>VÄSTERNORRLANDS LÄN</t>
        </is>
      </c>
      <c r="E1212" t="inlineStr">
        <is>
          <t>KRAMFORS</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37516-2024</t>
        </is>
      </c>
      <c r="B1213" s="1" t="n">
        <v>45541</v>
      </c>
      <c r="C1213" s="1" t="n">
        <v>45628</v>
      </c>
      <c r="D1213" t="inlineStr">
        <is>
          <t>VÄSTERNORRLANDS LÄN</t>
        </is>
      </c>
      <c r="E1213" t="inlineStr">
        <is>
          <t>KRAMFORS</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37867-2024</t>
        </is>
      </c>
      <c r="B1214" s="1" t="n">
        <v>45544</v>
      </c>
      <c r="C1214" s="1" t="n">
        <v>45628</v>
      </c>
      <c r="D1214" t="inlineStr">
        <is>
          <t>VÄSTERNORRLANDS LÄN</t>
        </is>
      </c>
      <c r="E1214" t="inlineStr">
        <is>
          <t>KRAMFORS</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38247-2024</t>
        </is>
      </c>
      <c r="B1215" s="1" t="n">
        <v>45545</v>
      </c>
      <c r="C1215" s="1" t="n">
        <v>45628</v>
      </c>
      <c r="D1215" t="inlineStr">
        <is>
          <t>VÄSTERNORRLANDS LÄN</t>
        </is>
      </c>
      <c r="E1215" t="inlineStr">
        <is>
          <t>KRAMFORS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38492-2024</t>
        </is>
      </c>
      <c r="B1216" s="1" t="n">
        <v>45546</v>
      </c>
      <c r="C1216" s="1" t="n">
        <v>45628</v>
      </c>
      <c r="D1216" t="inlineStr">
        <is>
          <t>VÄSTERNORRLANDS LÄN</t>
        </is>
      </c>
      <c r="E1216" t="inlineStr">
        <is>
          <t>KRAMFORS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38553-2024</t>
        </is>
      </c>
      <c r="B1217" s="1" t="n">
        <v>45546</v>
      </c>
      <c r="C1217" s="1" t="n">
        <v>45628</v>
      </c>
      <c r="D1217" t="inlineStr">
        <is>
          <t>VÄSTERNORRLANDS LÄN</t>
        </is>
      </c>
      <c r="E1217" t="inlineStr">
        <is>
          <t>KRAMFORS</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38780-2024</t>
        </is>
      </c>
      <c r="B1218" s="1" t="n">
        <v>45547</v>
      </c>
      <c r="C1218" s="1" t="n">
        <v>45628</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38830-2024</t>
        </is>
      </c>
      <c r="B1219" s="1" t="n">
        <v>45547</v>
      </c>
      <c r="C1219" s="1" t="n">
        <v>45628</v>
      </c>
      <c r="D1219" t="inlineStr">
        <is>
          <t>VÄSTERNORRLANDS LÄN</t>
        </is>
      </c>
      <c r="E1219" t="inlineStr">
        <is>
          <t>KRAMFORS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39345-2024</t>
        </is>
      </c>
      <c r="B1220" s="1" t="n">
        <v>45551</v>
      </c>
      <c r="C1220" s="1" t="n">
        <v>45628</v>
      </c>
      <c r="D1220" t="inlineStr">
        <is>
          <t>VÄSTERNORRLANDS LÄN</t>
        </is>
      </c>
      <c r="E1220" t="inlineStr">
        <is>
          <t>KRAMFORS</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39386-2024</t>
        </is>
      </c>
      <c r="B1221" s="1" t="n">
        <v>45551</v>
      </c>
      <c r="C1221" s="1" t="n">
        <v>45628</v>
      </c>
      <c r="D1221" t="inlineStr">
        <is>
          <t>VÄSTERNORRLANDS LÄN</t>
        </is>
      </c>
      <c r="E1221" t="inlineStr">
        <is>
          <t>KRAMFORS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39366-2024</t>
        </is>
      </c>
      <c r="B1222" s="1" t="n">
        <v>45551</v>
      </c>
      <c r="C1222" s="1" t="n">
        <v>45628</v>
      </c>
      <c r="D1222" t="inlineStr">
        <is>
          <t>VÄSTERNORRLANDS LÄN</t>
        </is>
      </c>
      <c r="E1222" t="inlineStr">
        <is>
          <t>KRAMFORS</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39479-2024</t>
        </is>
      </c>
      <c r="B1223" s="1" t="n">
        <v>45551</v>
      </c>
      <c r="C1223" s="1" t="n">
        <v>45628</v>
      </c>
      <c r="D1223" t="inlineStr">
        <is>
          <t>VÄSTERNORRLANDS LÄN</t>
        </is>
      </c>
      <c r="E1223" t="inlineStr">
        <is>
          <t>KRAMFORS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39492-2024</t>
        </is>
      </c>
      <c r="B1224" s="1" t="n">
        <v>45551</v>
      </c>
      <c r="C1224" s="1" t="n">
        <v>45628</v>
      </c>
      <c r="D1224" t="inlineStr">
        <is>
          <t>VÄSTERNORRLANDS LÄN</t>
        </is>
      </c>
      <c r="E1224" t="inlineStr">
        <is>
          <t>KRAMFORS</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39625-2024</t>
        </is>
      </c>
      <c r="B1225" s="1" t="n">
        <v>45552</v>
      </c>
      <c r="C1225" s="1" t="n">
        <v>45628</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39627-2024</t>
        </is>
      </c>
      <c r="B1226" s="1" t="n">
        <v>45552</v>
      </c>
      <c r="C1226" s="1" t="n">
        <v>45628</v>
      </c>
      <c r="D1226" t="inlineStr">
        <is>
          <t>VÄSTERNORRLANDS LÄN</t>
        </is>
      </c>
      <c r="E1226" t="inlineStr">
        <is>
          <t>KRAMFORS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39649-2024</t>
        </is>
      </c>
      <c r="B1227" s="1" t="n">
        <v>45552</v>
      </c>
      <c r="C1227" s="1" t="n">
        <v>45628</v>
      </c>
      <c r="D1227" t="inlineStr">
        <is>
          <t>VÄSTERNORRLANDS LÄN</t>
        </is>
      </c>
      <c r="E1227" t="inlineStr">
        <is>
          <t>KRAMFORS</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39622-2024</t>
        </is>
      </c>
      <c r="B1228" s="1" t="n">
        <v>45552</v>
      </c>
      <c r="C1228" s="1" t="n">
        <v>45628</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39664-2024</t>
        </is>
      </c>
      <c r="B1229" s="1" t="n">
        <v>45552</v>
      </c>
      <c r="C1229" s="1" t="n">
        <v>45628</v>
      </c>
      <c r="D1229" t="inlineStr">
        <is>
          <t>VÄSTERNORRLANDS LÄN</t>
        </is>
      </c>
      <c r="E1229" t="inlineStr">
        <is>
          <t>KRAMFORS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39846-2024</t>
        </is>
      </c>
      <c r="B1230" s="1" t="n">
        <v>45553</v>
      </c>
      <c r="C1230" s="1" t="n">
        <v>45628</v>
      </c>
      <c r="D1230" t="inlineStr">
        <is>
          <t>VÄSTERNORRLANDS LÄN</t>
        </is>
      </c>
      <c r="E1230" t="inlineStr">
        <is>
          <t>KRAMFORS</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40127-2024</t>
        </is>
      </c>
      <c r="B1231" s="1" t="n">
        <v>45554</v>
      </c>
      <c r="C1231" s="1" t="n">
        <v>45628</v>
      </c>
      <c r="D1231" t="inlineStr">
        <is>
          <t>VÄSTERNORRLANDS LÄN</t>
        </is>
      </c>
      <c r="E1231" t="inlineStr">
        <is>
          <t>KRAMFORS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40427-2024</t>
        </is>
      </c>
      <c r="B1232" s="1" t="n">
        <v>45555</v>
      </c>
      <c r="C1232" s="1" t="n">
        <v>45628</v>
      </c>
      <c r="D1232" t="inlineStr">
        <is>
          <t>VÄSTERNORRLANDS LÄN</t>
        </is>
      </c>
      <c r="E1232" t="inlineStr">
        <is>
          <t>KRAMFORS</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41818-2024</t>
        </is>
      </c>
      <c r="B1233" s="1" t="n">
        <v>45561</v>
      </c>
      <c r="C1233" s="1" t="n">
        <v>45628</v>
      </c>
      <c r="D1233" t="inlineStr">
        <is>
          <t>VÄSTERNORRLANDS LÄN</t>
        </is>
      </c>
      <c r="E1233" t="inlineStr">
        <is>
          <t>KRAMFORS</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41813-2024</t>
        </is>
      </c>
      <c r="B1234" s="1" t="n">
        <v>45561</v>
      </c>
      <c r="C1234" s="1" t="n">
        <v>45628</v>
      </c>
      <c r="D1234" t="inlineStr">
        <is>
          <t>VÄSTERNORRLANDS LÄN</t>
        </is>
      </c>
      <c r="E1234" t="inlineStr">
        <is>
          <t>KRAMFORS</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42016-2024</t>
        </is>
      </c>
      <c r="B1235" s="1" t="n">
        <v>45561</v>
      </c>
      <c r="C1235" s="1" t="n">
        <v>45628</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42113-2024</t>
        </is>
      </c>
      <c r="B1236" s="1" t="n">
        <v>45562</v>
      </c>
      <c r="C1236" s="1" t="n">
        <v>45628</v>
      </c>
      <c r="D1236" t="inlineStr">
        <is>
          <t>VÄSTERNORRLANDS LÄN</t>
        </is>
      </c>
      <c r="E1236" t="inlineStr">
        <is>
          <t>KRAMFORS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43010-2024</t>
        </is>
      </c>
      <c r="B1237" s="1" t="n">
        <v>45567</v>
      </c>
      <c r="C1237" s="1" t="n">
        <v>45628</v>
      </c>
      <c r="D1237" t="inlineStr">
        <is>
          <t>VÄSTERNORRLANDS LÄN</t>
        </is>
      </c>
      <c r="E1237" t="inlineStr">
        <is>
          <t>KRAMFORS</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43708-2024</t>
        </is>
      </c>
      <c r="B1238" s="1" t="n">
        <v>45569</v>
      </c>
      <c r="C1238" s="1" t="n">
        <v>45628</v>
      </c>
      <c r="D1238" t="inlineStr">
        <is>
          <t>VÄSTERNORRLANDS LÄN</t>
        </is>
      </c>
      <c r="E1238" t="inlineStr">
        <is>
          <t>KRAMFORS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43844-2024</t>
        </is>
      </c>
      <c r="B1239" s="1" t="n">
        <v>45572</v>
      </c>
      <c r="C1239" s="1" t="n">
        <v>45628</v>
      </c>
      <c r="D1239" t="inlineStr">
        <is>
          <t>VÄSTERNORRLANDS LÄN</t>
        </is>
      </c>
      <c r="E1239" t="inlineStr">
        <is>
          <t>KRAMFORS</t>
        </is>
      </c>
      <c r="F1239" t="inlineStr">
        <is>
          <t>SCA</t>
        </is>
      </c>
      <c r="G1239" t="n">
        <v>9.300000000000001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43872-2024</t>
        </is>
      </c>
      <c r="B1240" s="1" t="n">
        <v>45572</v>
      </c>
      <c r="C1240" s="1" t="n">
        <v>45628</v>
      </c>
      <c r="D1240" t="inlineStr">
        <is>
          <t>VÄSTERNORRLANDS LÄN</t>
        </is>
      </c>
      <c r="E1240" t="inlineStr">
        <is>
          <t>KRAMFORS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43833-2024</t>
        </is>
      </c>
      <c r="B1241" s="1" t="n">
        <v>45572</v>
      </c>
      <c r="C1241" s="1" t="n">
        <v>45628</v>
      </c>
      <c r="D1241" t="inlineStr">
        <is>
          <t>VÄSTERNORRLANDS LÄN</t>
        </is>
      </c>
      <c r="E1241" t="inlineStr">
        <is>
          <t>KRAMFORS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43835-2024</t>
        </is>
      </c>
      <c r="B1242" s="1" t="n">
        <v>45572</v>
      </c>
      <c r="C1242" s="1" t="n">
        <v>45628</v>
      </c>
      <c r="D1242" t="inlineStr">
        <is>
          <t>VÄSTERNORRLANDS LÄN</t>
        </is>
      </c>
      <c r="E1242" t="inlineStr">
        <is>
          <t>KRAMFORS</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43989-2024</t>
        </is>
      </c>
      <c r="B1243" s="1" t="n">
        <v>45572</v>
      </c>
      <c r="C1243" s="1" t="n">
        <v>45628</v>
      </c>
      <c r="D1243" t="inlineStr">
        <is>
          <t>VÄSTERNORRLANDS LÄN</t>
        </is>
      </c>
      <c r="E1243" t="inlineStr">
        <is>
          <t>KRAMFORS</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43897-2024</t>
        </is>
      </c>
      <c r="B1244" s="1" t="n">
        <v>45572</v>
      </c>
      <c r="C1244" s="1" t="n">
        <v>45628</v>
      </c>
      <c r="D1244" t="inlineStr">
        <is>
          <t>VÄSTERNORRLANDS LÄN</t>
        </is>
      </c>
      <c r="E1244" t="inlineStr">
        <is>
          <t>KRAMFORS</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44262-2024</t>
        </is>
      </c>
      <c r="B1245" s="1" t="n">
        <v>45573</v>
      </c>
      <c r="C1245" s="1" t="n">
        <v>45628</v>
      </c>
      <c r="D1245" t="inlineStr">
        <is>
          <t>VÄSTERNORRLANDS LÄN</t>
        </is>
      </c>
      <c r="E1245" t="inlineStr">
        <is>
          <t>KRAMFORS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45628</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44264-2024</t>
        </is>
      </c>
      <c r="B1247" s="1" t="n">
        <v>45573</v>
      </c>
      <c r="C1247" s="1" t="n">
        <v>45628</v>
      </c>
      <c r="D1247" t="inlineStr">
        <is>
          <t>VÄSTERNORRLANDS LÄN</t>
        </is>
      </c>
      <c r="E1247" t="inlineStr">
        <is>
          <t>KRAMFORS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44460-2024</t>
        </is>
      </c>
      <c r="B1248" s="1" t="n">
        <v>45574</v>
      </c>
      <c r="C1248" s="1" t="n">
        <v>45628</v>
      </c>
      <c r="D1248" t="inlineStr">
        <is>
          <t>VÄSTERNORRLANDS LÄN</t>
        </is>
      </c>
      <c r="E1248" t="inlineStr">
        <is>
          <t>KRAMFORS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44782-2024</t>
        </is>
      </c>
      <c r="B1249" s="1" t="n">
        <v>45574</v>
      </c>
      <c r="C1249" s="1" t="n">
        <v>45628</v>
      </c>
      <c r="D1249" t="inlineStr">
        <is>
          <t>VÄSTERNORRLANDS LÄN</t>
        </is>
      </c>
      <c r="E1249" t="inlineStr">
        <is>
          <t>KRAMFORS</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45612-2024</t>
        </is>
      </c>
      <c r="B1250" s="1" t="n">
        <v>45579</v>
      </c>
      <c r="C1250" s="1" t="n">
        <v>45628</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45781-2024</t>
        </is>
      </c>
      <c r="B1251" s="1" t="n">
        <v>45579</v>
      </c>
      <c r="C1251" s="1" t="n">
        <v>45628</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45628-2024</t>
        </is>
      </c>
      <c r="B1252" s="1" t="n">
        <v>45579</v>
      </c>
      <c r="C1252" s="1" t="n">
        <v>45628</v>
      </c>
      <c r="D1252" t="inlineStr">
        <is>
          <t>VÄSTERNORRLANDS LÄN</t>
        </is>
      </c>
      <c r="E1252" t="inlineStr">
        <is>
          <t>KRAMFORS</t>
        </is>
      </c>
      <c r="F1252" t="inlineStr">
        <is>
          <t>SCA</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45901-2024</t>
        </is>
      </c>
      <c r="B1253" s="1" t="n">
        <v>45580</v>
      </c>
      <c r="C1253" s="1" t="n">
        <v>45628</v>
      </c>
      <c r="D1253" t="inlineStr">
        <is>
          <t>VÄSTERNORRLANDS LÄN</t>
        </is>
      </c>
      <c r="E1253" t="inlineStr">
        <is>
          <t>KRAMFORS</t>
        </is>
      </c>
      <c r="G1253" t="n">
        <v>27.9</v>
      </c>
      <c r="H1253" t="n">
        <v>0</v>
      </c>
      <c r="I1253" t="n">
        <v>0</v>
      </c>
      <c r="J1253" t="n">
        <v>0</v>
      </c>
      <c r="K1253" t="n">
        <v>0</v>
      </c>
      <c r="L1253" t="n">
        <v>0</v>
      </c>
      <c r="M1253" t="n">
        <v>0</v>
      </c>
      <c r="N1253" t="n">
        <v>0</v>
      </c>
      <c r="O1253" t="n">
        <v>0</v>
      </c>
      <c r="P1253" t="n">
        <v>0</v>
      </c>
      <c r="Q1253" t="n">
        <v>0</v>
      </c>
      <c r="R1253" s="2" t="inlineStr"/>
    </row>
    <row r="1254" ht="15" customHeight="1">
      <c r="A1254" t="inlineStr">
        <is>
          <t>A 45989-2024</t>
        </is>
      </c>
      <c r="B1254" s="1" t="n">
        <v>45580</v>
      </c>
      <c r="C1254" s="1" t="n">
        <v>45628</v>
      </c>
      <c r="D1254" t="inlineStr">
        <is>
          <t>VÄSTERNORRLANDS LÄN</t>
        </is>
      </c>
      <c r="E1254" t="inlineStr">
        <is>
          <t>KRAMFORS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47523-2024</t>
        </is>
      </c>
      <c r="B1255" s="1" t="n">
        <v>45587</v>
      </c>
      <c r="C1255" s="1" t="n">
        <v>45628</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47652-2024</t>
        </is>
      </c>
      <c r="B1256" s="1" t="n">
        <v>45588</v>
      </c>
      <c r="C1256" s="1" t="n">
        <v>45628</v>
      </c>
      <c r="D1256" t="inlineStr">
        <is>
          <t>VÄSTERNORRLANDS LÄN</t>
        </is>
      </c>
      <c r="E1256" t="inlineStr">
        <is>
          <t>KRAMFORS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47675-2024</t>
        </is>
      </c>
      <c r="B1257" s="1" t="n">
        <v>45588</v>
      </c>
      <c r="C1257" s="1" t="n">
        <v>45628</v>
      </c>
      <c r="D1257" t="inlineStr">
        <is>
          <t>VÄSTERNORRLANDS LÄN</t>
        </is>
      </c>
      <c r="E1257" t="inlineStr">
        <is>
          <t>KRAMFORS</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47667-2024</t>
        </is>
      </c>
      <c r="B1258" s="1" t="n">
        <v>45588</v>
      </c>
      <c r="C1258" s="1" t="n">
        <v>45628</v>
      </c>
      <c r="D1258" t="inlineStr">
        <is>
          <t>VÄSTERNORRLANDS LÄN</t>
        </is>
      </c>
      <c r="E1258" t="inlineStr">
        <is>
          <t>KRAMFORS</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47659-2024</t>
        </is>
      </c>
      <c r="B1259" s="1" t="n">
        <v>45588</v>
      </c>
      <c r="C1259" s="1" t="n">
        <v>45628</v>
      </c>
      <c r="D1259" t="inlineStr">
        <is>
          <t>VÄSTERNORRLANDS LÄN</t>
        </is>
      </c>
      <c r="E1259" t="inlineStr">
        <is>
          <t>KRAMFORS</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47673-2024</t>
        </is>
      </c>
      <c r="B1260" s="1" t="n">
        <v>45588</v>
      </c>
      <c r="C1260" s="1" t="n">
        <v>45628</v>
      </c>
      <c r="D1260" t="inlineStr">
        <is>
          <t>VÄSTERNORRLANDS LÄN</t>
        </is>
      </c>
      <c r="E1260" t="inlineStr">
        <is>
          <t>KRAMFORS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48127-2024</t>
        </is>
      </c>
      <c r="B1261" s="1" t="n">
        <v>45589</v>
      </c>
      <c r="C1261" s="1" t="n">
        <v>45628</v>
      </c>
      <c r="D1261" t="inlineStr">
        <is>
          <t>VÄSTERNORRLANDS LÄN</t>
        </is>
      </c>
      <c r="E1261" t="inlineStr">
        <is>
          <t>KRAMFORS</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47966-2024</t>
        </is>
      </c>
      <c r="B1262" s="1" t="n">
        <v>45589</v>
      </c>
      <c r="C1262" s="1" t="n">
        <v>45628</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48588-2024</t>
        </is>
      </c>
      <c r="B1263" s="1" t="n">
        <v>45593</v>
      </c>
      <c r="C1263" s="1" t="n">
        <v>45628</v>
      </c>
      <c r="D1263" t="inlineStr">
        <is>
          <t>VÄSTERNORRLANDS LÄN</t>
        </is>
      </c>
      <c r="E1263" t="inlineStr">
        <is>
          <t>KRAMFORS</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48583-2024</t>
        </is>
      </c>
      <c r="B1264" s="1" t="n">
        <v>45593</v>
      </c>
      <c r="C1264" s="1" t="n">
        <v>45628</v>
      </c>
      <c r="D1264" t="inlineStr">
        <is>
          <t>VÄSTERNORRLANDS LÄN</t>
        </is>
      </c>
      <c r="E1264" t="inlineStr">
        <is>
          <t>KRAMFORS</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48824-2024</t>
        </is>
      </c>
      <c r="B1265" s="1" t="n">
        <v>45593</v>
      </c>
      <c r="C1265" s="1" t="n">
        <v>45628</v>
      </c>
      <c r="D1265" t="inlineStr">
        <is>
          <t>VÄSTERNORRLANDS LÄN</t>
        </is>
      </c>
      <c r="E1265" t="inlineStr">
        <is>
          <t>KRAMFORS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48914-2024</t>
        </is>
      </c>
      <c r="B1266" s="1" t="n">
        <v>45594</v>
      </c>
      <c r="C1266" s="1" t="n">
        <v>45628</v>
      </c>
      <c r="D1266" t="inlineStr">
        <is>
          <t>VÄSTERNORRLANDS LÄN</t>
        </is>
      </c>
      <c r="E1266" t="inlineStr">
        <is>
          <t>KRAMFORS</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51103-2024</t>
        </is>
      </c>
      <c r="B1267" s="1" t="n">
        <v>45603</v>
      </c>
      <c r="C1267" s="1" t="n">
        <v>45628</v>
      </c>
      <c r="D1267" t="inlineStr">
        <is>
          <t>VÄSTERNORRLANDS LÄN</t>
        </is>
      </c>
      <c r="E1267" t="inlineStr">
        <is>
          <t>KRAMFORS</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51501-2024</t>
        </is>
      </c>
      <c r="B1268" s="1" t="n">
        <v>45604</v>
      </c>
      <c r="C1268" s="1" t="n">
        <v>45628</v>
      </c>
      <c r="D1268" t="inlineStr">
        <is>
          <t>VÄSTERNORRLANDS LÄN</t>
        </is>
      </c>
      <c r="E1268" t="inlineStr">
        <is>
          <t>KRAMFORS</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51844-2024</t>
        </is>
      </c>
      <c r="B1269" s="1" t="n">
        <v>45607</v>
      </c>
      <c r="C1269" s="1" t="n">
        <v>45628</v>
      </c>
      <c r="D1269" t="inlineStr">
        <is>
          <t>VÄSTERNORRLANDS LÄN</t>
        </is>
      </c>
      <c r="E1269" t="inlineStr">
        <is>
          <t>KRAMFORS</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45628</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45628</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52135-2024</t>
        </is>
      </c>
      <c r="B1272" s="1" t="n">
        <v>45608</v>
      </c>
      <c r="C1272" s="1" t="n">
        <v>45628</v>
      </c>
      <c r="D1272" t="inlineStr">
        <is>
          <t>VÄSTERNORRLANDS LÄN</t>
        </is>
      </c>
      <c r="E1272" t="inlineStr">
        <is>
          <t>KRAMFORS</t>
        </is>
      </c>
      <c r="G1272" t="n">
        <v>15.1</v>
      </c>
      <c r="H1272" t="n">
        <v>0</v>
      </c>
      <c r="I1272" t="n">
        <v>0</v>
      </c>
      <c r="J1272" t="n">
        <v>0</v>
      </c>
      <c r="K1272" t="n">
        <v>0</v>
      </c>
      <c r="L1272" t="n">
        <v>0</v>
      </c>
      <c r="M1272" t="n">
        <v>0</v>
      </c>
      <c r="N1272" t="n">
        <v>0</v>
      </c>
      <c r="O1272" t="n">
        <v>0</v>
      </c>
      <c r="P1272" t="n">
        <v>0</v>
      </c>
      <c r="Q1272" t="n">
        <v>0</v>
      </c>
      <c r="R1272" s="2" t="inlineStr"/>
    </row>
    <row r="1273" ht="15" customHeight="1">
      <c r="A1273" t="inlineStr">
        <is>
          <t>A 52272-2024</t>
        </is>
      </c>
      <c r="B1273" s="1" t="n">
        <v>45608</v>
      </c>
      <c r="C1273" s="1" t="n">
        <v>45628</v>
      </c>
      <c r="D1273" t="inlineStr">
        <is>
          <t>VÄSTERNORRLANDS LÄN</t>
        </is>
      </c>
      <c r="E1273" t="inlineStr">
        <is>
          <t>KRAMFORS</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52465-2024</t>
        </is>
      </c>
      <c r="B1274" s="1" t="n">
        <v>45609</v>
      </c>
      <c r="C1274" s="1" t="n">
        <v>45628</v>
      </c>
      <c r="D1274" t="inlineStr">
        <is>
          <t>VÄSTERNORRLANDS LÄN</t>
        </is>
      </c>
      <c r="E1274" t="inlineStr">
        <is>
          <t>KRAMFORS</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52977-2024</t>
        </is>
      </c>
      <c r="B1275" s="1" t="n">
        <v>45611</v>
      </c>
      <c r="C1275" s="1" t="n">
        <v>45628</v>
      </c>
      <c r="D1275" t="inlineStr">
        <is>
          <t>VÄSTERNORRLANDS LÄN</t>
        </is>
      </c>
      <c r="E1275" t="inlineStr">
        <is>
          <t>KRAMFORS</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45628</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45628</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45628</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53685-2024</t>
        </is>
      </c>
      <c r="B1279" s="1" t="n">
        <v>45615</v>
      </c>
      <c r="C1279" s="1" t="n">
        <v>45628</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45628</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45628</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54045-2024</t>
        </is>
      </c>
      <c r="B1282" s="1" t="n">
        <v>45616</v>
      </c>
      <c r="C1282" s="1" t="n">
        <v>45628</v>
      </c>
      <c r="D1282" t="inlineStr">
        <is>
          <t>VÄSTERNORRLANDS LÄN</t>
        </is>
      </c>
      <c r="E1282" t="inlineStr">
        <is>
          <t>KRAMFORS</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45628</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54388-2024</t>
        </is>
      </c>
      <c r="B1284" s="1" t="n">
        <v>45617</v>
      </c>
      <c r="C1284" s="1" t="n">
        <v>45628</v>
      </c>
      <c r="D1284" t="inlineStr">
        <is>
          <t>VÄSTERNORRLANDS LÄN</t>
        </is>
      </c>
      <c r="E1284" t="inlineStr">
        <is>
          <t>KRAMFORS</t>
        </is>
      </c>
      <c r="G1284" t="n">
        <v>21.6</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45628</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45628</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54362-2024</t>
        </is>
      </c>
      <c r="B1287" s="1" t="n">
        <v>45617</v>
      </c>
      <c r="C1287" s="1" t="n">
        <v>45628</v>
      </c>
      <c r="D1287" t="inlineStr">
        <is>
          <t>VÄSTERNORRLANDS LÄN</t>
        </is>
      </c>
      <c r="E1287" t="inlineStr">
        <is>
          <t>KRAMFORS</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45628</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45628</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54672-2024</t>
        </is>
      </c>
      <c r="B1290" s="1" t="n">
        <v>45618</v>
      </c>
      <c r="C1290" s="1" t="n">
        <v>45628</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54737-2024</t>
        </is>
      </c>
      <c r="B1291" s="1" t="n">
        <v>45618</v>
      </c>
      <c r="C1291" s="1" t="n">
        <v>45628</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45628</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54908-2024</t>
        </is>
      </c>
      <c r="B1293" s="1" t="n">
        <v>45618</v>
      </c>
      <c r="C1293" s="1" t="n">
        <v>45628</v>
      </c>
      <c r="D1293" t="inlineStr">
        <is>
          <t>VÄSTERNORRLANDS LÄN</t>
        </is>
      </c>
      <c r="E1293" t="inlineStr">
        <is>
          <t>KRAMFORS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55789-2024</t>
        </is>
      </c>
      <c r="B1294" s="1" t="n">
        <v>45623</v>
      </c>
      <c r="C1294" s="1" t="n">
        <v>45628</v>
      </c>
      <c r="D1294" t="inlineStr">
        <is>
          <t>VÄSTERNORRLANDS LÄN</t>
        </is>
      </c>
      <c r="E1294" t="inlineStr">
        <is>
          <t>KRAMFORS</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55760-2024</t>
        </is>
      </c>
      <c r="B1295" s="1" t="n">
        <v>45623</v>
      </c>
      <c r="C1295" s="1" t="n">
        <v>45628</v>
      </c>
      <c r="D1295" t="inlineStr">
        <is>
          <t>VÄSTERNORRLANDS LÄN</t>
        </is>
      </c>
      <c r="E1295" t="inlineStr">
        <is>
          <t>KRAMFORS</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55787-2024</t>
        </is>
      </c>
      <c r="B1296" s="1" t="n">
        <v>45623</v>
      </c>
      <c r="C1296" s="1" t="n">
        <v>45628</v>
      </c>
      <c r="D1296" t="inlineStr">
        <is>
          <t>VÄSTERNORRLANDS LÄN</t>
        </is>
      </c>
      <c r="E1296" t="inlineStr">
        <is>
          <t>KRAMFORS</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55923-2024</t>
        </is>
      </c>
      <c r="B1297" s="1" t="n">
        <v>45623</v>
      </c>
      <c r="C1297" s="1" t="n">
        <v>45628</v>
      </c>
      <c r="D1297" t="inlineStr">
        <is>
          <t>VÄSTERNORRLANDS LÄN</t>
        </is>
      </c>
      <c r="E1297" t="inlineStr">
        <is>
          <t>KRAMFORS</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45628</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c r="A1299" t="inlineStr">
        <is>
          <t>A 56416-2024</t>
        </is>
      </c>
      <c r="B1299" s="1" t="n">
        <v>45625</v>
      </c>
      <c r="C1299" s="1" t="n">
        <v>45628</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2024-12-02T14:49:11Z</dcterms:created>
  <dcterms:modified xmlns:dcterms="http://purl.org/dc/terms/" xmlns:xsi="http://www.w3.org/2001/XMLSchema-instance" xsi:type="dcterms:W3CDTF">2024-12-02T14:49:12Z</dcterms:modified>
</cp:coreProperties>
</file>