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46220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46220</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46220</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46220</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Y6">
        <f>HYPERLINK("https://klasma.github.io/Logging_2282/klagomål/A 61873-2025 FSC-klagomål.docx", "A 61873-2025")</f>
        <v/>
      </c>
      <c r="Z6">
        <f>HYPERLINK("https://klasma.github.io/Logging_2282/klagomålsmail/A 61873-2025 FSC-klagomål mail.docx", "A 61873-2025")</f>
        <v/>
      </c>
      <c r="AA6">
        <f>HYPERLINK("https://klasma.github.io/Logging_2282/tillsyn/A 61873-2025 tillsynsbegäran.docx", "A 61873-2025")</f>
        <v/>
      </c>
      <c r="AB6">
        <f>HYPERLINK("https://klasma.github.io/Logging_2282/tillsynsmail/A 61873-2025 tillsynsbegäran mail.docx", "A 61873-2025")</f>
        <v/>
      </c>
      <c r="AC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46220</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HYPERLINK("https://klasma.github.io/Logging_2282/knärot/A 47198-2025 karta knärot.png", "A 47198-2025")</f>
        <v/>
      </c>
      <c r="Y7">
        <f>HYPERLINK("https://klasma.github.io/Logging_2282/klagomål/A 47198-2025 FSC-klagomål.docx", "A 47198-2025")</f>
        <v/>
      </c>
      <c r="Z7">
        <f>HYPERLINK("https://klasma.github.io/Logging_2282/klagomålsmail/A 47198-2025 FSC-klagomål mail.docx", "A 47198-2025")</f>
        <v/>
      </c>
      <c r="AA7">
        <f>HYPERLINK("https://klasma.github.io/Logging_2282/tillsyn/A 47198-2025 tillsynsbegäran.docx", "A 47198-2025")</f>
        <v/>
      </c>
      <c r="AB7">
        <f>HYPERLINK("https://klasma.github.io/Logging_2282/tillsynsmail/A 47198-2025 tillsynsbegäran mail.docx", "A 47198-2025")</f>
        <v/>
      </c>
      <c r="AC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46220</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46220</v>
      </c>
      <c r="F9" t="inlineStr">
        <is>
          <t>VÄSTERNORRLANDS LÄN</t>
        </is>
      </c>
      <c r="G9" t="inlineStr">
        <is>
          <t>KRAMFORS</t>
        </is>
      </c>
      <c r="I9" t="n">
        <v>6.8</v>
      </c>
      <c r="J9" t="n">
        <v>5</v>
      </c>
      <c r="K9" t="n">
        <v>4</v>
      </c>
      <c r="L9" t="n">
        <v>5</v>
      </c>
      <c r="M9" t="n">
        <v>2</v>
      </c>
      <c r="N9" t="n">
        <v>0</v>
      </c>
      <c r="O9" t="n">
        <v>0</v>
      </c>
      <c r="P9" t="n">
        <v>0</v>
      </c>
      <c r="Q9" t="n">
        <v>7</v>
      </c>
      <c r="R9" t="n">
        <v>2</v>
      </c>
      <c r="S9" t="n">
        <v>15</v>
      </c>
      <c r="T9" t="n">
        <v>55</v>
      </c>
      <c r="U9" s="2" t="inlineStr">
        <is>
          <t>Aspgelélav
Garnlav
Kolflarnlav
Mörk kolflarnlav
Rynkskinn
Tretåig hackspett
Ullticka
Korallblylav
Spindelblomster
Stuplav
Vedticka
Ormbär
Spillkråka
Tjäder
Revlummer</t>
        </is>
      </c>
      <c r="V9">
        <f>HYPERLINK("https://klasma.github.io/Logging_2282/artfynd/A 28474-2026 artfynd.xlsx", "A 28474-2026")</f>
        <v/>
      </c>
      <c r="W9">
        <f>HYPERLINK("https://klasma.github.io/Logging_2282/kartor/A 28474-2026 karta.png", "A 28474-2026")</f>
        <v/>
      </c>
      <c r="Y9">
        <f>HYPERLINK("https://klasma.github.io/Logging_2282/klagomål/A 28474-2026 FSC-klagomål.docx", "A 28474-2026")</f>
        <v/>
      </c>
      <c r="Z9">
        <f>HYPERLINK("https://klasma.github.io/Logging_2282/klagomålsmail/A 28474-2026 FSC-klagomål mail.docx", "A 28474-2026")</f>
        <v/>
      </c>
      <c r="AA9">
        <f>HYPERLINK("https://klasma.github.io/Logging_2282/tillsyn/A 28474-2026 tillsynsbegäran.docx", "A 28474-2026")</f>
        <v/>
      </c>
      <c r="AB9">
        <f>HYPERLINK("https://klasma.github.io/Logging_2282/tillsynsmail/A 28474-2026 tillsynsbegäran mail.docx", "A 28474-2026")</f>
        <v/>
      </c>
      <c r="AC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46220</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s="2" t="inlineStr">
        <is>
          <t>Aspgelélav
Garnlav
Knärot
Kötticka
Lunglav
Skogshare
Tretåig hackspett
Ullticka
Korallblylav
Vedticka
Blåsippa
Gråspett
Spillkråka
Lopplummer (aggregat)
Revlummer</t>
        </is>
      </c>
      <c r="V10">
        <f>HYPERLINK("https://klasma.github.io/Logging_2282/artfynd/A 13423-2026 artfynd.xlsx", "A 13423-2026")</f>
        <v/>
      </c>
      <c r="W10">
        <f>HYPERLINK("https://klasma.github.io/Logging_2282/kartor/A 13423-2026 karta.png", "A 13423-2026")</f>
        <v/>
      </c>
      <c r="X10">
        <f>HYPERLINK("https://klasma.github.io/Logging_2282/knärot/A 13423-2026 karta knärot.png", "A 13423-2026")</f>
        <v/>
      </c>
      <c r="Y10">
        <f>HYPERLINK("https://klasma.github.io/Logging_2282/klagomål/A 13423-2026 FSC-klagomål.docx", "A 13423-2026")</f>
        <v/>
      </c>
      <c r="Z10">
        <f>HYPERLINK("https://klasma.github.io/Logging_2282/klagomålsmail/A 13423-2026 FSC-klagomål mail.docx", "A 13423-2026")</f>
        <v/>
      </c>
      <c r="AA10">
        <f>HYPERLINK("https://klasma.github.io/Logging_2282/tillsyn/A 13423-2026 tillsynsbegäran.docx", "A 13423-2026")</f>
        <v/>
      </c>
      <c r="AB10">
        <f>HYPERLINK("https://klasma.github.io/Logging_2282/tillsynsmail/A 13423-2026 tillsynsbegäran mail.docx", "A 13423-2026")</f>
        <v/>
      </c>
      <c r="AC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46220</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46220</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46220</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22044-2026 artfynd.xlsx", "A 22044-2026")</f>
        <v/>
      </c>
      <c r="W13">
        <f>HYPERLINK("https://klasma.github.io/Logging_2282/kartor/A 22044-2026 karta.png", "A 22044-2026")</f>
        <v/>
      </c>
      <c r="X13">
        <f>HYPERLINK("https://klasma.github.io/Logging_2282/knärot/A 22044-2026 karta knärot.png", "A 22044-2026")</f>
        <v/>
      </c>
      <c r="Y13">
        <f>HYPERLINK("https://klasma.github.io/Logging_2282/klagomål/A 22044-2026 FSC-klagomål.docx", "A 22044-2026")</f>
        <v/>
      </c>
      <c r="Z13">
        <f>HYPERLINK("https://klasma.github.io/Logging_2282/klagomålsmail/A 22044-2026 FSC-klagomål mail.docx", "A 22044-2026")</f>
        <v/>
      </c>
      <c r="AA13">
        <f>HYPERLINK("https://klasma.github.io/Logging_2282/tillsyn/A 22044-2026 tillsynsbegäran.docx", "A 22044-2026")</f>
        <v/>
      </c>
      <c r="AB13">
        <f>HYPERLINK("https://klasma.github.io/Logging_2282/tillsynsmail/A 22044-2026 tillsynsbegäran mail.docx", "A 22044-2026")</f>
        <v/>
      </c>
      <c r="AC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46220</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28276-2026 artfynd.xlsx", "A 28276-2026")</f>
        <v/>
      </c>
      <c r="W14">
        <f>HYPERLINK("https://klasma.github.io/Logging_2282/kartor/A 28276-2026 karta.png", "A 28276-2026")</f>
        <v/>
      </c>
      <c r="X14">
        <f>HYPERLINK("https://klasma.github.io/Logging_2282/knärot/A 28276-2026 karta knärot.png", "A 28276-2026")</f>
        <v/>
      </c>
      <c r="Y14">
        <f>HYPERLINK("https://klasma.github.io/Logging_2282/klagomål/A 28276-2026 FSC-klagomål.docx", "A 28276-2026")</f>
        <v/>
      </c>
      <c r="Z14">
        <f>HYPERLINK("https://klasma.github.io/Logging_2282/klagomålsmail/A 28276-2026 FSC-klagomål mail.docx", "A 28276-2026")</f>
        <v/>
      </c>
      <c r="AA14">
        <f>HYPERLINK("https://klasma.github.io/Logging_2282/tillsyn/A 28276-2026 tillsynsbegäran.docx", "A 28276-2026")</f>
        <v/>
      </c>
      <c r="AB14">
        <f>HYPERLINK("https://klasma.github.io/Logging_2282/tillsynsmail/A 28276-2026 tillsynsbegäran mail.docx", "A 28276-2026")</f>
        <v/>
      </c>
      <c r="AC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46220</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Y15">
        <f>HYPERLINK("https://klasma.github.io/Logging_2282/klagomål/A 20804-2026 FSC-klagomål.docx", "A 20804-2026")</f>
        <v/>
      </c>
      <c r="Z15">
        <f>HYPERLINK("https://klasma.github.io/Logging_2282/klagomålsmail/A 20804-2026 FSC-klagomål mail.docx", "A 20804-2026")</f>
        <v/>
      </c>
      <c r="AA15">
        <f>HYPERLINK("https://klasma.github.io/Logging_2282/tillsyn/A 20804-2026 tillsynsbegäran.docx", "A 20804-2026")</f>
        <v/>
      </c>
      <c r="AB15">
        <f>HYPERLINK("https://klasma.github.io/Logging_2282/tillsynsmail/A 20804-2026 tillsynsbegäran mail.docx", "A 20804-2026")</f>
        <v/>
      </c>
      <c r="AC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46220</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s="2" t="inlineStr">
        <is>
          <t>Garnlav
Lunglav
Rosenticka
Rynkskinn
Tallticka
Tretåig hackspett
Ullticka
Stor aspticka
Spillkråka</t>
        </is>
      </c>
      <c r="V16">
        <f>HYPERLINK("https://klasma.github.io/Logging_2282/artfynd/A 4014-2026 artfynd.xlsx", "A 4014-2026")</f>
        <v/>
      </c>
      <c r="W16">
        <f>HYPERLINK("https://klasma.github.io/Logging_2282/kartor/A 4014-2026 karta.png", "A 4014-2026")</f>
        <v/>
      </c>
      <c r="Y16">
        <f>HYPERLINK("https://klasma.github.io/Logging_2282/klagomål/A 4014-2026 FSC-klagomål.docx", "A 4014-2026")</f>
        <v/>
      </c>
      <c r="Z16">
        <f>HYPERLINK("https://klasma.github.io/Logging_2282/klagomålsmail/A 4014-2026 FSC-klagomål mail.docx", "A 4014-2026")</f>
        <v/>
      </c>
      <c r="AA16">
        <f>HYPERLINK("https://klasma.github.io/Logging_2282/tillsyn/A 4014-2026 tillsynsbegäran.docx", "A 4014-2026")</f>
        <v/>
      </c>
      <c r="AB16">
        <f>HYPERLINK("https://klasma.github.io/Logging_2282/tillsynsmail/A 4014-2026 tillsynsbegäran mail.docx", "A 4014-2026")</f>
        <v/>
      </c>
      <c r="AC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46220</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s="2" t="inlineStr">
        <is>
          <t>Garnlav
Gränsticka
Lunglav
Skrovellav
Tretåig hackspett
Stuplav
Vedticka
Spillkråka
Revlummer</t>
        </is>
      </c>
      <c r="V17">
        <f>HYPERLINK("https://klasma.github.io/Logging_2282/artfynd/A 23744-2026 artfynd.xlsx", "A 23744-2026")</f>
        <v/>
      </c>
      <c r="W17">
        <f>HYPERLINK("https://klasma.github.io/Logging_2282/kartor/A 23744-2026 karta.png", "A 23744-2026")</f>
        <v/>
      </c>
      <c r="Y17">
        <f>HYPERLINK("https://klasma.github.io/Logging_2282/klagomål/A 23744-2026 FSC-klagomål.docx", "A 23744-2026")</f>
        <v/>
      </c>
      <c r="Z17">
        <f>HYPERLINK("https://klasma.github.io/Logging_2282/klagomålsmail/A 23744-2026 FSC-klagomål mail.docx", "A 23744-2026")</f>
        <v/>
      </c>
      <c r="AA17">
        <f>HYPERLINK("https://klasma.github.io/Logging_2282/tillsyn/A 23744-2026 tillsynsbegäran.docx", "A 23744-2026")</f>
        <v/>
      </c>
      <c r="AB17">
        <f>HYPERLINK("https://klasma.github.io/Logging_2282/tillsynsmail/A 23744-2026 tillsynsbegäran mail.docx", "A 23744-2026")</f>
        <v/>
      </c>
      <c r="AC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46220</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28537-2026 artfynd.xlsx", "A 28537-2026")</f>
        <v/>
      </c>
      <c r="W18">
        <f>HYPERLINK("https://klasma.github.io/Logging_2282/kartor/A 28537-2026 karta.png", "A 28537-2026")</f>
        <v/>
      </c>
      <c r="Y18">
        <f>HYPERLINK("https://klasma.github.io/Logging_2282/klagomål/A 28537-2026 FSC-klagomål.docx", "A 28537-2026")</f>
        <v/>
      </c>
      <c r="Z18">
        <f>HYPERLINK("https://klasma.github.io/Logging_2282/klagomålsmail/A 28537-2026 FSC-klagomål mail.docx", "A 28537-2026")</f>
        <v/>
      </c>
      <c r="AA18">
        <f>HYPERLINK("https://klasma.github.io/Logging_2282/tillsyn/A 28537-2026 tillsynsbegäran.docx", "A 28537-2026")</f>
        <v/>
      </c>
      <c r="AB18">
        <f>HYPERLINK("https://klasma.github.io/Logging_2282/tillsynsmail/A 28537-2026 tillsynsbegäran mail.docx", "A 28537-2026")</f>
        <v/>
      </c>
      <c r="AC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46220</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s="2" t="inlineStr">
        <is>
          <t>Drillsnäppa
Gulsparv
Ägretthäger
Havsörn
Kråka
Sävsparv
Trana
Ärtsångare</t>
        </is>
      </c>
      <c r="V19">
        <f>HYPERLINK("https://klasma.github.io/Logging_2282/artfynd/A 20450-2023 artfynd.xlsx", "A 20450-2023")</f>
        <v/>
      </c>
      <c r="W19">
        <f>HYPERLINK("https://klasma.github.io/Logging_2282/kartor/A 20450-2023 karta.png", "A 20450-2023")</f>
        <v/>
      </c>
      <c r="Y19">
        <f>HYPERLINK("https://klasma.github.io/Logging_2282/klagomål/A 20450-2023 FSC-klagomål.docx", "A 20450-2023")</f>
        <v/>
      </c>
      <c r="Z19">
        <f>HYPERLINK("https://klasma.github.io/Logging_2282/klagomålsmail/A 20450-2023 FSC-klagomål mail.docx", "A 20450-2023")</f>
        <v/>
      </c>
      <c r="AA19">
        <f>HYPERLINK("https://klasma.github.io/Logging_2282/tillsyn/A 20450-2023 tillsynsbegäran.docx", "A 20450-2023")</f>
        <v/>
      </c>
      <c r="AB19">
        <f>HYPERLINK("https://klasma.github.io/Logging_2282/tillsynsmail/A 20450-2023 tillsynsbegäran mail.docx", "A 20450-2023")</f>
        <v/>
      </c>
      <c r="AC19">
        <f>HYPERLINK("https://klasma.github.io/Logging_2282/fåglar/A 20450-2023 prioriterade fågelarter.docx", "A 20450-2023")</f>
        <v/>
      </c>
    </row>
    <row r="20" ht="15" customHeight="1">
      <c r="A20" t="inlineStr">
        <is>
          <t>A 26086-2026</t>
        </is>
      </c>
      <c r="B20" t="inlineStr">
        <is>
          <t>avverkningsanmälan</t>
        </is>
      </c>
      <c r="C20" t="inlineStr">
        <is>
          <t>Föryngringsavverkning</t>
        </is>
      </c>
      <c r="D20" s="1" t="n">
        <v>46181</v>
      </c>
      <c r="E20" s="1" t="n">
        <v>46220</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s="2" t="inlineStr">
        <is>
          <t>Garnlav
Knärot
Rosenticka
Rynkskinn
Tretåig hackspett
Ullticka
Vedticka
Revlummer</t>
        </is>
      </c>
      <c r="V20">
        <f>HYPERLINK("https://klasma.github.io/Logging_2282/artfynd/A 26086-2026 artfynd.xlsx", "A 26086-2026")</f>
        <v/>
      </c>
      <c r="W20">
        <f>HYPERLINK("https://klasma.github.io/Logging_2282/kartor/A 26086-2026 karta.png", "A 26086-2026")</f>
        <v/>
      </c>
      <c r="X20">
        <f>HYPERLINK("https://klasma.github.io/Logging_2282/knärot/A 26086-2026 karta knärot.png", "A 26086-2026")</f>
        <v/>
      </c>
      <c r="Y20">
        <f>HYPERLINK("https://klasma.github.io/Logging_2282/klagomål/A 26086-2026 FSC-klagomål.docx", "A 26086-2026")</f>
        <v/>
      </c>
      <c r="Z20">
        <f>HYPERLINK("https://klasma.github.io/Logging_2282/klagomålsmail/A 26086-2026 FSC-klagomål mail.docx", "A 26086-2026")</f>
        <v/>
      </c>
      <c r="AA20">
        <f>HYPERLINK("https://klasma.github.io/Logging_2282/tillsyn/A 26086-2026 tillsynsbegäran.docx", "A 26086-2026")</f>
        <v/>
      </c>
      <c r="AB20">
        <f>HYPERLINK("https://klasma.github.io/Logging_2282/tillsynsmail/A 26086-2026 tillsynsbegäran mail.docx", "A 26086-2026")</f>
        <v/>
      </c>
      <c r="AC20">
        <f>HYPERLINK("https://klasma.github.io/Logging_2282/fåglar/A 26086-2026 prioriterade fågelarter.docx", "A 26086-2026")</f>
        <v/>
      </c>
    </row>
    <row r="21" ht="15" customHeight="1">
      <c r="A21" t="inlineStr">
        <is>
          <t>A 61754-2025</t>
        </is>
      </c>
      <c r="B21" t="inlineStr">
        <is>
          <t>avverkningsanmälan</t>
        </is>
      </c>
      <c r="C21" t="inlineStr">
        <is>
          <t>Föryngringsavverkning</t>
        </is>
      </c>
      <c r="D21" s="1" t="n">
        <v>46002</v>
      </c>
      <c r="E21" s="1" t="n">
        <v>46220</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s="2" t="inlineStr">
        <is>
          <t>Garnlav
Rosenticka
Talltita
Tretåig hackspett
Ullticka
Korallblylav
Vedticka
Spillkråka</t>
        </is>
      </c>
      <c r="V21">
        <f>HYPERLINK("https://klasma.github.io/Logging_2282/artfynd/A 61754-2025 artfynd.xlsx", "A 61754-2025")</f>
        <v/>
      </c>
      <c r="W21">
        <f>HYPERLINK("https://klasma.github.io/Logging_2282/kartor/A 61754-2025 karta.png", "A 61754-2025")</f>
        <v/>
      </c>
      <c r="Y21">
        <f>HYPERLINK("https://klasma.github.io/Logging_2282/klagomål/A 61754-2025 FSC-klagomål.docx", "A 61754-2025")</f>
        <v/>
      </c>
      <c r="Z21">
        <f>HYPERLINK("https://klasma.github.io/Logging_2282/klagomålsmail/A 61754-2025 FSC-klagomål mail.docx", "A 61754-2025")</f>
        <v/>
      </c>
      <c r="AA21">
        <f>HYPERLINK("https://klasma.github.io/Logging_2282/tillsyn/A 61754-2025 tillsynsbegäran.docx", "A 61754-2025")</f>
        <v/>
      </c>
      <c r="AB21">
        <f>HYPERLINK("https://klasma.github.io/Logging_2282/tillsynsmail/A 61754-2025 tillsynsbegäran mail.docx", "A 61754-2025")</f>
        <v/>
      </c>
      <c r="AC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46220</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s="2" t="inlineStr">
        <is>
          <t>Garnlav
Gammelgransskål
Kattfotslav
Lunglav
Ullticka
Korallblylav
Skinnlav
Fläcknycklar</t>
        </is>
      </c>
      <c r="V22">
        <f>HYPERLINK("https://klasma.github.io/Logging_2282/artfynd/A 29486-2026 artfynd.xlsx", "A 29486-2026")</f>
        <v/>
      </c>
      <c r="W22">
        <f>HYPERLINK("https://klasma.github.io/Logging_2282/kartor/A 29486-2026 karta.png", "A 29486-2026")</f>
        <v/>
      </c>
      <c r="Y22">
        <f>HYPERLINK("https://klasma.github.io/Logging_2282/klagomål/A 29486-2026 FSC-klagomål.docx", "A 29486-2026")</f>
        <v/>
      </c>
      <c r="Z22">
        <f>HYPERLINK("https://klasma.github.io/Logging_2282/klagomålsmail/A 29486-2026 FSC-klagomål mail.docx", "A 29486-2026")</f>
        <v/>
      </c>
      <c r="AA22">
        <f>HYPERLINK("https://klasma.github.io/Logging_2282/tillsyn/A 29486-2026 tillsynsbegäran.docx", "A 29486-2026")</f>
        <v/>
      </c>
      <c r="AB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46220</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s="2" t="inlineStr">
        <is>
          <t>Garnlav
Ringlav
Orange taggsvamp
Tallticka
Talltita
Spillkråka
Tjäder
Fläcknycklar</t>
        </is>
      </c>
      <c r="V23">
        <f>HYPERLINK("https://klasma.github.io/Logging_2282/artfynd/A 32160-2024 artfynd.xlsx", "A 32160-2024")</f>
        <v/>
      </c>
      <c r="W23">
        <f>HYPERLINK("https://klasma.github.io/Logging_2282/kartor/A 32160-2024 karta.png", "A 32160-2024")</f>
        <v/>
      </c>
      <c r="Y23">
        <f>HYPERLINK("https://klasma.github.io/Logging_2282/klagomål/A 32160-2024 FSC-klagomål.docx", "A 32160-2024")</f>
        <v/>
      </c>
      <c r="Z23">
        <f>HYPERLINK("https://klasma.github.io/Logging_2282/klagomålsmail/A 32160-2024 FSC-klagomål mail.docx", "A 32160-2024")</f>
        <v/>
      </c>
      <c r="AA23">
        <f>HYPERLINK("https://klasma.github.io/Logging_2282/tillsyn/A 32160-2024 tillsynsbegäran.docx", "A 32160-2024")</f>
        <v/>
      </c>
      <c r="AB23">
        <f>HYPERLINK("https://klasma.github.io/Logging_2282/tillsynsmail/A 32160-2024 tillsynsbegäran mail.docx", "A 32160-2024")</f>
        <v/>
      </c>
      <c r="AC23">
        <f>HYPERLINK("https://klasma.github.io/Logging_2282/fåglar/A 32160-2024 prioriterade fågelarter.docx", "A 32160-2024")</f>
        <v/>
      </c>
    </row>
    <row r="24" ht="15" customHeight="1">
      <c r="A24" t="inlineStr">
        <is>
          <t>A 23749-2026</t>
        </is>
      </c>
      <c r="B24" t="inlineStr">
        <is>
          <t>avverkningsanmälan</t>
        </is>
      </c>
      <c r="C24" t="inlineStr">
        <is>
          <t>Föryngringsavverkning</t>
        </is>
      </c>
      <c r="D24" s="1" t="n">
        <v>46164</v>
      </c>
      <c r="E24" s="1" t="n">
        <v>46220</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s="2" t="inlineStr">
        <is>
          <t>Garnlav
Gränsticka
Lunglav
Tretåig hackspett
Stuplav
Vedticka
Revlummer</t>
        </is>
      </c>
      <c r="V24">
        <f>HYPERLINK("https://klasma.github.io/Logging_2282/artfynd/A 23749-2026 artfynd.xlsx", "A 23749-2026")</f>
        <v/>
      </c>
      <c r="W24">
        <f>HYPERLINK("https://klasma.github.io/Logging_2282/kartor/A 23749-2026 karta.png", "A 23749-2026")</f>
        <v/>
      </c>
      <c r="Y24">
        <f>HYPERLINK("https://klasma.github.io/Logging_2282/klagomål/A 23749-2026 FSC-klagomål.docx", "A 23749-2026")</f>
        <v/>
      </c>
      <c r="Z24">
        <f>HYPERLINK("https://klasma.github.io/Logging_2282/klagomålsmail/A 23749-2026 FSC-klagomål mail.docx", "A 23749-2026")</f>
        <v/>
      </c>
      <c r="AA24">
        <f>HYPERLINK("https://klasma.github.io/Logging_2282/tillsyn/A 23749-2026 tillsynsbegäran.docx", "A 23749-2026")</f>
        <v/>
      </c>
      <c r="AB24">
        <f>HYPERLINK("https://klasma.github.io/Logging_2282/tillsynsmail/A 23749-2026 tillsynsbegäran mail.docx", "A 23749-2026")</f>
        <v/>
      </c>
      <c r="AC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46220</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28305-2026 artfynd.xlsx", "A 28305-2026")</f>
        <v/>
      </c>
      <c r="W25">
        <f>HYPERLINK("https://klasma.github.io/Logging_2282/kartor/A 28305-2026 karta.png", "A 28305-2026")</f>
        <v/>
      </c>
      <c r="Y25">
        <f>HYPERLINK("https://klasma.github.io/Logging_2282/klagomål/A 28305-2026 FSC-klagomål.docx", "A 28305-2026")</f>
        <v/>
      </c>
      <c r="Z25">
        <f>HYPERLINK("https://klasma.github.io/Logging_2282/klagomålsmail/A 28305-2026 FSC-klagomål mail.docx", "A 28305-2026")</f>
        <v/>
      </c>
      <c r="AA25">
        <f>HYPERLINK("https://klasma.github.io/Logging_2282/tillsyn/A 28305-2026 tillsynsbegäran.docx", "A 28305-2026")</f>
        <v/>
      </c>
      <c r="AB25">
        <f>HYPERLINK("https://klasma.github.io/Logging_2282/tillsynsmail/A 28305-2026 tillsynsbegäran mail.docx", "A 28305-2026")</f>
        <v/>
      </c>
      <c r="AC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46220</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s="2" t="inlineStr">
        <is>
          <t>Garnlav
Lunglav
Ullticka
Vedticka
Blåsippa
Spillkråka</t>
        </is>
      </c>
      <c r="V26">
        <f>HYPERLINK("https://klasma.github.io/Logging_2282/artfynd/A 20315-2026 artfynd.xlsx", "A 20315-2026")</f>
        <v/>
      </c>
      <c r="W26">
        <f>HYPERLINK("https://klasma.github.io/Logging_2282/kartor/A 20315-2026 karta.png", "A 20315-2026")</f>
        <v/>
      </c>
      <c r="Y26">
        <f>HYPERLINK("https://klasma.github.io/Logging_2282/klagomål/A 20315-2026 FSC-klagomål.docx", "A 20315-2026")</f>
        <v/>
      </c>
      <c r="Z26">
        <f>HYPERLINK("https://klasma.github.io/Logging_2282/klagomålsmail/A 20315-2026 FSC-klagomål mail.docx", "A 20315-2026")</f>
        <v/>
      </c>
      <c r="AA26">
        <f>HYPERLINK("https://klasma.github.io/Logging_2282/tillsyn/A 20315-2026 tillsynsbegäran.docx", "A 20315-2026")</f>
        <v/>
      </c>
      <c r="AB26">
        <f>HYPERLINK("https://klasma.github.io/Logging_2282/tillsynsmail/A 20315-2026 tillsynsbegäran mail.docx", "A 20315-2026")</f>
        <v/>
      </c>
      <c r="AC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46220</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Y27">
        <f>HYPERLINK("https://klasma.github.io/Logging_2282/klagomål/A 11037-2025 FSC-klagomål.docx", "A 11037-2025")</f>
        <v/>
      </c>
      <c r="Z27">
        <f>HYPERLINK("https://klasma.github.io/Logging_2282/klagomålsmail/A 11037-2025 FSC-klagomål mail.docx", "A 11037-2025")</f>
        <v/>
      </c>
      <c r="AA27">
        <f>HYPERLINK("https://klasma.github.io/Logging_2282/tillsyn/A 11037-2025 tillsynsbegäran.docx", "A 11037-2025")</f>
        <v/>
      </c>
      <c r="AB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46220</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s="2" t="inlineStr">
        <is>
          <t>Garnlav
Kötticka
Lunglav
Ullticka
Spillkråka
Revlummer</t>
        </is>
      </c>
      <c r="V28">
        <f>HYPERLINK("https://klasma.github.io/Logging_2282/artfynd/A 22117-2026 artfynd.xlsx", "A 22117-2026")</f>
        <v/>
      </c>
      <c r="W28">
        <f>HYPERLINK("https://klasma.github.io/Logging_2282/kartor/A 22117-2026 karta.png", "A 22117-2026")</f>
        <v/>
      </c>
      <c r="Y28">
        <f>HYPERLINK("https://klasma.github.io/Logging_2282/klagomål/A 22117-2026 FSC-klagomål.docx", "A 22117-2026")</f>
        <v/>
      </c>
      <c r="Z28">
        <f>HYPERLINK("https://klasma.github.io/Logging_2282/klagomålsmail/A 22117-2026 FSC-klagomål mail.docx", "A 22117-2026")</f>
        <v/>
      </c>
      <c r="AA28">
        <f>HYPERLINK("https://klasma.github.io/Logging_2282/tillsyn/A 22117-2026 tillsynsbegäran.docx", "A 22117-2026")</f>
        <v/>
      </c>
      <c r="AB28">
        <f>HYPERLINK("https://klasma.github.io/Logging_2282/tillsynsmail/A 22117-2026 tillsynsbegäran mail.docx", "A 22117-2026")</f>
        <v/>
      </c>
      <c r="AC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46220</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s="2" t="inlineStr">
        <is>
          <t>Garnlav
Talltita
Tretåig hackspett
Vedticka
Spillkråka</t>
        </is>
      </c>
      <c r="V29">
        <f>HYPERLINK("https://klasma.github.io/Logging_2282/artfynd/A 22382-2022 artfynd.xlsx", "A 22382-2022")</f>
        <v/>
      </c>
      <c r="W29">
        <f>HYPERLINK("https://klasma.github.io/Logging_2282/kartor/A 22382-2022 karta.png", "A 22382-2022")</f>
        <v/>
      </c>
      <c r="Y29">
        <f>HYPERLINK("https://klasma.github.io/Logging_2282/klagomål/A 22382-2022 FSC-klagomål.docx", "A 22382-2022")</f>
        <v/>
      </c>
      <c r="Z29">
        <f>HYPERLINK("https://klasma.github.io/Logging_2282/klagomålsmail/A 22382-2022 FSC-klagomål mail.docx", "A 22382-2022")</f>
        <v/>
      </c>
      <c r="AA29">
        <f>HYPERLINK("https://klasma.github.io/Logging_2282/tillsyn/A 22382-2022 tillsynsbegäran.docx", "A 22382-2022")</f>
        <v/>
      </c>
      <c r="AB29">
        <f>HYPERLINK("https://klasma.github.io/Logging_2282/tillsynsmail/A 22382-2022 tillsynsbegäran mail.docx", "A 22382-2022")</f>
        <v/>
      </c>
      <c r="AC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46220</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s="2" t="inlineStr">
        <is>
          <t>Garnlav
Gammelgransskål
Rosenticka
Ullticka
Svavelriska</t>
        </is>
      </c>
      <c r="V30">
        <f>HYPERLINK("https://klasma.github.io/Logging_2282/artfynd/A 28159-2025 artfynd.xlsx", "A 28159-2025")</f>
        <v/>
      </c>
      <c r="W30">
        <f>HYPERLINK("https://klasma.github.io/Logging_2282/kartor/A 28159-2025 karta.png", "A 28159-2025")</f>
        <v/>
      </c>
      <c r="Y30">
        <f>HYPERLINK("https://klasma.github.io/Logging_2282/klagomål/A 28159-2025 FSC-klagomål.docx", "A 28159-2025")</f>
        <v/>
      </c>
      <c r="Z30">
        <f>HYPERLINK("https://klasma.github.io/Logging_2282/klagomålsmail/A 28159-2025 FSC-klagomål mail.docx", "A 28159-2025")</f>
        <v/>
      </c>
      <c r="AA30">
        <f>HYPERLINK("https://klasma.github.io/Logging_2282/tillsyn/A 28159-2025 tillsynsbegäran.docx", "A 28159-2025")</f>
        <v/>
      </c>
      <c r="AB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46220</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s="2" t="inlineStr">
        <is>
          <t>Doftskinn
Motaggsvamp
Vedflamlav
Stor aspticka
Vedticka</t>
        </is>
      </c>
      <c r="V31">
        <f>HYPERLINK("https://klasma.github.io/Logging_2282/artfynd/A 55845-2025 artfynd.xlsx", "A 55845-2025")</f>
        <v/>
      </c>
      <c r="W31">
        <f>HYPERLINK("https://klasma.github.io/Logging_2282/kartor/A 55845-2025 karta.png", "A 55845-2025")</f>
        <v/>
      </c>
      <c r="Y31">
        <f>HYPERLINK("https://klasma.github.io/Logging_2282/klagomål/A 55845-2025 FSC-klagomål.docx", "A 55845-2025")</f>
        <v/>
      </c>
      <c r="Z31">
        <f>HYPERLINK("https://klasma.github.io/Logging_2282/klagomålsmail/A 55845-2025 FSC-klagomål mail.docx", "A 55845-2025")</f>
        <v/>
      </c>
      <c r="AA31">
        <f>HYPERLINK("https://klasma.github.io/Logging_2282/tillsyn/A 55845-2025 tillsynsbegäran.docx", "A 55845-2025")</f>
        <v/>
      </c>
      <c r="AB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s="2" t="inlineStr">
        <is>
          <t>Knärot
Ulltickeporing
Rosenticka
Rynkskinn
Ullticka</t>
        </is>
      </c>
      <c r="V32">
        <f>HYPERLINK("https://klasma.github.io/Logging_2282/artfynd/A 58523-2025 artfynd.xlsx", "A 58523-2025")</f>
        <v/>
      </c>
      <c r="W32">
        <f>HYPERLINK("https://klasma.github.io/Logging_2282/kartor/A 58523-2025 karta.png", "A 58523-2025")</f>
        <v/>
      </c>
      <c r="X32">
        <f>HYPERLINK("https://klasma.github.io/Logging_2282/knärot/A 58523-2025 karta knärot.png", "A 58523-2025")</f>
        <v/>
      </c>
      <c r="Y32">
        <f>HYPERLINK("https://klasma.github.io/Logging_2282/klagomål/A 58523-2025 FSC-klagomål.docx", "A 58523-2025")</f>
        <v/>
      </c>
      <c r="Z32">
        <f>HYPERLINK("https://klasma.github.io/Logging_2282/klagomålsmail/A 58523-2025 FSC-klagomål mail.docx", "A 58523-2025")</f>
        <v/>
      </c>
      <c r="AA32">
        <f>HYPERLINK("https://klasma.github.io/Logging_2282/tillsyn/A 58523-2025 tillsynsbegäran.docx", "A 58523-2025")</f>
        <v/>
      </c>
      <c r="AB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46220</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s="2" t="inlineStr">
        <is>
          <t>Rosenticka
Rynkskinn
Ullticka
Trådticka
Vedticka</t>
        </is>
      </c>
      <c r="V33">
        <f>HYPERLINK("https://klasma.github.io/Logging_2282/artfynd/A 15139-2024 artfynd.xlsx", "A 15139-2024")</f>
        <v/>
      </c>
      <c r="W33">
        <f>HYPERLINK("https://klasma.github.io/Logging_2282/kartor/A 15139-2024 karta.png", "A 15139-2024")</f>
        <v/>
      </c>
      <c r="Y33">
        <f>HYPERLINK("https://klasma.github.io/Logging_2282/klagomål/A 15139-2024 FSC-klagomål.docx", "A 15139-2024")</f>
        <v/>
      </c>
      <c r="Z33">
        <f>HYPERLINK("https://klasma.github.io/Logging_2282/klagomålsmail/A 15139-2024 FSC-klagomål mail.docx", "A 15139-2024")</f>
        <v/>
      </c>
      <c r="AA33">
        <f>HYPERLINK("https://klasma.github.io/Logging_2282/tillsyn/A 15139-2024 tillsynsbegäran.docx", "A 15139-2024")</f>
        <v/>
      </c>
      <c r="AB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46220</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s="2" t="inlineStr">
        <is>
          <t>Knärot
Ulltickeporing
Rosenticka
Rynkskinn
Ullticka</t>
        </is>
      </c>
      <c r="V34">
        <f>HYPERLINK("https://klasma.github.io/Logging_2282/artfynd/A 22047-2025 artfynd.xlsx", "A 22047-2025")</f>
        <v/>
      </c>
      <c r="W34">
        <f>HYPERLINK("https://klasma.github.io/Logging_2282/kartor/A 22047-2025 karta.png", "A 22047-2025")</f>
        <v/>
      </c>
      <c r="X34">
        <f>HYPERLINK("https://klasma.github.io/Logging_2282/knärot/A 22047-2025 karta knärot.png", "A 22047-2025")</f>
        <v/>
      </c>
      <c r="Y34">
        <f>HYPERLINK("https://klasma.github.io/Logging_2282/klagomål/A 22047-2025 FSC-klagomål.docx", "A 22047-2025")</f>
        <v/>
      </c>
      <c r="Z34">
        <f>HYPERLINK("https://klasma.github.io/Logging_2282/klagomålsmail/A 22047-2025 FSC-klagomål mail.docx", "A 22047-2025")</f>
        <v/>
      </c>
      <c r="AA34">
        <f>HYPERLINK("https://klasma.github.io/Logging_2282/tillsyn/A 22047-2025 tillsynsbegäran.docx", "A 22047-2025")</f>
        <v/>
      </c>
      <c r="AB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46220</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s="2" t="inlineStr">
        <is>
          <t>Garnlav
Dvärgbägarlav
Kolflarnlav
Mörk kolflarnlav
Vedskivlav</t>
        </is>
      </c>
      <c r="V35">
        <f>HYPERLINK("https://klasma.github.io/Logging_2282/artfynd/A 29620-2024 artfynd.xlsx", "A 29620-2024")</f>
        <v/>
      </c>
      <c r="W35">
        <f>HYPERLINK("https://klasma.github.io/Logging_2282/kartor/A 29620-2024 karta.png", "A 29620-2024")</f>
        <v/>
      </c>
      <c r="Y35">
        <f>HYPERLINK("https://klasma.github.io/Logging_2282/klagomål/A 29620-2024 FSC-klagomål.docx", "A 29620-2024")</f>
        <v/>
      </c>
      <c r="Z35">
        <f>HYPERLINK("https://klasma.github.io/Logging_2282/klagomålsmail/A 29620-2024 FSC-klagomål mail.docx", "A 29620-2024")</f>
        <v/>
      </c>
      <c r="AA35">
        <f>HYPERLINK("https://klasma.github.io/Logging_2282/tillsyn/A 29620-2024 tillsynsbegäran.docx", "A 29620-2024")</f>
        <v/>
      </c>
      <c r="AB35">
        <f>HYPERLINK("https://klasma.github.io/Logging_2282/tillsynsmail/A 29620-2024 tillsynsbegäran mail.docx", "A 29620-2024")</f>
        <v/>
      </c>
    </row>
    <row r="36" ht="15" customHeight="1">
      <c r="A36" t="inlineStr">
        <is>
          <t>A 67478-2021</t>
        </is>
      </c>
      <c r="B36" t="inlineStr">
        <is>
          <t>avverkningsanmälan</t>
        </is>
      </c>
      <c r="C36" t="inlineStr">
        <is>
          <t>Föryngringsavverkning</t>
        </is>
      </c>
      <c r="D36" s="1" t="n">
        <v>44524</v>
      </c>
      <c r="E36" s="1" t="n">
        <v>46220</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s="2" t="inlineStr">
        <is>
          <t>Aspfjädermossa
Ullticka
Vitfläckig guldvinge
Rävticka</t>
        </is>
      </c>
      <c r="V36">
        <f>HYPERLINK("https://klasma.github.io/Logging_2282/artfynd/A 67478-2021 artfynd.xlsx", "A 67478-2021")</f>
        <v/>
      </c>
      <c r="W36">
        <f>HYPERLINK("https://klasma.github.io/Logging_2282/kartor/A 67478-2021 karta.png", "A 67478-2021")</f>
        <v/>
      </c>
      <c r="Y36">
        <f>HYPERLINK("https://klasma.github.io/Logging_2282/klagomål/A 67478-2021 FSC-klagomål.docx", "A 67478-2021")</f>
        <v/>
      </c>
      <c r="Z36">
        <f>HYPERLINK("https://klasma.github.io/Logging_2282/klagomålsmail/A 67478-2021 FSC-klagomål mail.docx", "A 67478-2021")</f>
        <v/>
      </c>
      <c r="AA36">
        <f>HYPERLINK("https://klasma.github.io/Logging_2282/tillsyn/A 67478-2021 tillsynsbegäran.docx", "A 67478-2021")</f>
        <v/>
      </c>
      <c r="AB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46220</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s="2" t="inlineStr">
        <is>
          <t>Lunglav
Tretåig hackspett
Ullticka
Korallblylav</t>
        </is>
      </c>
      <c r="V37">
        <f>HYPERLINK("https://klasma.github.io/Logging_2282/artfynd/A 56289-2025 artfynd.xlsx", "A 56289-2025")</f>
        <v/>
      </c>
      <c r="W37">
        <f>HYPERLINK("https://klasma.github.io/Logging_2282/kartor/A 56289-2025 karta.png", "A 56289-2025")</f>
        <v/>
      </c>
      <c r="Y37">
        <f>HYPERLINK("https://klasma.github.io/Logging_2282/klagomål/A 56289-2025 FSC-klagomål.docx", "A 56289-2025")</f>
        <v/>
      </c>
      <c r="Z37">
        <f>HYPERLINK("https://klasma.github.io/Logging_2282/klagomålsmail/A 56289-2025 FSC-klagomål mail.docx", "A 56289-2025")</f>
        <v/>
      </c>
      <c r="AA37">
        <f>HYPERLINK("https://klasma.github.io/Logging_2282/tillsyn/A 56289-2025 tillsynsbegäran.docx", "A 56289-2025")</f>
        <v/>
      </c>
      <c r="AB37">
        <f>HYPERLINK("https://klasma.github.io/Logging_2282/tillsynsmail/A 56289-2025 tillsynsbegäran mail.docx", "A 56289-2025")</f>
        <v/>
      </c>
      <c r="AC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46220</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s="2" t="inlineStr">
        <is>
          <t>Garnlav
Rosenticka
Ullticka
Violettgrå tagellav</t>
        </is>
      </c>
      <c r="V38">
        <f>HYPERLINK("https://klasma.github.io/Logging_2282/artfynd/A 602-2025 artfynd.xlsx", "A 602-2025")</f>
        <v/>
      </c>
      <c r="W38">
        <f>HYPERLINK("https://klasma.github.io/Logging_2282/kartor/A 602-2025 karta.png", "A 602-2025")</f>
        <v/>
      </c>
      <c r="Y38">
        <f>HYPERLINK("https://klasma.github.io/Logging_2282/klagomål/A 602-2025 FSC-klagomål.docx", "A 602-2025")</f>
        <v/>
      </c>
      <c r="Z38">
        <f>HYPERLINK("https://klasma.github.io/Logging_2282/klagomålsmail/A 602-2025 FSC-klagomål mail.docx", "A 602-2025")</f>
        <v/>
      </c>
      <c r="AA38">
        <f>HYPERLINK("https://klasma.github.io/Logging_2282/tillsyn/A 602-2025 tillsynsbegäran.docx", "A 602-2025")</f>
        <v/>
      </c>
      <c r="AB38">
        <f>HYPERLINK("https://klasma.github.io/Logging_2282/tillsynsmail/A 602-2025 tillsynsbegäran mail.docx", "A 602-2025")</f>
        <v/>
      </c>
    </row>
    <row r="39" ht="15" customHeight="1">
      <c r="A39" t="inlineStr">
        <is>
          <t>A 22660-2024</t>
        </is>
      </c>
      <c r="B39" t="inlineStr">
        <is>
          <t>avverkningsanmälan</t>
        </is>
      </c>
      <c r="C39" t="inlineStr">
        <is>
          <t>Föryngringsavverkning</t>
        </is>
      </c>
      <c r="D39" s="1" t="n">
        <v>45447</v>
      </c>
      <c r="E39" s="1" t="n">
        <v>46220</v>
      </c>
      <c r="F39" t="inlineStr">
        <is>
          <t>VÄSTERNORRLANDS LÄN</t>
        </is>
      </c>
      <c r="G39" t="inlineStr">
        <is>
          <t>KRAMFORS</t>
        </is>
      </c>
      <c r="H39" t="inlineStr">
        <is>
          <t>SCA</t>
        </is>
      </c>
      <c r="I39" t="n">
        <v>9.800000000000001</v>
      </c>
      <c r="J39" t="n">
        <v>1</v>
      </c>
      <c r="K39" t="n">
        <v>2</v>
      </c>
      <c r="L39" t="n">
        <v>2</v>
      </c>
      <c r="M39" t="n">
        <v>0</v>
      </c>
      <c r="N39" t="n">
        <v>0</v>
      </c>
      <c r="O39" t="n">
        <v>0</v>
      </c>
      <c r="P39" t="n">
        <v>0</v>
      </c>
      <c r="Q39" t="n">
        <v>2</v>
      </c>
      <c r="R39" t="n">
        <v>0</v>
      </c>
      <c r="S39" t="n">
        <v>4</v>
      </c>
      <c r="T39" t="n">
        <v>5</v>
      </c>
      <c r="U39" s="2" t="inlineStr">
        <is>
          <t>Lavskrika
Lunglav
Luddlav
Stor aspticka</t>
        </is>
      </c>
      <c r="V39">
        <f>HYPERLINK("https://klasma.github.io/Logging_2282/artfynd/A 22660-2024 artfynd.xlsx", "A 22660-2024")</f>
        <v/>
      </c>
      <c r="W39">
        <f>HYPERLINK("https://klasma.github.io/Logging_2282/kartor/A 22660-2024 karta.png", "A 22660-2024")</f>
        <v/>
      </c>
      <c r="Y39">
        <f>HYPERLINK("https://klasma.github.io/Logging_2282/klagomål/A 22660-2024 FSC-klagomål.docx", "A 22660-2024")</f>
        <v/>
      </c>
      <c r="Z39">
        <f>HYPERLINK("https://klasma.github.io/Logging_2282/klagomålsmail/A 22660-2024 FSC-klagomål mail.docx", "A 22660-2024")</f>
        <v/>
      </c>
      <c r="AA39">
        <f>HYPERLINK("https://klasma.github.io/Logging_2282/tillsyn/A 22660-2024 tillsynsbegäran.docx", "A 22660-2024")</f>
        <v/>
      </c>
      <c r="AB39">
        <f>HYPERLINK("https://klasma.github.io/Logging_2282/tillsynsmail/A 22660-2024 tillsynsbegäran mail.docx", "A 22660-2024")</f>
        <v/>
      </c>
      <c r="AC39">
        <f>HYPERLINK("https://klasma.github.io/Logging_2282/fåglar/A 22660-2024 prioriterade fågelarter.docx", "A 22660-2024")</f>
        <v/>
      </c>
    </row>
    <row r="40" ht="15" customHeight="1">
      <c r="A40" t="inlineStr">
        <is>
          <t>A 23904-2026</t>
        </is>
      </c>
      <c r="B40" t="inlineStr">
        <is>
          <t>avverkningsanmälan</t>
        </is>
      </c>
      <c r="C40" t="inlineStr">
        <is>
          <t>Föryngringsavverkning</t>
        </is>
      </c>
      <c r="D40" s="1" t="n">
        <v>46167</v>
      </c>
      <c r="E40" s="1" t="n">
        <v>46220</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46220</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s="2" t="inlineStr">
        <is>
          <t>Topplåsbräken
Höstlåsbräken
Månlåsbräken
Nordlåsbräken</t>
        </is>
      </c>
      <c r="V41">
        <f>HYPERLINK("https://klasma.github.io/Logging_2282/artfynd/S 832-2025 artfynd.xlsx", "S 832-2025")</f>
        <v/>
      </c>
      <c r="W41">
        <f>HYPERLINK("https://klasma.github.io/Logging_2282/kartor/S 832-2025 karta.png", "S 832-2025")</f>
        <v/>
      </c>
      <c r="Y41">
        <f>HYPERLINK("https://klasma.github.io/Logging_2282/klagomål/S 832-2025 FSC-klagomål.docx", "S 832-2025")</f>
        <v/>
      </c>
      <c r="Z41">
        <f>HYPERLINK("https://klasma.github.io/Logging_2282/klagomålsmail/S 832-2025 FSC-klagomål mail.docx", "S 832-2025")</f>
        <v/>
      </c>
      <c r="AA41">
        <f>HYPERLINK("https://klasma.github.io/Logging_2282/tillsyn/S 832-2025 tillsynsbegäran.docx", "S 832-2025")</f>
        <v/>
      </c>
      <c r="AB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46220</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s="2" t="inlineStr">
        <is>
          <t>Garnlav
Rosenticka
Veckticka
Skinnlav</t>
        </is>
      </c>
      <c r="V42">
        <f>HYPERLINK("https://klasma.github.io/Logging_2282/artfynd/S 3449-2025 artfynd.xlsx", "S 3449-2025")</f>
        <v/>
      </c>
      <c r="W42">
        <f>HYPERLINK("https://klasma.github.io/Logging_2282/kartor/S 3449-2025 karta.png", "S 3449-2025")</f>
        <v/>
      </c>
      <c r="Y42">
        <f>HYPERLINK("https://klasma.github.io/Logging_2282/klagomål/S 3449-2025 FSC-klagomål.docx", "S 3449-2025")</f>
        <v/>
      </c>
      <c r="Z42">
        <f>HYPERLINK("https://klasma.github.io/Logging_2282/klagomålsmail/S 3449-2025 FSC-klagomål mail.docx", "S 3449-2025")</f>
        <v/>
      </c>
      <c r="AA42">
        <f>HYPERLINK("https://klasma.github.io/Logging_2282/tillsyn/S 3449-2025 tillsynsbegäran.docx", "S 3449-2025")</f>
        <v/>
      </c>
      <c r="AB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46220</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s="2" t="inlineStr">
        <is>
          <t>Garnlav
Spillkråka
Tjäder</t>
        </is>
      </c>
      <c r="V43">
        <f>HYPERLINK("https://klasma.github.io/Logging_2282/artfynd/A 11299-2022 artfynd.xlsx", "A 11299-2022")</f>
        <v/>
      </c>
      <c r="W43">
        <f>HYPERLINK("https://klasma.github.io/Logging_2282/kartor/A 11299-2022 karta.png", "A 11299-2022")</f>
        <v/>
      </c>
      <c r="Y43">
        <f>HYPERLINK("https://klasma.github.io/Logging_2282/klagomål/A 11299-2022 FSC-klagomål.docx", "A 11299-2022")</f>
        <v/>
      </c>
      <c r="Z43">
        <f>HYPERLINK("https://klasma.github.io/Logging_2282/klagomålsmail/A 11299-2022 FSC-klagomål mail.docx", "A 11299-2022")</f>
        <v/>
      </c>
      <c r="AA43">
        <f>HYPERLINK("https://klasma.github.io/Logging_2282/tillsyn/A 11299-2022 tillsynsbegäran.docx", "A 11299-2022")</f>
        <v/>
      </c>
      <c r="AB43">
        <f>HYPERLINK("https://klasma.github.io/Logging_2282/tillsynsmail/A 11299-2022 tillsynsbegäran mail.docx", "A 11299-2022")</f>
        <v/>
      </c>
      <c r="AC43">
        <f>HYPERLINK("https://klasma.github.io/Logging_2282/fåglar/A 11299-2022 prioriterade fågelarter.docx", "A 11299-2022")</f>
        <v/>
      </c>
    </row>
    <row r="44" ht="15" customHeight="1">
      <c r="A44" t="inlineStr">
        <is>
          <t>A 535-2026</t>
        </is>
      </c>
      <c r="B44" t="inlineStr">
        <is>
          <t>avverkningsanmälan</t>
        </is>
      </c>
      <c r="C44" t="inlineStr">
        <is>
          <t>Föryngringsavverkning</t>
        </is>
      </c>
      <c r="D44" s="1" t="n">
        <v>46029</v>
      </c>
      <c r="E44" s="1" t="n">
        <v>46220</v>
      </c>
      <c r="F44" t="inlineStr">
        <is>
          <t>VÄSTERNORRLANDS LÄN</t>
        </is>
      </c>
      <c r="G44" t="inlineStr">
        <is>
          <t>KRAMFORS</t>
        </is>
      </c>
      <c r="I44" t="n">
        <v>29.2</v>
      </c>
      <c r="J44" t="n">
        <v>0</v>
      </c>
      <c r="K44" t="n">
        <v>2</v>
      </c>
      <c r="L44" t="n">
        <v>1</v>
      </c>
      <c r="M44" t="n">
        <v>0</v>
      </c>
      <c r="N44" t="n">
        <v>0</v>
      </c>
      <c r="O44" t="n">
        <v>0</v>
      </c>
      <c r="P44" t="n">
        <v>0</v>
      </c>
      <c r="Q44" t="n">
        <v>1</v>
      </c>
      <c r="R44" t="n">
        <v>0</v>
      </c>
      <c r="S44" t="n">
        <v>3</v>
      </c>
      <c r="T44" t="n">
        <v>3</v>
      </c>
      <c r="U44" s="2" t="inlineStr">
        <is>
          <t>Lunglav
Korallblylav
Vedticka</t>
        </is>
      </c>
      <c r="V44">
        <f>HYPERLINK("https://klasma.github.io/Logging_2282/artfynd/A 535-2026 artfynd.xlsx", "A 535-2026")</f>
        <v/>
      </c>
      <c r="W44">
        <f>HYPERLINK("https://klasma.github.io/Logging_2282/kartor/A 535-2026 karta.png", "A 535-2026")</f>
        <v/>
      </c>
      <c r="Y44">
        <f>HYPERLINK("https://klasma.github.io/Logging_2282/klagomål/A 535-2026 FSC-klagomål.docx", "A 535-2026")</f>
        <v/>
      </c>
      <c r="Z44">
        <f>HYPERLINK("https://klasma.github.io/Logging_2282/klagomålsmail/A 535-2026 FSC-klagomål mail.docx", "A 535-2026")</f>
        <v/>
      </c>
      <c r="AA44">
        <f>HYPERLINK("https://klasma.github.io/Logging_2282/tillsyn/A 535-2026 tillsynsbegäran.docx", "A 535-2026")</f>
        <v/>
      </c>
      <c r="AB44">
        <f>HYPERLINK("https://klasma.github.io/Logging_2282/tillsynsmail/A 535-2026 tillsynsbegäran mail.docx", "A 535-2026")</f>
        <v/>
      </c>
    </row>
    <row r="45" ht="15" customHeight="1">
      <c r="A45" t="inlineStr">
        <is>
          <t>A 28158-2025</t>
        </is>
      </c>
      <c r="B45" t="inlineStr">
        <is>
          <t>avverkningsanmälan</t>
        </is>
      </c>
      <c r="C45" t="inlineStr">
        <is>
          <t>Föryngringsavverkning</t>
        </is>
      </c>
      <c r="D45" s="1" t="n">
        <v>45818</v>
      </c>
      <c r="E45" s="1" t="n">
        <v>46220</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s="2" t="inlineStr">
        <is>
          <t>Lunglav
Ullticka
Vedticka</t>
        </is>
      </c>
      <c r="V45">
        <f>HYPERLINK("https://klasma.github.io/Logging_2282/artfynd/A 28158-2025 artfynd.xlsx", "A 28158-2025")</f>
        <v/>
      </c>
      <c r="W45">
        <f>HYPERLINK("https://klasma.github.io/Logging_2282/kartor/A 28158-2025 karta.png", "A 28158-2025")</f>
        <v/>
      </c>
      <c r="Y45">
        <f>HYPERLINK("https://klasma.github.io/Logging_2282/klagomål/A 28158-2025 FSC-klagomål.docx", "A 28158-2025")</f>
        <v/>
      </c>
      <c r="Z45">
        <f>HYPERLINK("https://klasma.github.io/Logging_2282/klagomålsmail/A 28158-2025 FSC-klagomål mail.docx", "A 28158-2025")</f>
        <v/>
      </c>
      <c r="AA45">
        <f>HYPERLINK("https://klasma.github.io/Logging_2282/tillsyn/A 28158-2025 tillsynsbegäran.docx", "A 28158-2025")</f>
        <v/>
      </c>
      <c r="AB45">
        <f>HYPERLINK("https://klasma.github.io/Logging_2282/tillsynsmail/A 28158-2025 tillsynsbegäran mail.docx", "A 28158-2025")</f>
        <v/>
      </c>
    </row>
    <row r="46" ht="15" customHeight="1">
      <c r="A46" t="inlineStr">
        <is>
          <t>A 18655-2025</t>
        </is>
      </c>
      <c r="B46" t="inlineStr">
        <is>
          <t>avverkningsanmälan</t>
        </is>
      </c>
      <c r="C46" t="inlineStr">
        <is>
          <t>Föryngringsavverkning</t>
        </is>
      </c>
      <c r="D46" s="1" t="n">
        <v>45763</v>
      </c>
      <c r="E46" s="1" t="n">
        <v>46220</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s="2" t="inlineStr">
        <is>
          <t>Fransfladdermus
Nordfladdermus
Vattenfladdermus</t>
        </is>
      </c>
      <c r="V46">
        <f>HYPERLINK("https://klasma.github.io/Logging_2282/artfynd/A 18655-2025 artfynd.xlsx", "A 18655-2025")</f>
        <v/>
      </c>
      <c r="W46">
        <f>HYPERLINK("https://klasma.github.io/Logging_2282/kartor/A 18655-2025 karta.png", "A 18655-2025")</f>
        <v/>
      </c>
      <c r="Y46">
        <f>HYPERLINK("https://klasma.github.io/Logging_2282/klagomål/A 18655-2025 FSC-klagomål.docx", "A 18655-2025")</f>
        <v/>
      </c>
      <c r="Z46">
        <f>HYPERLINK("https://klasma.github.io/Logging_2282/klagomålsmail/A 18655-2025 FSC-klagomål mail.docx", "A 18655-2025")</f>
        <v/>
      </c>
      <c r="AA46">
        <f>HYPERLINK("https://klasma.github.io/Logging_2282/tillsyn/A 18655-2025 tillsynsbegäran.docx", "A 18655-2025")</f>
        <v/>
      </c>
      <c r="AB46">
        <f>HYPERLINK("https://klasma.github.io/Logging_2282/tillsynsmail/A 18655-2025 tillsynsbegäran mail.docx", "A 18655-2025")</f>
        <v/>
      </c>
    </row>
    <row r="47" ht="15" customHeight="1">
      <c r="A47" t="inlineStr">
        <is>
          <t>A 52937-2025</t>
        </is>
      </c>
      <c r="B47" t="inlineStr">
        <is>
          <t>avverkningsanmälan</t>
        </is>
      </c>
      <c r="C47" t="inlineStr">
        <is>
          <t>Föryngringsavverkning</t>
        </is>
      </c>
      <c r="D47" s="1" t="n">
        <v>45957</v>
      </c>
      <c r="E47" s="1" t="n">
        <v>46220</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s="2" t="inlineStr">
        <is>
          <t>Garnlav
Kortskaftad ärgspik
Vedflamlav</t>
        </is>
      </c>
      <c r="V47">
        <f>HYPERLINK("https://klasma.github.io/Logging_2282/artfynd/A 52937-2025 artfynd.xlsx", "A 52937-2025")</f>
        <v/>
      </c>
      <c r="W47">
        <f>HYPERLINK("https://klasma.github.io/Logging_2282/kartor/A 52937-2025 karta.png", "A 52937-2025")</f>
        <v/>
      </c>
      <c r="Y47">
        <f>HYPERLINK("https://klasma.github.io/Logging_2282/klagomål/A 52937-2025 FSC-klagomål.docx", "A 52937-2025")</f>
        <v/>
      </c>
      <c r="Z47">
        <f>HYPERLINK("https://klasma.github.io/Logging_2282/klagomålsmail/A 52937-2025 FSC-klagomål mail.docx", "A 52937-2025")</f>
        <v/>
      </c>
      <c r="AA47">
        <f>HYPERLINK("https://klasma.github.io/Logging_2282/tillsyn/A 52937-2025 tillsynsbegäran.docx", "A 52937-2025")</f>
        <v/>
      </c>
      <c r="AB47">
        <f>HYPERLINK("https://klasma.github.io/Logging_2282/tillsynsmail/A 52937-2025 tillsynsbegäran mail.docx", "A 52937-2025")</f>
        <v/>
      </c>
    </row>
    <row r="48" ht="15" customHeight="1">
      <c r="A48" t="inlineStr">
        <is>
          <t>A 4524-2026</t>
        </is>
      </c>
      <c r="B48" t="inlineStr">
        <is>
          <t>avverkningsanmälan</t>
        </is>
      </c>
      <c r="C48" t="inlineStr">
        <is>
          <t>Föryngringsavverkning</t>
        </is>
      </c>
      <c r="D48" s="1" t="n">
        <v>46046</v>
      </c>
      <c r="E48" s="1" t="n">
        <v>46220</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s="2" t="inlineStr">
        <is>
          <t>Garnlav
Ullticka
Spillkråka</t>
        </is>
      </c>
      <c r="V48">
        <f>HYPERLINK("https://klasma.github.io/Logging_2282/artfynd/A 4524-2026 artfynd.xlsx", "A 4524-2026")</f>
        <v/>
      </c>
      <c r="W48">
        <f>HYPERLINK("https://klasma.github.io/Logging_2282/kartor/A 4524-2026 karta.png", "A 4524-2026")</f>
        <v/>
      </c>
      <c r="Y48">
        <f>HYPERLINK("https://klasma.github.io/Logging_2282/klagomål/A 4524-2026 FSC-klagomål.docx", "A 4524-2026")</f>
        <v/>
      </c>
      <c r="Z48">
        <f>HYPERLINK("https://klasma.github.io/Logging_2282/klagomålsmail/A 4524-2026 FSC-klagomål mail.docx", "A 4524-2026")</f>
        <v/>
      </c>
      <c r="AA48">
        <f>HYPERLINK("https://klasma.github.io/Logging_2282/tillsyn/A 4524-2026 tillsynsbegäran.docx", "A 4524-2026")</f>
        <v/>
      </c>
      <c r="AB48">
        <f>HYPERLINK("https://klasma.github.io/Logging_2282/tillsynsmail/A 4524-2026 tillsynsbegäran mail.docx", "A 4524-2026")</f>
        <v/>
      </c>
      <c r="AC48">
        <f>HYPERLINK("https://klasma.github.io/Logging_2282/fåglar/A 4524-2026 prioriterade fågelarter.docx", "A 4524-2026")</f>
        <v/>
      </c>
    </row>
    <row r="49" ht="15" customHeight="1">
      <c r="A49" t="inlineStr">
        <is>
          <t>A 26368-2025</t>
        </is>
      </c>
      <c r="B49" t="inlineStr">
        <is>
          <t>avverkningsanmälan</t>
        </is>
      </c>
      <c r="C49" t="inlineStr">
        <is>
          <t>Föryngringsavverkning</t>
        </is>
      </c>
      <c r="D49" s="1" t="n">
        <v>45806</v>
      </c>
      <c r="E49" s="1" t="n">
        <v>46220</v>
      </c>
      <c r="F49" t="inlineStr">
        <is>
          <t>VÄSTERNORRLANDS LÄN</t>
        </is>
      </c>
      <c r="G49" t="inlineStr">
        <is>
          <t>KRAMFORS</t>
        </is>
      </c>
      <c r="I49" t="n">
        <v>8.199999999999999</v>
      </c>
      <c r="J49" t="n">
        <v>1</v>
      </c>
      <c r="K49" t="n">
        <v>1</v>
      </c>
      <c r="L49" t="n">
        <v>2</v>
      </c>
      <c r="M49" t="n">
        <v>0</v>
      </c>
      <c r="N49" t="n">
        <v>0</v>
      </c>
      <c r="O49" t="n">
        <v>0</v>
      </c>
      <c r="P49" t="n">
        <v>0</v>
      </c>
      <c r="Q49" t="n">
        <v>2</v>
      </c>
      <c r="R49" t="n">
        <v>0</v>
      </c>
      <c r="S49" t="n">
        <v>3</v>
      </c>
      <c r="T49" t="n">
        <v>3</v>
      </c>
      <c r="U49" s="2" t="inlineStr">
        <is>
          <t>Lunglav
Tretåig hackspett
Stor aspticka</t>
        </is>
      </c>
      <c r="V49">
        <f>HYPERLINK("https://klasma.github.io/Logging_2282/artfynd/A 26368-2025 artfynd.xlsx", "A 26368-2025")</f>
        <v/>
      </c>
      <c r="W49">
        <f>HYPERLINK("https://klasma.github.io/Logging_2282/kartor/A 26368-2025 karta.png", "A 26368-2025")</f>
        <v/>
      </c>
      <c r="Y49">
        <f>HYPERLINK("https://klasma.github.io/Logging_2282/klagomål/A 26368-2025 FSC-klagomål.docx", "A 26368-2025")</f>
        <v/>
      </c>
      <c r="Z49">
        <f>HYPERLINK("https://klasma.github.io/Logging_2282/klagomålsmail/A 26368-2025 FSC-klagomål mail.docx", "A 26368-2025")</f>
        <v/>
      </c>
      <c r="AA49">
        <f>HYPERLINK("https://klasma.github.io/Logging_2282/tillsyn/A 26368-2025 tillsynsbegäran.docx", "A 26368-2025")</f>
        <v/>
      </c>
      <c r="AB49">
        <f>HYPERLINK("https://klasma.github.io/Logging_2282/tillsynsmail/A 26368-2025 tillsynsbegäran mail.docx", "A 26368-2025")</f>
        <v/>
      </c>
      <c r="AC49">
        <f>HYPERLINK("https://klasma.github.io/Logging_2282/fåglar/A 26368-2025 prioriterade fågelarter.docx", "A 26368-2025")</f>
        <v/>
      </c>
    </row>
    <row r="50" ht="15" customHeight="1">
      <c r="A50" t="inlineStr">
        <is>
          <t>A 53452-2025</t>
        </is>
      </c>
      <c r="B50" t="inlineStr">
        <is>
          <t>avverkningsanmälan</t>
        </is>
      </c>
      <c r="C50" t="inlineStr">
        <is>
          <t>Föryngringsavverkning</t>
        </is>
      </c>
      <c r="D50" s="1" t="n">
        <v>45959</v>
      </c>
      <c r="E50" s="1" t="n">
        <v>46220</v>
      </c>
      <c r="F50" t="inlineStr">
        <is>
          <t>VÄSTERNORRLANDS LÄN</t>
        </is>
      </c>
      <c r="G50" t="inlineStr">
        <is>
          <t>KRAMFORS</t>
        </is>
      </c>
      <c r="I50" t="n">
        <v>2.6</v>
      </c>
      <c r="J50" t="n">
        <v>1</v>
      </c>
      <c r="K50" t="n">
        <v>2</v>
      </c>
      <c r="L50" t="n">
        <v>0</v>
      </c>
      <c r="M50" t="n">
        <v>0</v>
      </c>
      <c r="N50" t="n">
        <v>0</v>
      </c>
      <c r="O50" t="n">
        <v>0</v>
      </c>
      <c r="P50" t="n">
        <v>0</v>
      </c>
      <c r="Q50" t="n">
        <v>0</v>
      </c>
      <c r="R50" t="n">
        <v>0</v>
      </c>
      <c r="S50" t="n">
        <v>3</v>
      </c>
      <c r="T50" t="n">
        <v>3</v>
      </c>
      <c r="U50" s="2" t="inlineStr">
        <is>
          <t>Mörk husmossa
Stubbspretmossa
Blåsippa</t>
        </is>
      </c>
      <c r="V50">
        <f>HYPERLINK("https://klasma.github.io/Logging_2282/artfynd/A 53452-2025 artfynd.xlsx", "A 53452-2025")</f>
        <v/>
      </c>
      <c r="W50">
        <f>HYPERLINK("https://klasma.github.io/Logging_2282/kartor/A 53452-2025 karta.png", "A 53452-2025")</f>
        <v/>
      </c>
      <c r="Y50">
        <f>HYPERLINK("https://klasma.github.io/Logging_2282/klagomål/A 53452-2025 FSC-klagomål.docx", "A 53452-2025")</f>
        <v/>
      </c>
      <c r="Z50">
        <f>HYPERLINK("https://klasma.github.io/Logging_2282/klagomålsmail/A 53452-2025 FSC-klagomål mail.docx", "A 53452-2025")</f>
        <v/>
      </c>
      <c r="AA50">
        <f>HYPERLINK("https://klasma.github.io/Logging_2282/tillsyn/A 53452-2025 tillsynsbegäran.docx", "A 53452-2025")</f>
        <v/>
      </c>
      <c r="AB50">
        <f>HYPERLINK("https://klasma.github.io/Logging_2282/tillsynsmail/A 53452-2025 tillsynsbegäran mail.docx", "A 53452-2025")</f>
        <v/>
      </c>
    </row>
    <row r="51" ht="15" customHeight="1">
      <c r="A51" t="inlineStr">
        <is>
          <t>A 58292-2025</t>
        </is>
      </c>
      <c r="B51" t="inlineStr">
        <is>
          <t>avverkningsanmälan</t>
        </is>
      </c>
      <c r="C51" t="inlineStr">
        <is>
          <t>Föryngringsavverkning</t>
        </is>
      </c>
      <c r="D51" s="1" t="n">
        <v>45985</v>
      </c>
      <c r="E51" s="1" t="n">
        <v>46220</v>
      </c>
      <c r="F51" t="inlineStr">
        <is>
          <t>VÄSTERNORRLANDS LÄN</t>
        </is>
      </c>
      <c r="G51" t="inlineStr">
        <is>
          <t>KRAMFORS</t>
        </is>
      </c>
      <c r="I51" t="n">
        <v>5.9</v>
      </c>
      <c r="J51" t="n">
        <v>1</v>
      </c>
      <c r="K51" t="n">
        <v>2</v>
      </c>
      <c r="L51" t="n">
        <v>0</v>
      </c>
      <c r="M51" t="n">
        <v>0</v>
      </c>
      <c r="N51" t="n">
        <v>0</v>
      </c>
      <c r="O51" t="n">
        <v>0</v>
      </c>
      <c r="P51" t="n">
        <v>0</v>
      </c>
      <c r="Q51" t="n">
        <v>0</v>
      </c>
      <c r="R51" t="n">
        <v>0</v>
      </c>
      <c r="S51" t="n">
        <v>3</v>
      </c>
      <c r="T51" t="n">
        <v>3</v>
      </c>
      <c r="U51" s="2" t="inlineStr">
        <is>
          <t>Dvärghäxört
Strutbräken
Fläcknycklar</t>
        </is>
      </c>
      <c r="V51">
        <f>HYPERLINK("https://klasma.github.io/Logging_2282/artfynd/A 58292-2025 artfynd.xlsx", "A 58292-2025")</f>
        <v/>
      </c>
      <c r="W51">
        <f>HYPERLINK("https://klasma.github.io/Logging_2282/kartor/A 58292-2025 karta.png", "A 58292-2025")</f>
        <v/>
      </c>
      <c r="Y51">
        <f>HYPERLINK("https://klasma.github.io/Logging_2282/klagomål/A 58292-2025 FSC-klagomål.docx", "A 58292-2025")</f>
        <v/>
      </c>
      <c r="Z51">
        <f>HYPERLINK("https://klasma.github.io/Logging_2282/klagomålsmail/A 58292-2025 FSC-klagomål mail.docx", "A 58292-2025")</f>
        <v/>
      </c>
      <c r="AA51">
        <f>HYPERLINK("https://klasma.github.io/Logging_2282/tillsyn/A 58292-2025 tillsynsbegäran.docx", "A 58292-2025")</f>
        <v/>
      </c>
      <c r="AB51">
        <f>HYPERLINK("https://klasma.github.io/Logging_2282/tillsynsmail/A 58292-2025 tillsynsbegäran mail.docx", "A 58292-2025")</f>
        <v/>
      </c>
    </row>
    <row r="52" ht="15" customHeight="1">
      <c r="A52" t="inlineStr">
        <is>
          <t>A 32908-2024</t>
        </is>
      </c>
      <c r="B52" t="inlineStr">
        <is>
          <t>avverkningsanmälan</t>
        </is>
      </c>
      <c r="C52" t="inlineStr">
        <is>
          <t>Föryngringsavverkning</t>
        </is>
      </c>
      <c r="D52" s="1" t="n">
        <v>45516</v>
      </c>
      <c r="E52" s="1" t="n">
        <v>46220</v>
      </c>
      <c r="F52" t="inlineStr">
        <is>
          <t>VÄSTERNORRLANDS LÄN</t>
        </is>
      </c>
      <c r="G52" t="inlineStr">
        <is>
          <t>KRAMFORS</t>
        </is>
      </c>
      <c r="I52" t="n">
        <v>0.7</v>
      </c>
      <c r="J52" t="n">
        <v>0</v>
      </c>
      <c r="K52" t="n">
        <v>0</v>
      </c>
      <c r="L52" t="n">
        <v>1</v>
      </c>
      <c r="M52" t="n">
        <v>2</v>
      </c>
      <c r="N52" t="n">
        <v>0</v>
      </c>
      <c r="O52" t="n">
        <v>0</v>
      </c>
      <c r="P52" t="n">
        <v>0</v>
      </c>
      <c r="Q52" t="n">
        <v>3</v>
      </c>
      <c r="R52" t="n">
        <v>2</v>
      </c>
      <c r="S52" t="n">
        <v>3</v>
      </c>
      <c r="T52" t="n">
        <v>4</v>
      </c>
      <c r="U52" s="2" t="inlineStr">
        <is>
          <t>Aspfjädermossa
Aspgelélav
Lunglav</t>
        </is>
      </c>
      <c r="V52">
        <f>HYPERLINK("https://klasma.github.io/Logging_2282/artfynd/A 32908-2024 artfynd.xlsx", "A 32908-2024")</f>
        <v/>
      </c>
      <c r="W52">
        <f>HYPERLINK("https://klasma.github.io/Logging_2282/kartor/A 32908-2024 karta.png", "A 32908-2024")</f>
        <v/>
      </c>
      <c r="Y52">
        <f>HYPERLINK("https://klasma.github.io/Logging_2282/klagomål/A 32908-2024 FSC-klagomål.docx", "A 32908-2024")</f>
        <v/>
      </c>
      <c r="Z52">
        <f>HYPERLINK("https://klasma.github.io/Logging_2282/klagomålsmail/A 32908-2024 FSC-klagomål mail.docx", "A 32908-2024")</f>
        <v/>
      </c>
      <c r="AA52">
        <f>HYPERLINK("https://klasma.github.io/Logging_2282/tillsyn/A 32908-2024 tillsynsbegäran.docx", "A 32908-2024")</f>
        <v/>
      </c>
      <c r="AB52">
        <f>HYPERLINK("https://klasma.github.io/Logging_2282/tillsynsmail/A 32908-2024 tillsynsbegäran mail.docx", "A 32908-2024")</f>
        <v/>
      </c>
    </row>
    <row r="53" ht="15" customHeight="1">
      <c r="A53" t="inlineStr">
        <is>
          <t>A 64904-2023</t>
        </is>
      </c>
      <c r="B53" t="inlineStr">
        <is>
          <t>avverkningsanmälan</t>
        </is>
      </c>
      <c r="C53" t="inlineStr">
        <is>
          <t>Föryngringsavverkning</t>
        </is>
      </c>
      <c r="D53" s="1" t="n">
        <v>45282</v>
      </c>
      <c r="E53" s="1" t="n">
        <v>46220</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s="2" t="inlineStr">
        <is>
          <t>Ullticka
Strutbräken
Vågbandad barkbock</t>
        </is>
      </c>
      <c r="V53">
        <f>HYPERLINK("https://klasma.github.io/Logging_2282/artfynd/A 64904-2023 artfynd.xlsx", "A 64904-2023")</f>
        <v/>
      </c>
      <c r="W53">
        <f>HYPERLINK("https://klasma.github.io/Logging_2282/kartor/A 64904-2023 karta.png", "A 64904-2023")</f>
        <v/>
      </c>
      <c r="Y53">
        <f>HYPERLINK("https://klasma.github.io/Logging_2282/klagomål/A 64904-2023 FSC-klagomål.docx", "A 64904-2023")</f>
        <v/>
      </c>
      <c r="Z53">
        <f>HYPERLINK("https://klasma.github.io/Logging_2282/klagomålsmail/A 64904-2023 FSC-klagomål mail.docx", "A 64904-2023")</f>
        <v/>
      </c>
      <c r="AA53">
        <f>HYPERLINK("https://klasma.github.io/Logging_2282/tillsyn/A 64904-2023 tillsynsbegäran.docx", "A 64904-2023")</f>
        <v/>
      </c>
      <c r="AB53">
        <f>HYPERLINK("https://klasma.github.io/Logging_2282/tillsynsmail/A 64904-2023 tillsynsbegäran mail.docx", "A 64904-2023")</f>
        <v/>
      </c>
    </row>
    <row r="54" ht="15" customHeight="1">
      <c r="A54" t="inlineStr">
        <is>
          <t>A 38623-2022</t>
        </is>
      </c>
      <c r="B54" t="inlineStr">
        <is>
          <t>avverkningsanmälan</t>
        </is>
      </c>
      <c r="C54" t="inlineStr">
        <is>
          <t>Föryngringsavverkning</t>
        </is>
      </c>
      <c r="D54" s="1" t="n">
        <v>44813</v>
      </c>
      <c r="E54" s="1" t="n">
        <v>46220</v>
      </c>
      <c r="F54" t="inlineStr">
        <is>
          <t>VÄSTERNORRLANDS LÄN</t>
        </is>
      </c>
      <c r="G54" t="inlineStr">
        <is>
          <t>KRAMFORS</t>
        </is>
      </c>
      <c r="I54" t="n">
        <v>78.7</v>
      </c>
      <c r="J54" t="n">
        <v>0</v>
      </c>
      <c r="K54" t="n">
        <v>2</v>
      </c>
      <c r="L54" t="n">
        <v>1</v>
      </c>
      <c r="M54" t="n">
        <v>0</v>
      </c>
      <c r="N54" t="n">
        <v>0</v>
      </c>
      <c r="O54" t="n">
        <v>0</v>
      </c>
      <c r="P54" t="n">
        <v>0</v>
      </c>
      <c r="Q54" t="n">
        <v>1</v>
      </c>
      <c r="R54" t="n">
        <v>0</v>
      </c>
      <c r="S54" t="n">
        <v>3</v>
      </c>
      <c r="T54" t="n">
        <v>3</v>
      </c>
      <c r="U54" s="2" t="inlineStr">
        <is>
          <t>Lunglav
Skinnlav
Svart trolldruva</t>
        </is>
      </c>
      <c r="V54">
        <f>HYPERLINK("https://klasma.github.io/Logging_2282/artfynd/A 38623-2022 artfynd.xlsx", "A 38623-2022")</f>
        <v/>
      </c>
      <c r="W54">
        <f>HYPERLINK("https://klasma.github.io/Logging_2282/kartor/A 38623-2022 karta.png", "A 38623-2022")</f>
        <v/>
      </c>
      <c r="Y54">
        <f>HYPERLINK("https://klasma.github.io/Logging_2282/klagomål/A 38623-2022 FSC-klagomål.docx", "A 38623-2022")</f>
        <v/>
      </c>
      <c r="Z54">
        <f>HYPERLINK("https://klasma.github.io/Logging_2282/klagomålsmail/A 38623-2022 FSC-klagomål mail.docx", "A 38623-2022")</f>
        <v/>
      </c>
      <c r="AA54">
        <f>HYPERLINK("https://klasma.github.io/Logging_2282/tillsyn/A 38623-2022 tillsynsbegäran.docx", "A 38623-2022")</f>
        <v/>
      </c>
      <c r="AB54">
        <f>HYPERLINK("https://klasma.github.io/Logging_2282/tillsynsmail/A 38623-2022 tillsynsbegäran mail.docx", "A 38623-2022")</f>
        <v/>
      </c>
    </row>
    <row r="55" ht="15" customHeight="1">
      <c r="A55" t="inlineStr">
        <is>
          <t>A 28194-2026</t>
        </is>
      </c>
      <c r="B55" t="inlineStr">
        <is>
          <t>avverkningsanmälan</t>
        </is>
      </c>
      <c r="C55" t="inlineStr">
        <is>
          <t>Avverkning för annat ändamål</t>
        </is>
      </c>
      <c r="D55" s="1" t="n">
        <v>46195</v>
      </c>
      <c r="E55" s="1" t="n">
        <v>46220</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s="2" t="inlineStr">
        <is>
          <t>Garnlav
Linnea
Fläcknycklar</t>
        </is>
      </c>
      <c r="V55">
        <f>HYPERLINK("https://klasma.github.io/Logging_2282/artfynd/A 28194-2026 artfynd.xlsx", "A 28194-2026")</f>
        <v/>
      </c>
      <c r="W55">
        <f>HYPERLINK("https://klasma.github.io/Logging_2282/kartor/A 28194-2026 karta.png", "A 28194-2026")</f>
        <v/>
      </c>
      <c r="Y55">
        <f>HYPERLINK("https://klasma.github.io/Logging_2282/klagomål/A 28194-2026 FSC-klagomål.docx", "A 28194-2026")</f>
        <v/>
      </c>
      <c r="Z55">
        <f>HYPERLINK("https://klasma.github.io/Logging_2282/klagomålsmail/A 28194-2026 FSC-klagomål mail.docx", "A 28194-2026")</f>
        <v/>
      </c>
      <c r="AA55">
        <f>HYPERLINK("https://klasma.github.io/Logging_2282/tillsyn/A 28194-2026 tillsynsbegäran.docx", "A 28194-2026")</f>
        <v/>
      </c>
      <c r="AB55">
        <f>HYPERLINK("https://klasma.github.io/Logging_2282/tillsynsmail/A 28194-2026 tillsynsbegäran mail.docx", "A 28194-2026")</f>
        <v/>
      </c>
    </row>
    <row r="56" ht="15" customHeight="1">
      <c r="A56" t="inlineStr">
        <is>
          <t>A 26125-2024</t>
        </is>
      </c>
      <c r="B56" t="inlineStr">
        <is>
          <t>avverkningsanmälan</t>
        </is>
      </c>
      <c r="C56" t="inlineStr">
        <is>
          <t>Föryngringsavverkning</t>
        </is>
      </c>
      <c r="D56" s="1" t="n">
        <v>45468</v>
      </c>
      <c r="E56" s="1" t="n">
        <v>46220</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s="2" t="inlineStr">
        <is>
          <t>Stiftgelélav
Gytterlav</t>
        </is>
      </c>
      <c r="V56">
        <f>HYPERLINK("https://klasma.github.io/Logging_2282/artfynd/A 26125-2024 artfynd.xlsx", "A 26125-2024")</f>
        <v/>
      </c>
      <c r="W56">
        <f>HYPERLINK("https://klasma.github.io/Logging_2282/kartor/A 26125-2024 karta.png", "A 26125-2024")</f>
        <v/>
      </c>
      <c r="Y56">
        <f>HYPERLINK("https://klasma.github.io/Logging_2282/klagomål/A 26125-2024 FSC-klagomål.docx", "A 26125-2024")</f>
        <v/>
      </c>
      <c r="Z56">
        <f>HYPERLINK("https://klasma.github.io/Logging_2282/klagomålsmail/A 26125-2024 FSC-klagomål mail.docx", "A 26125-2024")</f>
        <v/>
      </c>
      <c r="AA56">
        <f>HYPERLINK("https://klasma.github.io/Logging_2282/tillsyn/A 26125-2024 tillsynsbegäran.docx", "A 26125-2024")</f>
        <v/>
      </c>
      <c r="AB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46220</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s="2" t="inlineStr">
        <is>
          <t>Garnlav
Ullticka</t>
        </is>
      </c>
      <c r="V57">
        <f>HYPERLINK("https://klasma.github.io/Logging_2282/artfynd/A 12120-2025 artfynd.xlsx", "A 12120-2025")</f>
        <v/>
      </c>
      <c r="W57">
        <f>HYPERLINK("https://klasma.github.io/Logging_2282/kartor/A 12120-2025 karta.png", "A 12120-2025")</f>
        <v/>
      </c>
      <c r="Y57">
        <f>HYPERLINK("https://klasma.github.io/Logging_2282/klagomål/A 12120-2025 FSC-klagomål.docx", "A 12120-2025")</f>
        <v/>
      </c>
      <c r="Z57">
        <f>HYPERLINK("https://klasma.github.io/Logging_2282/klagomålsmail/A 12120-2025 FSC-klagomål mail.docx", "A 12120-2025")</f>
        <v/>
      </c>
      <c r="AA57">
        <f>HYPERLINK("https://klasma.github.io/Logging_2282/tillsyn/A 12120-2025 tillsynsbegäran.docx", "A 12120-2025")</f>
        <v/>
      </c>
      <c r="AB57">
        <f>HYPERLINK("https://klasma.github.io/Logging_2282/tillsynsmail/A 12120-2025 tillsynsbegäran mail.docx", "A 12120-2025")</f>
        <v/>
      </c>
    </row>
    <row r="58" ht="15" customHeight="1">
      <c r="A58" t="inlineStr">
        <is>
          <t>A 41122-2025</t>
        </is>
      </c>
      <c r="B58" t="inlineStr">
        <is>
          <t>avverkningsanmälan</t>
        </is>
      </c>
      <c r="C58" t="inlineStr">
        <is>
          <t>Föryngringsavverkning</t>
        </is>
      </c>
      <c r="D58" s="1" t="n">
        <v>45898</v>
      </c>
      <c r="E58" s="1" t="n">
        <v>46220</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s="2" t="inlineStr">
        <is>
          <t>Läderdoftande fingersvamp
Nattviol</t>
        </is>
      </c>
      <c r="V58">
        <f>HYPERLINK("https://klasma.github.io/Logging_2282/artfynd/A 41122-2025 artfynd.xlsx", "A 41122-2025")</f>
        <v/>
      </c>
      <c r="W58">
        <f>HYPERLINK("https://klasma.github.io/Logging_2282/kartor/A 41122-2025 karta.png", "A 41122-2025")</f>
        <v/>
      </c>
      <c r="Y58">
        <f>HYPERLINK("https://klasma.github.io/Logging_2282/klagomål/A 41122-2025 FSC-klagomål.docx", "A 41122-2025")</f>
        <v/>
      </c>
      <c r="Z58">
        <f>HYPERLINK("https://klasma.github.io/Logging_2282/klagomålsmail/A 41122-2025 FSC-klagomål mail.docx", "A 41122-2025")</f>
        <v/>
      </c>
      <c r="AA58">
        <f>HYPERLINK("https://klasma.github.io/Logging_2282/tillsyn/A 41122-2025 tillsynsbegäran.docx", "A 41122-2025")</f>
        <v/>
      </c>
      <c r="AB58">
        <f>HYPERLINK("https://klasma.github.io/Logging_2282/tillsynsmail/A 41122-2025 tillsynsbegäran mail.docx", "A 41122-2025")</f>
        <v/>
      </c>
    </row>
    <row r="59" ht="15" customHeight="1">
      <c r="A59" t="inlineStr">
        <is>
          <t>A 41024-2025</t>
        </is>
      </c>
      <c r="B59" t="inlineStr">
        <is>
          <t>avverkningsanmälan</t>
        </is>
      </c>
      <c r="C59" t="inlineStr">
        <is>
          <t>Föryngringsavverkning</t>
        </is>
      </c>
      <c r="D59" s="1" t="n">
        <v>45898</v>
      </c>
      <c r="E59" s="1" t="n">
        <v>46220</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s="2" t="inlineStr">
        <is>
          <t>Stubbspretmossa
Svart trolldruva</t>
        </is>
      </c>
      <c r="V59">
        <f>HYPERLINK("https://klasma.github.io/Logging_2282/artfynd/A 41024-2025 artfynd.xlsx", "A 41024-2025")</f>
        <v/>
      </c>
      <c r="W59">
        <f>HYPERLINK("https://klasma.github.io/Logging_2282/kartor/A 41024-2025 karta.png", "A 41024-2025")</f>
        <v/>
      </c>
      <c r="Y59">
        <f>HYPERLINK("https://klasma.github.io/Logging_2282/klagomål/A 41024-2025 FSC-klagomål.docx", "A 41024-2025")</f>
        <v/>
      </c>
      <c r="Z59">
        <f>HYPERLINK("https://klasma.github.io/Logging_2282/klagomålsmail/A 41024-2025 FSC-klagomål mail.docx", "A 41024-2025")</f>
        <v/>
      </c>
      <c r="AA59">
        <f>HYPERLINK("https://klasma.github.io/Logging_2282/tillsyn/A 41024-2025 tillsynsbegäran.docx", "A 41024-2025")</f>
        <v/>
      </c>
      <c r="AB59">
        <f>HYPERLINK("https://klasma.github.io/Logging_2282/tillsynsmail/A 41024-2025 tillsynsbegäran mail.docx", "A 41024-2025")</f>
        <v/>
      </c>
    </row>
    <row r="60" ht="15" customHeight="1">
      <c r="A60" t="inlineStr">
        <is>
          <t>A 2167-2026</t>
        </is>
      </c>
      <c r="B60" t="inlineStr">
        <is>
          <t>avverkningsanmälan</t>
        </is>
      </c>
      <c r="C60" t="inlineStr">
        <is>
          <t>Föryngringsavverkning</t>
        </is>
      </c>
      <c r="D60" s="1" t="n">
        <v>46036</v>
      </c>
      <c r="E60" s="1" t="n">
        <v>46220</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s="2" t="inlineStr">
        <is>
          <t>Scharlakansskål
Blåsippa</t>
        </is>
      </c>
      <c r="V60">
        <f>HYPERLINK("https://klasma.github.io/Logging_2282/artfynd/A 2167-2026 artfynd.xlsx", "A 2167-2026")</f>
        <v/>
      </c>
      <c r="W60">
        <f>HYPERLINK("https://klasma.github.io/Logging_2282/kartor/A 2167-2026 karta.png", "A 2167-2026")</f>
        <v/>
      </c>
      <c r="Y60">
        <f>HYPERLINK("https://klasma.github.io/Logging_2282/klagomål/A 2167-2026 FSC-klagomål.docx", "A 2167-2026")</f>
        <v/>
      </c>
      <c r="Z60">
        <f>HYPERLINK("https://klasma.github.io/Logging_2282/klagomålsmail/A 2167-2026 FSC-klagomål mail.docx", "A 2167-2026")</f>
        <v/>
      </c>
      <c r="AA60">
        <f>HYPERLINK("https://klasma.github.io/Logging_2282/tillsyn/A 2167-2026 tillsynsbegäran.docx", "A 2167-2026")</f>
        <v/>
      </c>
      <c r="AB60">
        <f>HYPERLINK("https://klasma.github.io/Logging_2282/tillsynsmail/A 2167-2026 tillsynsbegäran mail.docx", "A 2167-2026")</f>
        <v/>
      </c>
    </row>
    <row r="61" ht="15" customHeight="1">
      <c r="A61" t="inlineStr">
        <is>
          <t>A 33134-2025</t>
        </is>
      </c>
      <c r="B61" t="inlineStr">
        <is>
          <t>avverkningsanmälan</t>
        </is>
      </c>
      <c r="C61" t="inlineStr">
        <is>
          <t>Avverkning för annat ändamål</t>
        </is>
      </c>
      <c r="D61" s="1" t="n">
        <v>45840</v>
      </c>
      <c r="E61" s="1" t="n">
        <v>46220</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s="2" t="inlineStr">
        <is>
          <t>Gränsticka
Knärot</t>
        </is>
      </c>
      <c r="V61">
        <f>HYPERLINK("https://klasma.github.io/Logging_2282/artfynd/A 33134-2025 artfynd.xlsx", "A 33134-2025")</f>
        <v/>
      </c>
      <c r="W61">
        <f>HYPERLINK("https://klasma.github.io/Logging_2282/kartor/A 33134-2025 karta.png", "A 33134-2025")</f>
        <v/>
      </c>
      <c r="X61">
        <f>HYPERLINK("https://klasma.github.io/Logging_2282/knärot/A 33134-2025 karta knärot.png", "A 33134-2025")</f>
        <v/>
      </c>
      <c r="Y61">
        <f>HYPERLINK("https://klasma.github.io/Logging_2282/klagomål/A 33134-2025 FSC-klagomål.docx", "A 33134-2025")</f>
        <v/>
      </c>
      <c r="Z61">
        <f>HYPERLINK("https://klasma.github.io/Logging_2282/klagomålsmail/A 33134-2025 FSC-klagomål mail.docx", "A 33134-2025")</f>
        <v/>
      </c>
      <c r="AA61">
        <f>HYPERLINK("https://klasma.github.io/Logging_2282/tillsyn/A 33134-2025 tillsynsbegäran.docx", "A 33134-2025")</f>
        <v/>
      </c>
      <c r="AB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46220</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s="2" t="inlineStr">
        <is>
          <t>Månlåsbräken
Skinnlav</t>
        </is>
      </c>
      <c r="V62">
        <f>HYPERLINK("https://klasma.github.io/Logging_2282/artfynd/A 7018-2023 artfynd.xlsx", "A 7018-2023")</f>
        <v/>
      </c>
      <c r="W62">
        <f>HYPERLINK("https://klasma.github.io/Logging_2282/kartor/A 7018-2023 karta.png", "A 7018-2023")</f>
        <v/>
      </c>
      <c r="Y62">
        <f>HYPERLINK("https://klasma.github.io/Logging_2282/klagomål/A 7018-2023 FSC-klagomål.docx", "A 7018-2023")</f>
        <v/>
      </c>
      <c r="Z62">
        <f>HYPERLINK("https://klasma.github.io/Logging_2282/klagomålsmail/A 7018-2023 FSC-klagomål mail.docx", "A 7018-2023")</f>
        <v/>
      </c>
      <c r="AA62">
        <f>HYPERLINK("https://klasma.github.io/Logging_2282/tillsyn/A 7018-2023 tillsynsbegäran.docx", "A 7018-2023")</f>
        <v/>
      </c>
      <c r="AB62">
        <f>HYPERLINK("https://klasma.github.io/Logging_2282/tillsynsmail/A 7018-2023 tillsynsbegäran mail.docx", "A 7018-2023")</f>
        <v/>
      </c>
    </row>
    <row r="63" ht="15" customHeight="1">
      <c r="A63" t="inlineStr">
        <is>
          <t>A 770-2025</t>
        </is>
      </c>
      <c r="B63" t="inlineStr">
        <is>
          <t>avverkningsanmälan</t>
        </is>
      </c>
      <c r="C63" t="inlineStr">
        <is>
          <t>Föryngringsavverkning</t>
        </is>
      </c>
      <c r="D63" s="1" t="n">
        <v>45665</v>
      </c>
      <c r="E63" s="1" t="n">
        <v>46220</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s="2" t="inlineStr">
        <is>
          <t>Lunglav
Ullticka</t>
        </is>
      </c>
      <c r="V63">
        <f>HYPERLINK("https://klasma.github.io/Logging_2282/artfynd/A 770-2025 artfynd.xlsx", "A 770-2025")</f>
        <v/>
      </c>
      <c r="W63">
        <f>HYPERLINK("https://klasma.github.io/Logging_2282/kartor/A 770-2025 karta.png", "A 770-2025")</f>
        <v/>
      </c>
      <c r="Y63">
        <f>HYPERLINK("https://klasma.github.io/Logging_2282/klagomål/A 770-2025 FSC-klagomål.docx", "A 770-2025")</f>
        <v/>
      </c>
      <c r="Z63">
        <f>HYPERLINK("https://klasma.github.io/Logging_2282/klagomålsmail/A 770-2025 FSC-klagomål mail.docx", "A 770-2025")</f>
        <v/>
      </c>
      <c r="AA63">
        <f>HYPERLINK("https://klasma.github.io/Logging_2282/tillsyn/A 770-2025 tillsynsbegäran.docx", "A 770-2025")</f>
        <v/>
      </c>
      <c r="AB63">
        <f>HYPERLINK("https://klasma.github.io/Logging_2282/tillsynsmail/A 770-2025 tillsynsbegäran mail.docx", "A 770-2025")</f>
        <v/>
      </c>
    </row>
    <row r="64" ht="15" customHeight="1">
      <c r="A64" t="inlineStr">
        <is>
          <t>A 25763-2026</t>
        </is>
      </c>
      <c r="B64" t="inlineStr">
        <is>
          <t>avverkningsanmälan</t>
        </is>
      </c>
      <c r="C64" t="inlineStr">
        <is>
          <t>Föryngringsavverkning</t>
        </is>
      </c>
      <c r="D64" s="1" t="n">
        <v>46178</v>
      </c>
      <c r="E64" s="1" t="n">
        <v>46220</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s="2" t="inlineStr">
        <is>
          <t>Violettgrå tagellav
Fläcknycklar</t>
        </is>
      </c>
      <c r="V64">
        <f>HYPERLINK("https://klasma.github.io/Logging_2282/artfynd/A 25763-2026 artfynd.xlsx", "A 25763-2026")</f>
        <v/>
      </c>
      <c r="W64">
        <f>HYPERLINK("https://klasma.github.io/Logging_2282/kartor/A 25763-2026 karta.png", "A 25763-2026")</f>
        <v/>
      </c>
      <c r="Y64">
        <f>HYPERLINK("https://klasma.github.io/Logging_2282/klagomål/A 25763-2026 FSC-klagomål.docx", "A 25763-2026")</f>
        <v/>
      </c>
      <c r="Z64">
        <f>HYPERLINK("https://klasma.github.io/Logging_2282/klagomålsmail/A 25763-2026 FSC-klagomål mail.docx", "A 25763-2026")</f>
        <v/>
      </c>
      <c r="AA64">
        <f>HYPERLINK("https://klasma.github.io/Logging_2282/tillsyn/A 25763-2026 tillsynsbegäran.docx", "A 25763-2026")</f>
        <v/>
      </c>
      <c r="AB64">
        <f>HYPERLINK("https://klasma.github.io/Logging_2282/tillsynsmail/A 25763-2026 tillsynsbegäran mail.docx", "A 25763-2026")</f>
        <v/>
      </c>
    </row>
    <row r="65" ht="15" customHeight="1">
      <c r="A65" t="inlineStr">
        <is>
          <t>A 32160-2024</t>
        </is>
      </c>
      <c r="B65" t="inlineStr">
        <is>
          <t>avverkningsanmälan</t>
        </is>
      </c>
      <c r="C65" t="inlineStr">
        <is>
          <t>Föryngringsavverkning</t>
        </is>
      </c>
      <c r="D65" s="1" t="n">
        <v>45511</v>
      </c>
      <c r="E65" s="1" t="n">
        <v>46220</v>
      </c>
      <c r="F65" t="inlineStr">
        <is>
          <t>VÄSTERNORRLANDS LÄN</t>
        </is>
      </c>
      <c r="G65" t="inlineStr">
        <is>
          <t>KRAMFORS</t>
        </is>
      </c>
      <c r="I65" t="n">
        <v>0.3</v>
      </c>
      <c r="J65" t="n">
        <v>1</v>
      </c>
      <c r="K65" t="n">
        <v>0</v>
      </c>
      <c r="L65" t="n">
        <v>0</v>
      </c>
      <c r="M65" t="n">
        <v>1</v>
      </c>
      <c r="N65" t="n">
        <v>0</v>
      </c>
      <c r="O65" t="n">
        <v>0</v>
      </c>
      <c r="P65" t="n">
        <v>0</v>
      </c>
      <c r="Q65" t="n">
        <v>1</v>
      </c>
      <c r="R65" t="n">
        <v>1</v>
      </c>
      <c r="S65" t="n">
        <v>2</v>
      </c>
      <c r="T65" t="n">
        <v>6</v>
      </c>
      <c r="U65" s="2" t="inlineStr">
        <is>
          <t>Ringlav
Spillkråka</t>
        </is>
      </c>
      <c r="V65">
        <f>HYPERLINK("https://klasma.github.io/Logging_2282/artfynd/A 32160-2024 artfynd.xlsx", "A 32160-2024")</f>
        <v/>
      </c>
      <c r="W65">
        <f>HYPERLINK("https://klasma.github.io/Logging_2282/kartor/A 32160-2024 karta.png", "A 32160-2024")</f>
        <v/>
      </c>
      <c r="Y65">
        <f>HYPERLINK("https://klasma.github.io/Logging_2282/klagomål/A 32160-2024 FSC-klagomål.docx", "A 32160-2024")</f>
        <v/>
      </c>
      <c r="Z65">
        <f>HYPERLINK("https://klasma.github.io/Logging_2282/klagomålsmail/A 32160-2024 FSC-klagomål mail.docx", "A 32160-2024")</f>
        <v/>
      </c>
      <c r="AA65">
        <f>HYPERLINK("https://klasma.github.io/Logging_2282/tillsyn/A 32160-2024 tillsynsbegäran.docx", "A 32160-2024")</f>
        <v/>
      </c>
      <c r="AB65">
        <f>HYPERLINK("https://klasma.github.io/Logging_2282/tillsynsmail/A 32160-2024 tillsynsbegäran mail.docx", "A 32160-2024")</f>
        <v/>
      </c>
      <c r="AC65">
        <f>HYPERLINK("https://klasma.github.io/Logging_2282/fåglar/A 32160-2024 prioriterade fågelarter.docx", "A 32160-2024")</f>
        <v/>
      </c>
    </row>
    <row r="66" ht="15" customHeight="1">
      <c r="A66" t="inlineStr">
        <is>
          <t>A 33210-2023</t>
        </is>
      </c>
      <c r="B66" t="inlineStr">
        <is>
          <t>avverkningsanmälan</t>
        </is>
      </c>
      <c r="C66" t="inlineStr">
        <is>
          <t>Föryngringsavverkning</t>
        </is>
      </c>
      <c r="D66" s="1" t="n">
        <v>45114</v>
      </c>
      <c r="E66" s="1" t="n">
        <v>46220</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HYPERLINK("https://klasma.github.io/Logging_2282/artfynd/A 33210-2023 artfynd.xlsx", "A 33210-2023")</f>
        <v/>
      </c>
      <c r="W66">
        <f>HYPERLINK("https://klasma.github.io/Logging_2282/kartor/A 33210-2023 karta.png", "A 33210-2023")</f>
        <v/>
      </c>
      <c r="Y66">
        <f>HYPERLINK("https://klasma.github.io/Logging_2282/klagomål/A 33210-2023 FSC-klagomål.docx", "A 33210-2023")</f>
        <v/>
      </c>
      <c r="Z66">
        <f>HYPERLINK("https://klasma.github.io/Logging_2282/klagomålsmail/A 33210-2023 FSC-klagomål mail.docx", "A 33210-2023")</f>
        <v/>
      </c>
      <c r="AA66">
        <f>HYPERLINK("https://klasma.github.io/Logging_2282/tillsyn/A 33210-2023 tillsynsbegäran.docx", "A 33210-2023")</f>
        <v/>
      </c>
      <c r="AB66">
        <f>HYPERLINK("https://klasma.github.io/Logging_2282/tillsynsmail/A 33210-2023 tillsynsbegäran mail.docx", "A 33210-2023")</f>
        <v/>
      </c>
    </row>
    <row r="67" ht="15" customHeight="1">
      <c r="A67" t="inlineStr">
        <is>
          <t>A 43005-2023</t>
        </is>
      </c>
      <c r="B67" t="inlineStr">
        <is>
          <t>avverkningsanmälan</t>
        </is>
      </c>
      <c r="C67" t="inlineStr">
        <is>
          <t>Föryngringsavverkning</t>
        </is>
      </c>
      <c r="D67" s="1" t="n">
        <v>45182</v>
      </c>
      <c r="E67" s="1" t="n">
        <v>46220</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s="2" t="inlineStr">
        <is>
          <t>Reliktbock
Spillkråka</t>
        </is>
      </c>
      <c r="V67">
        <f>HYPERLINK("https://klasma.github.io/Logging_2282/artfynd/A 43005-2023 artfynd.xlsx", "A 43005-2023")</f>
        <v/>
      </c>
      <c r="W67">
        <f>HYPERLINK("https://klasma.github.io/Logging_2282/kartor/A 43005-2023 karta.png", "A 43005-2023")</f>
        <v/>
      </c>
      <c r="Y67">
        <f>HYPERLINK("https://klasma.github.io/Logging_2282/klagomål/A 43005-2023 FSC-klagomål.docx", "A 43005-2023")</f>
        <v/>
      </c>
      <c r="Z67">
        <f>HYPERLINK("https://klasma.github.io/Logging_2282/klagomålsmail/A 43005-2023 FSC-klagomål mail.docx", "A 43005-2023")</f>
        <v/>
      </c>
      <c r="AA67">
        <f>HYPERLINK("https://klasma.github.io/Logging_2282/tillsyn/A 43005-2023 tillsynsbegäran.docx", "A 43005-2023")</f>
        <v/>
      </c>
      <c r="AB67">
        <f>HYPERLINK("https://klasma.github.io/Logging_2282/tillsynsmail/A 43005-2023 tillsynsbegäran mail.docx", "A 43005-2023")</f>
        <v/>
      </c>
      <c r="AC67">
        <f>HYPERLINK("https://klasma.github.io/Logging_2282/fåglar/A 43005-2023 prioriterade fågelarter.docx", "A 43005-2023")</f>
        <v/>
      </c>
    </row>
    <row r="68" ht="15" customHeight="1">
      <c r="A68" t="inlineStr">
        <is>
          <t>A 39492-2024</t>
        </is>
      </c>
      <c r="B68" t="inlineStr">
        <is>
          <t>avverkningsanmälan</t>
        </is>
      </c>
      <c r="C68" t="inlineStr">
        <is>
          <t>Föryngringsavverkning</t>
        </is>
      </c>
      <c r="D68" s="1" t="n">
        <v>45551</v>
      </c>
      <c r="E68" s="1" t="n">
        <v>46220</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s="2" t="inlineStr">
        <is>
          <t>Tretåig hackspett
Grönsiska</t>
        </is>
      </c>
      <c r="V68">
        <f>HYPERLINK("https://klasma.github.io/Logging_2282/artfynd/A 39492-2024 artfynd.xlsx", "A 39492-2024")</f>
        <v/>
      </c>
      <c r="W68">
        <f>HYPERLINK("https://klasma.github.io/Logging_2282/kartor/A 39492-2024 karta.png", "A 39492-2024")</f>
        <v/>
      </c>
      <c r="Y68">
        <f>HYPERLINK("https://klasma.github.io/Logging_2282/klagomål/A 39492-2024 FSC-klagomål.docx", "A 39492-2024")</f>
        <v/>
      </c>
      <c r="Z68">
        <f>HYPERLINK("https://klasma.github.io/Logging_2282/klagomålsmail/A 39492-2024 FSC-klagomål mail.docx", "A 39492-2024")</f>
        <v/>
      </c>
      <c r="AA68">
        <f>HYPERLINK("https://klasma.github.io/Logging_2282/tillsyn/A 39492-2024 tillsynsbegäran.docx", "A 39492-2024")</f>
        <v/>
      </c>
      <c r="AB68">
        <f>HYPERLINK("https://klasma.github.io/Logging_2282/tillsynsmail/A 39492-2024 tillsynsbegäran mail.docx", "A 39492-2024")</f>
        <v/>
      </c>
      <c r="AC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46220</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s="2" t="inlineStr">
        <is>
          <t>Garnlav
Tretåig hackspett</t>
        </is>
      </c>
      <c r="V69">
        <f>HYPERLINK("https://klasma.github.io/Logging_2282/artfynd/A 22289-2025 artfynd.xlsx", "A 22289-2025")</f>
        <v/>
      </c>
      <c r="W69">
        <f>HYPERLINK("https://klasma.github.io/Logging_2282/kartor/A 22289-2025 karta.png", "A 22289-2025")</f>
        <v/>
      </c>
      <c r="Y69">
        <f>HYPERLINK("https://klasma.github.io/Logging_2282/klagomål/A 22289-2025 FSC-klagomål.docx", "A 22289-2025")</f>
        <v/>
      </c>
      <c r="Z69">
        <f>HYPERLINK("https://klasma.github.io/Logging_2282/klagomålsmail/A 22289-2025 FSC-klagomål mail.docx", "A 22289-2025")</f>
        <v/>
      </c>
      <c r="AA69">
        <f>HYPERLINK("https://klasma.github.io/Logging_2282/tillsyn/A 22289-2025 tillsynsbegäran.docx", "A 22289-2025")</f>
        <v/>
      </c>
      <c r="AB69">
        <f>HYPERLINK("https://klasma.github.io/Logging_2282/tillsynsmail/A 22289-2025 tillsynsbegäran mail.docx", "A 22289-2025")</f>
        <v/>
      </c>
      <c r="AC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46220</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s="2" t="inlineStr">
        <is>
          <t>Talltita
Tretåig hackspett</t>
        </is>
      </c>
      <c r="V70">
        <f>HYPERLINK("https://klasma.github.io/Logging_2282/artfynd/S 1075-2025 artfynd.xlsx", "S 1075-2025")</f>
        <v/>
      </c>
      <c r="W70">
        <f>HYPERLINK("https://klasma.github.io/Logging_2282/kartor/S 1075-2025 karta.png", "S 1075-2025")</f>
        <v/>
      </c>
      <c r="Y70">
        <f>HYPERLINK("https://klasma.github.io/Logging_2282/klagomål/S 1075-2025 FSC-klagomål.docx", "S 1075-2025")</f>
        <v/>
      </c>
      <c r="Z70">
        <f>HYPERLINK("https://klasma.github.io/Logging_2282/klagomålsmail/S 1075-2025 FSC-klagomål mail.docx", "S 1075-2025")</f>
        <v/>
      </c>
      <c r="AA70">
        <f>HYPERLINK("https://klasma.github.io/Logging_2282/tillsyn/S 1075-2025 tillsynsbegäran.docx", "S 1075-2025")</f>
        <v/>
      </c>
      <c r="AB70">
        <f>HYPERLINK("https://klasma.github.io/Logging_2282/tillsynsmail/S 1075-2025 tillsynsbegäran mail.docx", "S 1075-2025")</f>
        <v/>
      </c>
      <c r="AC70">
        <f>HYPERLINK("https://klasma.github.io/Logging_2282/fåglar/S 1075-2025 prioriterade fågelarter.docx", "S 1075-2025")</f>
        <v/>
      </c>
    </row>
    <row r="71" ht="15" customHeight="1">
      <c r="A71" t="inlineStr">
        <is>
          <t>A 37593-2023</t>
        </is>
      </c>
      <c r="B71" t="inlineStr">
        <is>
          <t>avverkningsanmälan</t>
        </is>
      </c>
      <c r="C71" t="inlineStr">
        <is>
          <t>Föryngringsavverkning</t>
        </is>
      </c>
      <c r="D71" s="1" t="n">
        <v>45156</v>
      </c>
      <c r="E71" s="1" t="n">
        <v>46220</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s="2" t="inlineStr">
        <is>
          <t>Ullticka</t>
        </is>
      </c>
      <c r="V71">
        <f>HYPERLINK("https://klasma.github.io/Logging_2282/artfynd/A 37593-2023 artfynd.xlsx", "A 37593-2023")</f>
        <v/>
      </c>
      <c r="W71">
        <f>HYPERLINK("https://klasma.github.io/Logging_2282/kartor/A 37593-2023 karta.png", "A 37593-2023")</f>
        <v/>
      </c>
      <c r="Y71">
        <f>HYPERLINK("https://klasma.github.io/Logging_2282/klagomål/A 37593-2023 FSC-klagomål.docx", "A 37593-2023")</f>
        <v/>
      </c>
      <c r="Z71">
        <f>HYPERLINK("https://klasma.github.io/Logging_2282/klagomålsmail/A 37593-2023 FSC-klagomål mail.docx", "A 37593-2023")</f>
        <v/>
      </c>
      <c r="AA71">
        <f>HYPERLINK("https://klasma.github.io/Logging_2282/tillsyn/A 37593-2023 tillsynsbegäran.docx", "A 37593-2023")</f>
        <v/>
      </c>
      <c r="AB71">
        <f>HYPERLINK("https://klasma.github.io/Logging_2282/tillsynsmail/A 37593-2023 tillsynsbegäran mail.docx", "A 37593-2023")</f>
        <v/>
      </c>
    </row>
    <row r="72" ht="15" customHeight="1">
      <c r="A72" t="inlineStr">
        <is>
          <t>A 18692-2025</t>
        </is>
      </c>
      <c r="B72" t="inlineStr">
        <is>
          <t>avverkningsanmälan</t>
        </is>
      </c>
      <c r="C72" t="inlineStr">
        <is>
          <t>Föryngringsavverkning</t>
        </is>
      </c>
      <c r="D72" s="1" t="n">
        <v>45763</v>
      </c>
      <c r="E72" s="1" t="n">
        <v>46220</v>
      </c>
      <c r="F72" t="inlineStr">
        <is>
          <t>VÄSTERNORRLANDS LÄN</t>
        </is>
      </c>
      <c r="G72" t="inlineStr">
        <is>
          <t>KRAMFORS</t>
        </is>
      </c>
      <c r="H72" t="inlineStr">
        <is>
          <t>SCA</t>
        </is>
      </c>
      <c r="I72" t="n">
        <v>13.1</v>
      </c>
      <c r="J72" t="n">
        <v>1</v>
      </c>
      <c r="K72" t="n">
        <v>0</v>
      </c>
      <c r="L72" t="n">
        <v>1</v>
      </c>
      <c r="M72" t="n">
        <v>0</v>
      </c>
      <c r="N72" t="n">
        <v>0</v>
      </c>
      <c r="O72" t="n">
        <v>0</v>
      </c>
      <c r="P72" t="n">
        <v>0</v>
      </c>
      <c r="Q72" t="n">
        <v>1</v>
      </c>
      <c r="R72" t="n">
        <v>0</v>
      </c>
      <c r="S72" t="n">
        <v>1</v>
      </c>
      <c r="T72" t="n">
        <v>1</v>
      </c>
      <c r="U72" s="2" t="inlineStr">
        <is>
          <t>Talltita</t>
        </is>
      </c>
      <c r="V72">
        <f>HYPERLINK("https://klasma.github.io/Logging_2282/artfynd/A 18692-2025 artfynd.xlsx", "A 18692-2025")</f>
        <v/>
      </c>
      <c r="W72">
        <f>HYPERLINK("https://klasma.github.io/Logging_2282/kartor/A 18692-2025 karta.png", "A 18692-2025")</f>
        <v/>
      </c>
      <c r="Y72">
        <f>HYPERLINK("https://klasma.github.io/Logging_2282/klagomål/A 18692-2025 FSC-klagomål.docx", "A 18692-2025")</f>
        <v/>
      </c>
      <c r="Z72">
        <f>HYPERLINK("https://klasma.github.io/Logging_2282/klagomålsmail/A 18692-2025 FSC-klagomål mail.docx", "A 18692-2025")</f>
        <v/>
      </c>
      <c r="AA72">
        <f>HYPERLINK("https://klasma.github.io/Logging_2282/tillsyn/A 18692-2025 tillsynsbegäran.docx", "A 18692-2025")</f>
        <v/>
      </c>
      <c r="AB72">
        <f>HYPERLINK("https://klasma.github.io/Logging_2282/tillsynsmail/A 18692-2025 tillsynsbegäran mail.docx", "A 18692-2025")</f>
        <v/>
      </c>
      <c r="AC72">
        <f>HYPERLINK("https://klasma.github.io/Logging_2282/fåglar/A 18692-2025 prioriterade fågelarter.docx", "A 18692-2025")</f>
        <v/>
      </c>
    </row>
    <row r="73" ht="15" customHeight="1">
      <c r="A73" t="inlineStr">
        <is>
          <t>A 7153-2024</t>
        </is>
      </c>
      <c r="B73" t="inlineStr">
        <is>
          <t>avverkningsanmälan</t>
        </is>
      </c>
      <c r="C73" t="inlineStr">
        <is>
          <t>Föryngringsavverkning</t>
        </is>
      </c>
      <c r="D73" s="1" t="n">
        <v>45344</v>
      </c>
      <c r="E73" s="1" t="n">
        <v>46220</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s="2" t="inlineStr">
        <is>
          <t>Luddfingersvamp</t>
        </is>
      </c>
      <c r="V73">
        <f>HYPERLINK("https://klasma.github.io/Logging_2282/artfynd/A 7153-2024 artfynd.xlsx", "A 7153-2024")</f>
        <v/>
      </c>
      <c r="W73">
        <f>HYPERLINK("https://klasma.github.io/Logging_2282/kartor/A 7153-2024 karta.png", "A 7153-2024")</f>
        <v/>
      </c>
      <c r="Y73">
        <f>HYPERLINK("https://klasma.github.io/Logging_2282/klagomål/A 7153-2024 FSC-klagomål.docx", "A 7153-2024")</f>
        <v/>
      </c>
      <c r="Z73">
        <f>HYPERLINK("https://klasma.github.io/Logging_2282/klagomålsmail/A 7153-2024 FSC-klagomål mail.docx", "A 7153-2024")</f>
        <v/>
      </c>
      <c r="AA73">
        <f>HYPERLINK("https://klasma.github.io/Logging_2282/tillsyn/A 7153-2024 tillsynsbegäran.docx", "A 7153-2024")</f>
        <v/>
      </c>
      <c r="AB73">
        <f>HYPERLINK("https://klasma.github.io/Logging_2282/tillsynsmail/A 7153-2024 tillsynsbegäran mail.docx", "A 7153-2024")</f>
        <v/>
      </c>
    </row>
    <row r="74" ht="15" customHeight="1">
      <c r="A74" t="inlineStr">
        <is>
          <t>A 63915-2025</t>
        </is>
      </c>
      <c r="B74" t="inlineStr">
        <is>
          <t>avverkningsanmälan</t>
        </is>
      </c>
      <c r="C74" t="inlineStr">
        <is>
          <t>Föryngringsavverkning</t>
        </is>
      </c>
      <c r="D74" s="1" t="n">
        <v>46020</v>
      </c>
      <c r="E74" s="1" t="n">
        <v>46220</v>
      </c>
      <c r="F74" t="inlineStr">
        <is>
          <t>VÄSTERNORRLANDS LÄN</t>
        </is>
      </c>
      <c r="G74" t="inlineStr">
        <is>
          <t>KRAMFORS</t>
        </is>
      </c>
      <c r="I74" t="n">
        <v>10.2</v>
      </c>
      <c r="J74" t="n">
        <v>1</v>
      </c>
      <c r="K74" t="n">
        <v>0</v>
      </c>
      <c r="L74" t="n">
        <v>1</v>
      </c>
      <c r="M74" t="n">
        <v>0</v>
      </c>
      <c r="N74" t="n">
        <v>0</v>
      </c>
      <c r="O74" t="n">
        <v>0</v>
      </c>
      <c r="P74" t="n">
        <v>0</v>
      </c>
      <c r="Q74" t="n">
        <v>1</v>
      </c>
      <c r="R74" t="n">
        <v>0</v>
      </c>
      <c r="S74" t="n">
        <v>1</v>
      </c>
      <c r="T74" t="n">
        <v>1</v>
      </c>
      <c r="U74" s="2" t="inlineStr">
        <is>
          <t>Mindre hackspett</t>
        </is>
      </c>
      <c r="V74">
        <f>HYPERLINK("https://klasma.github.io/Logging_2282/artfynd/A 63915-2025 artfynd.xlsx", "A 63915-2025")</f>
        <v/>
      </c>
      <c r="W74">
        <f>HYPERLINK("https://klasma.github.io/Logging_2282/kartor/A 63915-2025 karta.png", "A 63915-2025")</f>
        <v/>
      </c>
      <c r="Y74">
        <f>HYPERLINK("https://klasma.github.io/Logging_2282/klagomål/A 63915-2025 FSC-klagomål.docx", "A 63915-2025")</f>
        <v/>
      </c>
      <c r="Z74">
        <f>HYPERLINK("https://klasma.github.io/Logging_2282/klagomålsmail/A 63915-2025 FSC-klagomål mail.docx", "A 63915-2025")</f>
        <v/>
      </c>
      <c r="AA74">
        <f>HYPERLINK("https://klasma.github.io/Logging_2282/tillsyn/A 63915-2025 tillsynsbegäran.docx", "A 63915-2025")</f>
        <v/>
      </c>
      <c r="AB74">
        <f>HYPERLINK("https://klasma.github.io/Logging_2282/tillsynsmail/A 63915-2025 tillsynsbegäran mail.docx", "A 63915-2025")</f>
        <v/>
      </c>
      <c r="AC74">
        <f>HYPERLINK("https://klasma.github.io/Logging_2282/fåglar/A 63915-2025 prioriterade fågelarter.docx", "A 63915-2025")</f>
        <v/>
      </c>
    </row>
    <row r="75" ht="15" customHeight="1">
      <c r="A75" t="inlineStr">
        <is>
          <t>A 63983-2025</t>
        </is>
      </c>
      <c r="B75" t="inlineStr">
        <is>
          <t>avverkningsanmälan</t>
        </is>
      </c>
      <c r="C75" t="inlineStr">
        <is>
          <t>Föryngringsavverkning</t>
        </is>
      </c>
      <c r="D75" s="1" t="n">
        <v>46021</v>
      </c>
      <c r="E75" s="1" t="n">
        <v>46220</v>
      </c>
      <c r="F75" t="inlineStr">
        <is>
          <t>VÄSTERNORRLANDS LÄN</t>
        </is>
      </c>
      <c r="G75" t="inlineStr">
        <is>
          <t>KRAMFORS</t>
        </is>
      </c>
      <c r="I75" t="n">
        <v>4.6</v>
      </c>
      <c r="J75" t="n">
        <v>1</v>
      </c>
      <c r="K75" t="n">
        <v>0</v>
      </c>
      <c r="L75" t="n">
        <v>1</v>
      </c>
      <c r="M75" t="n">
        <v>0</v>
      </c>
      <c r="N75" t="n">
        <v>0</v>
      </c>
      <c r="O75" t="n">
        <v>0</v>
      </c>
      <c r="P75" t="n">
        <v>0</v>
      </c>
      <c r="Q75" t="n">
        <v>1</v>
      </c>
      <c r="R75" t="n">
        <v>0</v>
      </c>
      <c r="S75" t="n">
        <v>1</v>
      </c>
      <c r="T75" t="n">
        <v>1</v>
      </c>
      <c r="U75" s="2" t="inlineStr">
        <is>
          <t>Talltita</t>
        </is>
      </c>
      <c r="V75">
        <f>HYPERLINK("https://klasma.github.io/Logging_2282/artfynd/A 63983-2025 artfynd.xlsx", "A 63983-2025")</f>
        <v/>
      </c>
      <c r="W75">
        <f>HYPERLINK("https://klasma.github.io/Logging_2282/kartor/A 63983-2025 karta.png", "A 63983-2025")</f>
        <v/>
      </c>
      <c r="Y75">
        <f>HYPERLINK("https://klasma.github.io/Logging_2282/klagomål/A 63983-2025 FSC-klagomål.docx", "A 63983-2025")</f>
        <v/>
      </c>
      <c r="Z75">
        <f>HYPERLINK("https://klasma.github.io/Logging_2282/klagomålsmail/A 63983-2025 FSC-klagomål mail.docx", "A 63983-2025")</f>
        <v/>
      </c>
      <c r="AA75">
        <f>HYPERLINK("https://klasma.github.io/Logging_2282/tillsyn/A 63983-2025 tillsynsbegäran.docx", "A 63983-2025")</f>
        <v/>
      </c>
      <c r="AB75">
        <f>HYPERLINK("https://klasma.github.io/Logging_2282/tillsynsmail/A 63983-2025 tillsynsbegäran mail.docx", "A 63983-2025")</f>
        <v/>
      </c>
      <c r="AC75">
        <f>HYPERLINK("https://klasma.github.io/Logging_2282/fåglar/A 63983-2025 prioriterade fågelarter.docx", "A 63983-2025")</f>
        <v/>
      </c>
    </row>
    <row r="76" ht="15" customHeight="1">
      <c r="A76" t="inlineStr">
        <is>
          <t>A 93-2026</t>
        </is>
      </c>
      <c r="B76" t="inlineStr">
        <is>
          <t>avverkningsanmälan</t>
        </is>
      </c>
      <c r="C76" t="inlineStr">
        <is>
          <t>Föryngringsavverkning</t>
        </is>
      </c>
      <c r="D76" s="1" t="n">
        <v>46024</v>
      </c>
      <c r="E76" s="1" t="n">
        <v>46220</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s="2" t="inlineStr">
        <is>
          <t>Skogshare</t>
        </is>
      </c>
      <c r="V76">
        <f>HYPERLINK("https://klasma.github.io/Logging_2282/artfynd/A 93-2026 artfynd.xlsx", "A 93-2026")</f>
        <v/>
      </c>
      <c r="W76">
        <f>HYPERLINK("https://klasma.github.io/Logging_2282/kartor/A 93-2026 karta.png", "A 93-2026")</f>
        <v/>
      </c>
      <c r="Y76">
        <f>HYPERLINK("https://klasma.github.io/Logging_2282/klagomål/A 93-2026 FSC-klagomål.docx", "A 93-2026")</f>
        <v/>
      </c>
      <c r="Z76">
        <f>HYPERLINK("https://klasma.github.io/Logging_2282/klagomålsmail/A 93-2026 FSC-klagomål mail.docx", "A 93-2026")</f>
        <v/>
      </c>
      <c r="AA76">
        <f>HYPERLINK("https://klasma.github.io/Logging_2282/tillsyn/A 93-2026 tillsynsbegäran.docx", "A 93-2026")</f>
        <v/>
      </c>
      <c r="AB76">
        <f>HYPERLINK("https://klasma.github.io/Logging_2282/tillsynsmail/A 93-2026 tillsynsbegäran mail.docx", "A 93-2026")</f>
        <v/>
      </c>
    </row>
    <row r="77" ht="15" customHeight="1">
      <c r="A77" t="inlineStr">
        <is>
          <t>A 1136-2026</t>
        </is>
      </c>
      <c r="B77" t="inlineStr">
        <is>
          <t>avverkningsanmälan</t>
        </is>
      </c>
      <c r="C77" t="inlineStr">
        <is>
          <t>Föryngringsavverkning</t>
        </is>
      </c>
      <c r="D77" s="1" t="n">
        <v>46030</v>
      </c>
      <c r="E77" s="1" t="n">
        <v>46220</v>
      </c>
      <c r="F77" t="inlineStr">
        <is>
          <t>VÄSTERNORRLANDS LÄN</t>
        </is>
      </c>
      <c r="G77" t="inlineStr">
        <is>
          <t>KRAMFORS</t>
        </is>
      </c>
      <c r="I77" t="n">
        <v>4</v>
      </c>
      <c r="J77" t="n">
        <v>1</v>
      </c>
      <c r="K77" t="n">
        <v>0</v>
      </c>
      <c r="L77" t="n">
        <v>0</v>
      </c>
      <c r="M77" t="n">
        <v>0</v>
      </c>
      <c r="N77" t="n">
        <v>0</v>
      </c>
      <c r="O77" t="n">
        <v>0</v>
      </c>
      <c r="P77" t="n">
        <v>0</v>
      </c>
      <c r="Q77" t="n">
        <v>0</v>
      </c>
      <c r="R77" t="n">
        <v>0</v>
      </c>
      <c r="S77" t="n">
        <v>1</v>
      </c>
      <c r="T77" t="n">
        <v>1</v>
      </c>
      <c r="U77" s="2" t="inlineStr">
        <is>
          <t>Järpe</t>
        </is>
      </c>
      <c r="V77">
        <f>HYPERLINK("https://klasma.github.io/Logging_2282/artfynd/A 1136-2026 artfynd.xlsx", "A 1136-2026")</f>
        <v/>
      </c>
      <c r="W77">
        <f>HYPERLINK("https://klasma.github.io/Logging_2282/kartor/A 1136-2026 karta.png", "A 1136-2026")</f>
        <v/>
      </c>
      <c r="Y77">
        <f>HYPERLINK("https://klasma.github.io/Logging_2282/klagomål/A 1136-2026 FSC-klagomål.docx", "A 1136-2026")</f>
        <v/>
      </c>
      <c r="Z77">
        <f>HYPERLINK("https://klasma.github.io/Logging_2282/klagomålsmail/A 1136-2026 FSC-klagomål mail.docx", "A 1136-2026")</f>
        <v/>
      </c>
      <c r="AA77">
        <f>HYPERLINK("https://klasma.github.io/Logging_2282/tillsyn/A 1136-2026 tillsynsbegäran.docx", "A 1136-2026")</f>
        <v/>
      </c>
      <c r="AB77">
        <f>HYPERLINK("https://klasma.github.io/Logging_2282/tillsynsmail/A 1136-2026 tillsynsbegäran mail.docx", "A 1136-2026")</f>
        <v/>
      </c>
      <c r="AC77">
        <f>HYPERLINK("https://klasma.github.io/Logging_2282/fåglar/A 1136-2026 prioriterade fågelarter.docx", "A 1136-2026")</f>
        <v/>
      </c>
    </row>
    <row r="78" ht="15" customHeight="1">
      <c r="A78" t="inlineStr">
        <is>
          <t>A 1131-2026</t>
        </is>
      </c>
      <c r="B78" t="inlineStr">
        <is>
          <t>avverkningsanmälan</t>
        </is>
      </c>
      <c r="C78" t="inlineStr">
        <is>
          <t>Föryngringsavverkning</t>
        </is>
      </c>
      <c r="D78" s="1" t="n">
        <v>46030</v>
      </c>
      <c r="E78" s="1" t="n">
        <v>46220</v>
      </c>
      <c r="F78" t="inlineStr">
        <is>
          <t>VÄSTERNORRLANDS LÄN</t>
        </is>
      </c>
      <c r="G78" t="inlineStr">
        <is>
          <t>KRAMFORS</t>
        </is>
      </c>
      <c r="I78" t="n">
        <v>5.9</v>
      </c>
      <c r="J78" t="n">
        <v>1</v>
      </c>
      <c r="K78" t="n">
        <v>0</v>
      </c>
      <c r="L78" t="n">
        <v>0</v>
      </c>
      <c r="M78" t="n">
        <v>0</v>
      </c>
      <c r="N78" t="n">
        <v>0</v>
      </c>
      <c r="O78" t="n">
        <v>0</v>
      </c>
      <c r="P78" t="n">
        <v>0</v>
      </c>
      <c r="Q78" t="n">
        <v>0</v>
      </c>
      <c r="R78" t="n">
        <v>0</v>
      </c>
      <c r="S78" t="n">
        <v>1</v>
      </c>
      <c r="T78" t="n">
        <v>1</v>
      </c>
      <c r="U78" s="2" t="inlineStr">
        <is>
          <t>Järpe</t>
        </is>
      </c>
      <c r="V78">
        <f>HYPERLINK("https://klasma.github.io/Logging_2282/artfynd/A 1131-2026 artfynd.xlsx", "A 1131-2026")</f>
        <v/>
      </c>
      <c r="W78">
        <f>HYPERLINK("https://klasma.github.io/Logging_2282/kartor/A 1131-2026 karta.png", "A 1131-2026")</f>
        <v/>
      </c>
      <c r="Y78">
        <f>HYPERLINK("https://klasma.github.io/Logging_2282/klagomål/A 1131-2026 FSC-klagomål.docx", "A 1131-2026")</f>
        <v/>
      </c>
      <c r="Z78">
        <f>HYPERLINK("https://klasma.github.io/Logging_2282/klagomålsmail/A 1131-2026 FSC-klagomål mail.docx", "A 1131-2026")</f>
        <v/>
      </c>
      <c r="AA78">
        <f>HYPERLINK("https://klasma.github.io/Logging_2282/tillsyn/A 1131-2026 tillsynsbegäran.docx", "A 1131-2026")</f>
        <v/>
      </c>
      <c r="AB78">
        <f>HYPERLINK("https://klasma.github.io/Logging_2282/tillsynsmail/A 1131-2026 tillsynsbegäran mail.docx", "A 1131-2026")</f>
        <v/>
      </c>
      <c r="AC78">
        <f>HYPERLINK("https://klasma.github.io/Logging_2282/fåglar/A 1131-2026 prioriterade fågelarter.docx", "A 1131-2026")</f>
        <v/>
      </c>
    </row>
    <row r="79" ht="15" customHeight="1">
      <c r="A79" t="inlineStr">
        <is>
          <t>A 46115-2025</t>
        </is>
      </c>
      <c r="B79" t="inlineStr">
        <is>
          <t>avverkningsanmälan</t>
        </is>
      </c>
      <c r="C79" t="inlineStr">
        <is>
          <t>Avverkning för annat ändamål</t>
        </is>
      </c>
      <c r="D79" s="1" t="n">
        <v>45924</v>
      </c>
      <c r="E79" s="1" t="n">
        <v>46220</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s="2" t="inlineStr">
        <is>
          <t>Knärot</t>
        </is>
      </c>
      <c r="V79">
        <f>HYPERLINK("https://klasma.github.io/Logging_2282/artfynd/A 46115-2025 artfynd.xlsx", "A 46115-2025")</f>
        <v/>
      </c>
      <c r="W79">
        <f>HYPERLINK("https://klasma.github.io/Logging_2282/kartor/A 46115-2025 karta.png", "A 46115-2025")</f>
        <v/>
      </c>
      <c r="X79">
        <f>HYPERLINK("https://klasma.github.io/Logging_2282/knärot/A 46115-2025 karta knärot.png", "A 46115-2025")</f>
        <v/>
      </c>
      <c r="Y79">
        <f>HYPERLINK("https://klasma.github.io/Logging_2282/klagomål/A 46115-2025 FSC-klagomål.docx", "A 46115-2025")</f>
        <v/>
      </c>
      <c r="Z79">
        <f>HYPERLINK("https://klasma.github.io/Logging_2282/klagomålsmail/A 46115-2025 FSC-klagomål mail.docx", "A 46115-2025")</f>
        <v/>
      </c>
      <c r="AA79">
        <f>HYPERLINK("https://klasma.github.io/Logging_2282/tillsyn/A 46115-2025 tillsynsbegäran.docx", "A 46115-2025")</f>
        <v/>
      </c>
      <c r="AB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46220</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s="2" t="inlineStr">
        <is>
          <t>Gråspett</t>
        </is>
      </c>
      <c r="V80">
        <f>HYPERLINK("https://klasma.github.io/Logging_2282/artfynd/A 50134-2025 artfynd.xlsx", "A 50134-2025")</f>
        <v/>
      </c>
      <c r="W80">
        <f>HYPERLINK("https://klasma.github.io/Logging_2282/kartor/A 50134-2025 karta.png", "A 50134-2025")</f>
        <v/>
      </c>
      <c r="Y80">
        <f>HYPERLINK("https://klasma.github.io/Logging_2282/klagomål/A 50134-2025 FSC-klagomål.docx", "A 50134-2025")</f>
        <v/>
      </c>
      <c r="Z80">
        <f>HYPERLINK("https://klasma.github.io/Logging_2282/klagomålsmail/A 50134-2025 FSC-klagomål mail.docx", "A 50134-2025")</f>
        <v/>
      </c>
      <c r="AA80">
        <f>HYPERLINK("https://klasma.github.io/Logging_2282/tillsyn/A 50134-2025 tillsynsbegäran.docx", "A 50134-2025")</f>
        <v/>
      </c>
      <c r="AB80">
        <f>HYPERLINK("https://klasma.github.io/Logging_2282/tillsynsmail/A 50134-2025 tillsynsbegäran mail.docx", "A 50134-2025")</f>
        <v/>
      </c>
      <c r="AC80">
        <f>HYPERLINK("https://klasma.github.io/Logging_2282/fåglar/A 50134-2025 prioriterade fågelarter.docx", "A 50134-2025")</f>
        <v/>
      </c>
    </row>
    <row r="81" ht="15" customHeight="1">
      <c r="A81" t="inlineStr">
        <is>
          <t>A 18792-2025</t>
        </is>
      </c>
      <c r="B81" t="inlineStr">
        <is>
          <t>avverkningsanmälan</t>
        </is>
      </c>
      <c r="C81" t="inlineStr">
        <is>
          <t>Föryngringsavverkning</t>
        </is>
      </c>
      <c r="D81" s="1" t="n">
        <v>45764</v>
      </c>
      <c r="E81" s="1" t="n">
        <v>46220</v>
      </c>
      <c r="F81" t="inlineStr">
        <is>
          <t>VÄSTERNORRLANDS LÄN</t>
        </is>
      </c>
      <c r="G81" t="inlineStr">
        <is>
          <t>KRAMFORS</t>
        </is>
      </c>
      <c r="H81" t="inlineStr">
        <is>
          <t>SCA</t>
        </is>
      </c>
      <c r="I81" t="n">
        <v>5.1</v>
      </c>
      <c r="J81" t="n">
        <v>0</v>
      </c>
      <c r="K81" t="n">
        <v>0</v>
      </c>
      <c r="L81" t="n">
        <v>1</v>
      </c>
      <c r="M81" t="n">
        <v>0</v>
      </c>
      <c r="N81" t="n">
        <v>0</v>
      </c>
      <c r="O81" t="n">
        <v>0</v>
      </c>
      <c r="P81" t="n">
        <v>0</v>
      </c>
      <c r="Q81" t="n">
        <v>1</v>
      </c>
      <c r="R81" t="n">
        <v>0</v>
      </c>
      <c r="S81" t="n">
        <v>1</v>
      </c>
      <c r="T81" t="n">
        <v>1</v>
      </c>
      <c r="U81" s="2" t="inlineStr">
        <is>
          <t>Gammelgransskål</t>
        </is>
      </c>
      <c r="V81">
        <f>HYPERLINK("https://klasma.github.io/Logging_2282/artfynd/A 18792-2025 artfynd.xlsx", "A 18792-2025")</f>
        <v/>
      </c>
      <c r="W81">
        <f>HYPERLINK("https://klasma.github.io/Logging_2282/kartor/A 18792-2025 karta.png", "A 18792-2025")</f>
        <v/>
      </c>
      <c r="Y81">
        <f>HYPERLINK("https://klasma.github.io/Logging_2282/klagomål/A 18792-2025 FSC-klagomål.docx", "A 18792-2025")</f>
        <v/>
      </c>
      <c r="Z81">
        <f>HYPERLINK("https://klasma.github.io/Logging_2282/klagomålsmail/A 18792-2025 FSC-klagomål mail.docx", "A 18792-2025")</f>
        <v/>
      </c>
      <c r="AA81">
        <f>HYPERLINK("https://klasma.github.io/Logging_2282/tillsyn/A 18792-2025 tillsynsbegäran.docx", "A 18792-2025")</f>
        <v/>
      </c>
      <c r="AB81">
        <f>HYPERLINK("https://klasma.github.io/Logging_2282/tillsynsmail/A 18792-2025 tillsynsbegäran mail.docx", "A 18792-2025")</f>
        <v/>
      </c>
    </row>
    <row r="82" ht="15" customHeight="1">
      <c r="A82" t="inlineStr">
        <is>
          <t>A 4525-2026</t>
        </is>
      </c>
      <c r="B82" t="inlineStr">
        <is>
          <t>avverkningsanmälan</t>
        </is>
      </c>
      <c r="C82" t="inlineStr">
        <is>
          <t>Föryngringsavverkning</t>
        </is>
      </c>
      <c r="D82" s="1" t="n">
        <v>46046</v>
      </c>
      <c r="E82" s="1" t="n">
        <v>46220</v>
      </c>
      <c r="F82" t="inlineStr">
        <is>
          <t>VÄSTERNORRLANDS LÄN</t>
        </is>
      </c>
      <c r="G82" t="inlineStr">
        <is>
          <t>KRAMFORS</t>
        </is>
      </c>
      <c r="I82" t="n">
        <v>4.7</v>
      </c>
      <c r="J82" t="n">
        <v>1</v>
      </c>
      <c r="K82" t="n">
        <v>0</v>
      </c>
      <c r="L82" t="n">
        <v>0</v>
      </c>
      <c r="M82" t="n">
        <v>0</v>
      </c>
      <c r="N82" t="n">
        <v>0</v>
      </c>
      <c r="O82" t="n">
        <v>0</v>
      </c>
      <c r="P82" t="n">
        <v>0</v>
      </c>
      <c r="Q82" t="n">
        <v>0</v>
      </c>
      <c r="R82" t="n">
        <v>0</v>
      </c>
      <c r="S82" t="n">
        <v>1</v>
      </c>
      <c r="T82" t="n">
        <v>1</v>
      </c>
      <c r="U82" s="2" t="inlineStr">
        <is>
          <t>Revlummer</t>
        </is>
      </c>
      <c r="V82">
        <f>HYPERLINK("https://klasma.github.io/Logging_2282/artfynd/A 4525-2026 artfynd.xlsx", "A 4525-2026")</f>
        <v/>
      </c>
      <c r="W82">
        <f>HYPERLINK("https://klasma.github.io/Logging_2282/kartor/A 4525-2026 karta.png", "A 4525-2026")</f>
        <v/>
      </c>
      <c r="Y82">
        <f>HYPERLINK("https://klasma.github.io/Logging_2282/klagomål/A 4525-2026 FSC-klagomål.docx", "A 4525-2026")</f>
        <v/>
      </c>
      <c r="Z82">
        <f>HYPERLINK("https://klasma.github.io/Logging_2282/klagomålsmail/A 4525-2026 FSC-klagomål mail.docx", "A 4525-2026")</f>
        <v/>
      </c>
      <c r="AA82">
        <f>HYPERLINK("https://klasma.github.io/Logging_2282/tillsyn/A 4525-2026 tillsynsbegäran.docx", "A 4525-2026")</f>
        <v/>
      </c>
      <c r="AB82">
        <f>HYPERLINK("https://klasma.github.io/Logging_2282/tillsynsmail/A 4525-2026 tillsynsbegäran mail.docx", "A 4525-2026")</f>
        <v/>
      </c>
    </row>
    <row r="83" ht="15" customHeight="1">
      <c r="A83" t="inlineStr">
        <is>
          <t>A 4764-2026</t>
        </is>
      </c>
      <c r="B83" t="inlineStr">
        <is>
          <t>avverkningsanmälan</t>
        </is>
      </c>
      <c r="C83" t="inlineStr">
        <is>
          <t>Föryngringsavverkning</t>
        </is>
      </c>
      <c r="D83" s="1" t="n">
        <v>46048</v>
      </c>
      <c r="E83" s="1" t="n">
        <v>46220</v>
      </c>
      <c r="F83" t="inlineStr">
        <is>
          <t>VÄSTERNORRLANDS LÄN</t>
        </is>
      </c>
      <c r="G83" t="inlineStr">
        <is>
          <t>KRAMFORS</t>
        </is>
      </c>
      <c r="I83" t="n">
        <v>2.7</v>
      </c>
      <c r="J83" t="n">
        <v>1</v>
      </c>
      <c r="K83" t="n">
        <v>0</v>
      </c>
      <c r="L83" t="n">
        <v>1</v>
      </c>
      <c r="M83" t="n">
        <v>0</v>
      </c>
      <c r="N83" t="n">
        <v>0</v>
      </c>
      <c r="O83" t="n">
        <v>0</v>
      </c>
      <c r="P83" t="n">
        <v>0</v>
      </c>
      <c r="Q83" t="n">
        <v>1</v>
      </c>
      <c r="R83" t="n">
        <v>0</v>
      </c>
      <c r="S83" t="n">
        <v>1</v>
      </c>
      <c r="T83" t="n">
        <v>1</v>
      </c>
      <c r="U83" s="2" t="inlineStr">
        <is>
          <t>Nordfladdermus</t>
        </is>
      </c>
      <c r="V83">
        <f>HYPERLINK("https://klasma.github.io/Logging_2282/artfynd/A 4764-2026 artfynd.xlsx", "A 4764-2026")</f>
        <v/>
      </c>
      <c r="W83">
        <f>HYPERLINK("https://klasma.github.io/Logging_2282/kartor/A 4764-2026 karta.png", "A 4764-2026")</f>
        <v/>
      </c>
      <c r="Y83">
        <f>HYPERLINK("https://klasma.github.io/Logging_2282/klagomål/A 4764-2026 FSC-klagomål.docx", "A 4764-2026")</f>
        <v/>
      </c>
      <c r="Z83">
        <f>HYPERLINK("https://klasma.github.io/Logging_2282/klagomålsmail/A 4764-2026 FSC-klagomål mail.docx", "A 4764-2026")</f>
        <v/>
      </c>
      <c r="AA83">
        <f>HYPERLINK("https://klasma.github.io/Logging_2282/tillsyn/A 4764-2026 tillsynsbegäran.docx", "A 4764-2026")</f>
        <v/>
      </c>
      <c r="AB83">
        <f>HYPERLINK("https://klasma.github.io/Logging_2282/tillsynsmail/A 4764-2026 tillsynsbegäran mail.docx", "A 4764-2026")</f>
        <v/>
      </c>
    </row>
    <row r="84" ht="15" customHeight="1">
      <c r="A84" t="inlineStr">
        <is>
          <t>A 6445-2023</t>
        </is>
      </c>
      <c r="B84" t="inlineStr">
        <is>
          <t>avverkningsanmälan</t>
        </is>
      </c>
      <c r="C84" t="inlineStr">
        <is>
          <t>Föryngringsavverkning</t>
        </is>
      </c>
      <c r="D84" s="1" t="n">
        <v>44965</v>
      </c>
      <c r="E84" s="1" t="n">
        <v>46220</v>
      </c>
      <c r="F84" t="inlineStr">
        <is>
          <t>VÄSTERNORRLANDS LÄN</t>
        </is>
      </c>
      <c r="G84" t="inlineStr">
        <is>
          <t>KRAMFORS</t>
        </is>
      </c>
      <c r="I84" t="n">
        <v>5.2</v>
      </c>
      <c r="J84" t="n">
        <v>0</v>
      </c>
      <c r="K84" t="n">
        <v>1</v>
      </c>
      <c r="L84" t="n">
        <v>0</v>
      </c>
      <c r="M84" t="n">
        <v>0</v>
      </c>
      <c r="N84" t="n">
        <v>0</v>
      </c>
      <c r="O84" t="n">
        <v>0</v>
      </c>
      <c r="P84" t="n">
        <v>0</v>
      </c>
      <c r="Q84" t="n">
        <v>0</v>
      </c>
      <c r="R84" t="n">
        <v>0</v>
      </c>
      <c r="S84" t="n">
        <v>1</v>
      </c>
      <c r="T84" t="n">
        <v>2</v>
      </c>
      <c r="U84" s="2" t="inlineStr">
        <is>
          <t>Skinnlav</t>
        </is>
      </c>
      <c r="V84">
        <f>HYPERLINK("https://klasma.github.io/Logging_2282/artfynd/A 6445-2023 artfynd.xlsx", "A 6445-2023")</f>
        <v/>
      </c>
      <c r="W84">
        <f>HYPERLINK("https://klasma.github.io/Logging_2282/kartor/A 6445-2023 karta.png", "A 6445-2023")</f>
        <v/>
      </c>
      <c r="Y84">
        <f>HYPERLINK("https://klasma.github.io/Logging_2282/klagomål/A 6445-2023 FSC-klagomål.docx", "A 6445-2023")</f>
        <v/>
      </c>
      <c r="Z84">
        <f>HYPERLINK("https://klasma.github.io/Logging_2282/klagomålsmail/A 6445-2023 FSC-klagomål mail.docx", "A 6445-2023")</f>
        <v/>
      </c>
      <c r="AA84">
        <f>HYPERLINK("https://klasma.github.io/Logging_2282/tillsyn/A 6445-2023 tillsynsbegäran.docx", "A 6445-2023")</f>
        <v/>
      </c>
      <c r="AB84">
        <f>HYPERLINK("https://klasma.github.io/Logging_2282/tillsynsmail/A 6445-2023 tillsynsbegäran mail.docx", "A 6445-2023")</f>
        <v/>
      </c>
    </row>
    <row r="85" ht="15" customHeight="1">
      <c r="A85" t="inlineStr">
        <is>
          <t>A 57030-2025</t>
        </is>
      </c>
      <c r="B85" t="inlineStr">
        <is>
          <t>avverkningsanmälan</t>
        </is>
      </c>
      <c r="C85" t="inlineStr">
        <is>
          <t>Föryngringsavverkning</t>
        </is>
      </c>
      <c r="D85" s="1" t="n">
        <v>45979</v>
      </c>
      <c r="E85" s="1" t="n">
        <v>46220</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s="2" t="inlineStr">
        <is>
          <t>Blåsippa</t>
        </is>
      </c>
      <c r="V85">
        <f>HYPERLINK("https://klasma.github.io/Logging_2282/artfynd/A 57030-2025 artfynd.xlsx", "A 57030-2025")</f>
        <v/>
      </c>
      <c r="W85">
        <f>HYPERLINK("https://klasma.github.io/Logging_2282/kartor/A 57030-2025 karta.png", "A 57030-2025")</f>
        <v/>
      </c>
      <c r="Y85">
        <f>HYPERLINK("https://klasma.github.io/Logging_2282/klagomål/A 57030-2025 FSC-klagomål.docx", "A 57030-2025")</f>
        <v/>
      </c>
      <c r="Z85">
        <f>HYPERLINK("https://klasma.github.io/Logging_2282/klagomålsmail/A 57030-2025 FSC-klagomål mail.docx", "A 57030-2025")</f>
        <v/>
      </c>
      <c r="AA85">
        <f>HYPERLINK("https://klasma.github.io/Logging_2282/tillsyn/A 57030-2025 tillsynsbegäran.docx", "A 57030-2025")</f>
        <v/>
      </c>
      <c r="AB85">
        <f>HYPERLINK("https://klasma.github.io/Logging_2282/tillsynsmail/A 57030-2025 tillsynsbegäran mail.docx", "A 57030-2025")</f>
        <v/>
      </c>
    </row>
    <row r="86" ht="15" customHeight="1">
      <c r="A86" t="inlineStr">
        <is>
          <t>A 61008-2025</t>
        </is>
      </c>
      <c r="B86" t="inlineStr">
        <is>
          <t>avverkningsanmälan</t>
        </is>
      </c>
      <c r="C86" t="inlineStr">
        <is>
          <t>Avverkning för annat ändamål</t>
        </is>
      </c>
      <c r="D86" s="1" t="n">
        <v>45998</v>
      </c>
      <c r="E86" s="1" t="n">
        <v>46220</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s="2" t="inlineStr">
        <is>
          <t>Ortolansparv</t>
        </is>
      </c>
      <c r="V86">
        <f>HYPERLINK("https://klasma.github.io/Logging_2282/artfynd/A 61008-2025 artfynd.xlsx", "A 61008-2025")</f>
        <v/>
      </c>
      <c r="W86">
        <f>HYPERLINK("https://klasma.github.io/Logging_2282/kartor/A 61008-2025 karta.png", "A 61008-2025")</f>
        <v/>
      </c>
      <c r="Y86">
        <f>HYPERLINK("https://klasma.github.io/Logging_2282/klagomål/A 61008-2025 FSC-klagomål.docx", "A 61008-2025")</f>
        <v/>
      </c>
      <c r="Z86">
        <f>HYPERLINK("https://klasma.github.io/Logging_2282/klagomålsmail/A 61008-2025 FSC-klagomål mail.docx", "A 61008-2025")</f>
        <v/>
      </c>
      <c r="AA86">
        <f>HYPERLINK("https://klasma.github.io/Logging_2282/tillsyn/A 61008-2025 tillsynsbegäran.docx", "A 61008-2025")</f>
        <v/>
      </c>
      <c r="AB86">
        <f>HYPERLINK("https://klasma.github.io/Logging_2282/tillsynsmail/A 61008-2025 tillsynsbegäran mail.docx", "A 61008-2025")</f>
        <v/>
      </c>
      <c r="AC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46220</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s="2" t="inlineStr">
        <is>
          <t>Tibast</t>
        </is>
      </c>
      <c r="V87">
        <f>HYPERLINK("https://klasma.github.io/Logging_2282/artfynd/A 47192-2022 artfynd.xlsx", "A 47192-2022")</f>
        <v/>
      </c>
      <c r="W87">
        <f>HYPERLINK("https://klasma.github.io/Logging_2282/kartor/A 47192-2022 karta.png", "A 47192-2022")</f>
        <v/>
      </c>
      <c r="Y87">
        <f>HYPERLINK("https://klasma.github.io/Logging_2282/klagomål/A 47192-2022 FSC-klagomål.docx", "A 47192-2022")</f>
        <v/>
      </c>
      <c r="Z87">
        <f>HYPERLINK("https://klasma.github.io/Logging_2282/klagomålsmail/A 47192-2022 FSC-klagomål mail.docx", "A 47192-2022")</f>
        <v/>
      </c>
      <c r="AA87">
        <f>HYPERLINK("https://klasma.github.io/Logging_2282/tillsyn/A 47192-2022 tillsynsbegäran.docx", "A 47192-2022")</f>
        <v/>
      </c>
      <c r="AB87">
        <f>HYPERLINK("https://klasma.github.io/Logging_2282/tillsynsmail/A 47192-2022 tillsynsbegäran mail.docx", "A 47192-2022")</f>
        <v/>
      </c>
    </row>
    <row r="88" ht="15" customHeight="1">
      <c r="A88" t="inlineStr">
        <is>
          <t>A 9599-2026</t>
        </is>
      </c>
      <c r="B88" t="inlineStr">
        <is>
          <t>avverkningsanmälan</t>
        </is>
      </c>
      <c r="C88" t="inlineStr">
        <is>
          <t>Föryngringsavverkning</t>
        </is>
      </c>
      <c r="D88" s="1" t="n">
        <v>46071</v>
      </c>
      <c r="E88" s="1" t="n">
        <v>46220</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s="2" t="inlineStr">
        <is>
          <t>Tretåig hackspett</t>
        </is>
      </c>
      <c r="V88">
        <f>HYPERLINK("https://klasma.github.io/Logging_2282/artfynd/A 9599-2026 artfynd.xlsx", "A 9599-2026")</f>
        <v/>
      </c>
      <c r="W88">
        <f>HYPERLINK("https://klasma.github.io/Logging_2282/kartor/A 9599-2026 karta.png", "A 9599-2026")</f>
        <v/>
      </c>
      <c r="Y88">
        <f>HYPERLINK("https://klasma.github.io/Logging_2282/klagomål/A 9599-2026 FSC-klagomål.docx", "A 9599-2026")</f>
        <v/>
      </c>
      <c r="Z88">
        <f>HYPERLINK("https://klasma.github.io/Logging_2282/klagomålsmail/A 9599-2026 FSC-klagomål mail.docx", "A 9599-2026")</f>
        <v/>
      </c>
      <c r="AA88">
        <f>HYPERLINK("https://klasma.github.io/Logging_2282/tillsyn/A 9599-2026 tillsynsbegäran.docx", "A 9599-2026")</f>
        <v/>
      </c>
      <c r="AB88">
        <f>HYPERLINK("https://klasma.github.io/Logging_2282/tillsynsmail/A 9599-2026 tillsynsbegäran mail.docx", "A 9599-2026")</f>
        <v/>
      </c>
      <c r="AC88">
        <f>HYPERLINK("https://klasma.github.io/Logging_2282/fåglar/A 9599-2026 prioriterade fågelarter.docx", "A 9599-2026")</f>
        <v/>
      </c>
    </row>
    <row r="89" ht="15" customHeight="1">
      <c r="A89" t="inlineStr">
        <is>
          <t>A 48176-2023</t>
        </is>
      </c>
      <c r="B89" t="inlineStr">
        <is>
          <t>avverkningsanmälan</t>
        </is>
      </c>
      <c r="C89" t="inlineStr">
        <is>
          <t>Avverkning för annat ändamål</t>
        </is>
      </c>
      <c r="D89" s="1" t="n">
        <v>45199</v>
      </c>
      <c r="E89" s="1" t="n">
        <v>46220</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s="2" t="inlineStr">
        <is>
          <t>Mindre flugsnappare</t>
        </is>
      </c>
      <c r="V89">
        <f>HYPERLINK("https://klasma.github.io/Logging_2282/artfynd/A 48176-2023 artfynd.xlsx", "A 48176-2023")</f>
        <v/>
      </c>
      <c r="W89">
        <f>HYPERLINK("https://klasma.github.io/Logging_2282/kartor/A 48176-2023 karta.png", "A 48176-2023")</f>
        <v/>
      </c>
      <c r="Y89">
        <f>HYPERLINK("https://klasma.github.io/Logging_2282/klagomål/A 48176-2023 FSC-klagomål.docx", "A 48176-2023")</f>
        <v/>
      </c>
      <c r="Z89">
        <f>HYPERLINK("https://klasma.github.io/Logging_2282/klagomålsmail/A 48176-2023 FSC-klagomål mail.docx", "A 48176-2023")</f>
        <v/>
      </c>
      <c r="AA89">
        <f>HYPERLINK("https://klasma.github.io/Logging_2282/tillsyn/A 48176-2023 tillsynsbegäran.docx", "A 48176-2023")</f>
        <v/>
      </c>
      <c r="AB89">
        <f>HYPERLINK("https://klasma.github.io/Logging_2282/tillsynsmail/A 48176-2023 tillsynsbegäran mail.docx", "A 48176-2023")</f>
        <v/>
      </c>
      <c r="AC89">
        <f>HYPERLINK("https://klasma.github.io/Logging_2282/fåglar/A 48176-2023 prioriterade fågelarter.docx", "A 48176-2023")</f>
        <v/>
      </c>
    </row>
    <row r="90" ht="15" customHeight="1">
      <c r="A90" t="inlineStr">
        <is>
          <t>A 12535-2026</t>
        </is>
      </c>
      <c r="B90" t="inlineStr">
        <is>
          <t>avverkningsanmälan</t>
        </is>
      </c>
      <c r="C90" t="inlineStr">
        <is>
          <t>Föryngringsavverkning</t>
        </is>
      </c>
      <c r="D90" s="1" t="n">
        <v>46090</v>
      </c>
      <c r="E90" s="1" t="n">
        <v>46220</v>
      </c>
      <c r="F90" t="inlineStr">
        <is>
          <t>VÄSTERNORRLANDS LÄN</t>
        </is>
      </c>
      <c r="G90" t="inlineStr">
        <is>
          <t>KRAMFORS</t>
        </is>
      </c>
      <c r="I90" t="n">
        <v>4.9</v>
      </c>
      <c r="J90" t="n">
        <v>1</v>
      </c>
      <c r="K90" t="n">
        <v>0</v>
      </c>
      <c r="L90" t="n">
        <v>1</v>
      </c>
      <c r="M90" t="n">
        <v>0</v>
      </c>
      <c r="N90" t="n">
        <v>0</v>
      </c>
      <c r="O90" t="n">
        <v>0</v>
      </c>
      <c r="P90" t="n">
        <v>0</v>
      </c>
      <c r="Q90" t="n">
        <v>1</v>
      </c>
      <c r="R90" t="n">
        <v>0</v>
      </c>
      <c r="S90" t="n">
        <v>1</v>
      </c>
      <c r="T90" t="n">
        <v>1</v>
      </c>
      <c r="U90" s="2" t="inlineStr">
        <is>
          <t>Mindre hackspett</t>
        </is>
      </c>
      <c r="V90">
        <f>HYPERLINK("https://klasma.github.io/Logging_2282/artfynd/A 12535-2026 artfynd.xlsx", "A 12535-2026")</f>
        <v/>
      </c>
      <c r="W90">
        <f>HYPERLINK("https://klasma.github.io/Logging_2282/kartor/A 12535-2026 karta.png", "A 12535-2026")</f>
        <v/>
      </c>
      <c r="Y90">
        <f>HYPERLINK("https://klasma.github.io/Logging_2282/klagomål/A 12535-2026 FSC-klagomål.docx", "A 12535-2026")</f>
        <v/>
      </c>
      <c r="Z90">
        <f>HYPERLINK("https://klasma.github.io/Logging_2282/klagomålsmail/A 12535-2026 FSC-klagomål mail.docx", "A 12535-2026")</f>
        <v/>
      </c>
      <c r="AA90">
        <f>HYPERLINK("https://klasma.github.io/Logging_2282/tillsyn/A 12535-2026 tillsynsbegäran.docx", "A 12535-2026")</f>
        <v/>
      </c>
      <c r="AB90">
        <f>HYPERLINK("https://klasma.github.io/Logging_2282/tillsynsmail/A 12535-2026 tillsynsbegäran mail.docx", "A 12535-2026")</f>
        <v/>
      </c>
      <c r="AC90">
        <f>HYPERLINK("https://klasma.github.io/Logging_2282/fåglar/A 12535-2026 prioriterade fågelarter.docx", "A 12535-2026")</f>
        <v/>
      </c>
    </row>
    <row r="91" ht="15" customHeight="1">
      <c r="A91" t="inlineStr">
        <is>
          <t>A 13901-2026</t>
        </is>
      </c>
      <c r="B91" t="inlineStr">
        <is>
          <t>avverkningsanmälan</t>
        </is>
      </c>
      <c r="C91" t="inlineStr">
        <is>
          <t>Föryngringsavverkning</t>
        </is>
      </c>
      <c r="D91" s="1" t="n">
        <v>46098</v>
      </c>
      <c r="E91" s="1" t="n">
        <v>46220</v>
      </c>
      <c r="F91" t="inlineStr">
        <is>
          <t>VÄSTERNORRLANDS LÄN</t>
        </is>
      </c>
      <c r="G91" t="inlineStr">
        <is>
          <t>KRAMFORS</t>
        </is>
      </c>
      <c r="I91" t="n">
        <v>4.2</v>
      </c>
      <c r="J91" t="n">
        <v>0</v>
      </c>
      <c r="K91" t="n">
        <v>0</v>
      </c>
      <c r="L91" t="n">
        <v>1</v>
      </c>
      <c r="M91" t="n">
        <v>0</v>
      </c>
      <c r="N91" t="n">
        <v>0</v>
      </c>
      <c r="O91" t="n">
        <v>0</v>
      </c>
      <c r="P91" t="n">
        <v>0</v>
      </c>
      <c r="Q91" t="n">
        <v>1</v>
      </c>
      <c r="R91" t="n">
        <v>0</v>
      </c>
      <c r="S91" t="n">
        <v>1</v>
      </c>
      <c r="T91" t="n">
        <v>1</v>
      </c>
      <c r="U91" s="2" t="inlineStr">
        <is>
          <t>Rosenticka</t>
        </is>
      </c>
      <c r="V91">
        <f>HYPERLINK("https://klasma.github.io/Logging_2282/artfynd/A 13901-2026 artfynd.xlsx", "A 13901-2026")</f>
        <v/>
      </c>
      <c r="W91">
        <f>HYPERLINK("https://klasma.github.io/Logging_2282/kartor/A 13901-2026 karta.png", "A 13901-2026")</f>
        <v/>
      </c>
      <c r="Y91">
        <f>HYPERLINK("https://klasma.github.io/Logging_2282/klagomål/A 13901-2026 FSC-klagomål.docx", "A 13901-2026")</f>
        <v/>
      </c>
      <c r="Z91">
        <f>HYPERLINK("https://klasma.github.io/Logging_2282/klagomålsmail/A 13901-2026 FSC-klagomål mail.docx", "A 13901-2026")</f>
        <v/>
      </c>
      <c r="AA91">
        <f>HYPERLINK("https://klasma.github.io/Logging_2282/tillsyn/A 13901-2026 tillsynsbegäran.docx", "A 13901-2026")</f>
        <v/>
      </c>
      <c r="AB91">
        <f>HYPERLINK("https://klasma.github.io/Logging_2282/tillsynsmail/A 13901-2026 tillsynsbegäran mail.docx", "A 13901-2026")</f>
        <v/>
      </c>
    </row>
    <row r="92" ht="15" customHeight="1">
      <c r="A92" t="inlineStr">
        <is>
          <t>A 36209-2022</t>
        </is>
      </c>
      <c r="B92" t="inlineStr">
        <is>
          <t>avverkningsanmälan</t>
        </is>
      </c>
      <c r="C92" t="inlineStr">
        <is>
          <t>Föryngringsavverkning</t>
        </is>
      </c>
      <c r="D92" s="1" t="n">
        <v>44803</v>
      </c>
      <c r="E92" s="1" t="n">
        <v>46220</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s="2" t="inlineStr">
        <is>
          <t>Tretåig hackspett</t>
        </is>
      </c>
      <c r="V92">
        <f>HYPERLINK("https://klasma.github.io/Logging_2282/artfynd/A 36209-2022 artfynd.xlsx", "A 36209-2022")</f>
        <v/>
      </c>
      <c r="W92">
        <f>HYPERLINK("https://klasma.github.io/Logging_2282/kartor/A 36209-2022 karta.png", "A 36209-2022")</f>
        <v/>
      </c>
      <c r="Y92">
        <f>HYPERLINK("https://klasma.github.io/Logging_2282/klagomål/A 36209-2022 FSC-klagomål.docx", "A 36209-2022")</f>
        <v/>
      </c>
      <c r="Z92">
        <f>HYPERLINK("https://klasma.github.io/Logging_2282/klagomålsmail/A 36209-2022 FSC-klagomål mail.docx", "A 36209-2022")</f>
        <v/>
      </c>
      <c r="AA92">
        <f>HYPERLINK("https://klasma.github.io/Logging_2282/tillsyn/A 36209-2022 tillsynsbegäran.docx", "A 36209-2022")</f>
        <v/>
      </c>
      <c r="AB92">
        <f>HYPERLINK("https://klasma.github.io/Logging_2282/tillsynsmail/A 36209-2022 tillsynsbegäran mail.docx", "A 36209-2022")</f>
        <v/>
      </c>
      <c r="AC92">
        <f>HYPERLINK("https://klasma.github.io/Logging_2282/fåglar/A 36209-2022 prioriterade fågelarter.docx", "A 36209-2022")</f>
        <v/>
      </c>
    </row>
    <row r="93" ht="15" customHeight="1">
      <c r="A93" t="inlineStr">
        <is>
          <t>A 1663-2025</t>
        </is>
      </c>
      <c r="B93" t="inlineStr">
        <is>
          <t>avverkningsanmälan</t>
        </is>
      </c>
      <c r="C93" t="inlineStr">
        <is>
          <t>Föryngringsavverkning</t>
        </is>
      </c>
      <c r="D93" s="1" t="n">
        <v>45670</v>
      </c>
      <c r="E93" s="1" t="n">
        <v>46220</v>
      </c>
      <c r="F93" t="inlineStr">
        <is>
          <t>VÄSTERNORRLANDS LÄN</t>
        </is>
      </c>
      <c r="G93" t="inlineStr">
        <is>
          <t>KRAMFORS</t>
        </is>
      </c>
      <c r="I93" t="n">
        <v>7.1</v>
      </c>
      <c r="J93" t="n">
        <v>0</v>
      </c>
      <c r="K93" t="n">
        <v>0</v>
      </c>
      <c r="L93" t="n">
        <v>0</v>
      </c>
      <c r="M93" t="n">
        <v>1</v>
      </c>
      <c r="N93" t="n">
        <v>0</v>
      </c>
      <c r="O93" t="n">
        <v>0</v>
      </c>
      <c r="P93" t="n">
        <v>0</v>
      </c>
      <c r="Q93" t="n">
        <v>1</v>
      </c>
      <c r="R93" t="n">
        <v>1</v>
      </c>
      <c r="S93" t="n">
        <v>1</v>
      </c>
      <c r="T93" t="n">
        <v>1</v>
      </c>
      <c r="U93" s="2" t="inlineStr">
        <is>
          <t>Aspfjädermossa</t>
        </is>
      </c>
      <c r="V93">
        <f>HYPERLINK("https://klasma.github.io/Logging_2282/artfynd/A 1663-2025 artfynd.xlsx", "A 1663-2025")</f>
        <v/>
      </c>
      <c r="W93">
        <f>HYPERLINK("https://klasma.github.io/Logging_2282/kartor/A 1663-2025 karta.png", "A 1663-2025")</f>
        <v/>
      </c>
      <c r="Y93">
        <f>HYPERLINK("https://klasma.github.io/Logging_2282/klagomål/A 1663-2025 FSC-klagomål.docx", "A 1663-2025")</f>
        <v/>
      </c>
      <c r="Z93">
        <f>HYPERLINK("https://klasma.github.io/Logging_2282/klagomålsmail/A 1663-2025 FSC-klagomål mail.docx", "A 1663-2025")</f>
        <v/>
      </c>
      <c r="AA93">
        <f>HYPERLINK("https://klasma.github.io/Logging_2282/tillsyn/A 1663-2025 tillsynsbegäran.docx", "A 1663-2025")</f>
        <v/>
      </c>
      <c r="AB93">
        <f>HYPERLINK("https://klasma.github.io/Logging_2282/tillsynsmail/A 1663-2025 tillsynsbegäran mail.docx", "A 1663-2025")</f>
        <v/>
      </c>
    </row>
    <row r="94" ht="15" customHeight="1">
      <c r="A94" t="inlineStr">
        <is>
          <t>A 21074-2026</t>
        </is>
      </c>
      <c r="B94" t="inlineStr">
        <is>
          <t>avverkningsanmälan</t>
        </is>
      </c>
      <c r="C94" t="inlineStr">
        <is>
          <t>Föryngringsavverkning</t>
        </is>
      </c>
      <c r="D94" s="1" t="n">
        <v>46146</v>
      </c>
      <c r="E94" s="1" t="n">
        <v>46220</v>
      </c>
      <c r="F94" t="inlineStr">
        <is>
          <t>VÄSTERNORRLANDS LÄN</t>
        </is>
      </c>
      <c r="G94" t="inlineStr">
        <is>
          <t>KRAMFORS</t>
        </is>
      </c>
      <c r="I94" t="n">
        <v>8.199999999999999</v>
      </c>
      <c r="J94" t="n">
        <v>0</v>
      </c>
      <c r="K94" t="n">
        <v>1</v>
      </c>
      <c r="L94" t="n">
        <v>0</v>
      </c>
      <c r="M94" t="n">
        <v>0</v>
      </c>
      <c r="N94" t="n">
        <v>0</v>
      </c>
      <c r="O94" t="n">
        <v>0</v>
      </c>
      <c r="P94" t="n">
        <v>0</v>
      </c>
      <c r="Q94" t="n">
        <v>0</v>
      </c>
      <c r="R94" t="n">
        <v>0</v>
      </c>
      <c r="S94" t="n">
        <v>1</v>
      </c>
      <c r="T94" t="n">
        <v>1</v>
      </c>
      <c r="U94" s="2" t="inlineStr">
        <is>
          <t>Platt fjädermossa</t>
        </is>
      </c>
      <c r="V94">
        <f>HYPERLINK("https://klasma.github.io/Logging_2282/artfynd/A 21074-2026 artfynd.xlsx", "A 21074-2026")</f>
        <v/>
      </c>
      <c r="W94">
        <f>HYPERLINK("https://klasma.github.io/Logging_2282/kartor/A 21074-2026 karta.png", "A 21074-2026")</f>
        <v/>
      </c>
      <c r="Y94">
        <f>HYPERLINK("https://klasma.github.io/Logging_2282/klagomål/A 21074-2026 FSC-klagomål.docx", "A 21074-2026")</f>
        <v/>
      </c>
      <c r="Z94">
        <f>HYPERLINK("https://klasma.github.io/Logging_2282/klagomålsmail/A 21074-2026 FSC-klagomål mail.docx", "A 21074-2026")</f>
        <v/>
      </c>
      <c r="AA94">
        <f>HYPERLINK("https://klasma.github.io/Logging_2282/tillsyn/A 21074-2026 tillsynsbegäran.docx", "A 21074-2026")</f>
        <v/>
      </c>
      <c r="AB94">
        <f>HYPERLINK("https://klasma.github.io/Logging_2282/tillsynsmail/A 21074-2026 tillsynsbegäran mail.docx", "A 21074-2026")</f>
        <v/>
      </c>
    </row>
    <row r="95" ht="15" customHeight="1">
      <c r="A95" t="inlineStr">
        <is>
          <t>A 18793-2025</t>
        </is>
      </c>
      <c r="B95" t="inlineStr">
        <is>
          <t>avverkningsanmälan</t>
        </is>
      </c>
      <c r="C95" t="inlineStr">
        <is>
          <t>Föryngringsavverkning</t>
        </is>
      </c>
      <c r="D95" s="1" t="n">
        <v>45764</v>
      </c>
      <c r="E95" s="1" t="n">
        <v>46220</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s="2" t="inlineStr">
        <is>
          <t>Nordfladdermus</t>
        </is>
      </c>
      <c r="V95">
        <f>HYPERLINK("https://klasma.github.io/Logging_2282/artfynd/A 18793-2025 artfynd.xlsx", "A 18793-2025")</f>
        <v/>
      </c>
      <c r="W95">
        <f>HYPERLINK("https://klasma.github.io/Logging_2282/kartor/A 18793-2025 karta.png", "A 18793-2025")</f>
        <v/>
      </c>
      <c r="Y95">
        <f>HYPERLINK("https://klasma.github.io/Logging_2282/klagomål/A 18793-2025 FSC-klagomål.docx", "A 18793-2025")</f>
        <v/>
      </c>
      <c r="Z95">
        <f>HYPERLINK("https://klasma.github.io/Logging_2282/klagomålsmail/A 18793-2025 FSC-klagomål mail.docx", "A 18793-2025")</f>
        <v/>
      </c>
      <c r="AA95">
        <f>HYPERLINK("https://klasma.github.io/Logging_2282/tillsyn/A 18793-2025 tillsynsbegäran.docx", "A 18793-2025")</f>
        <v/>
      </c>
      <c r="AB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46220</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s="2" t="inlineStr">
        <is>
          <t>Tretåig hackspett</t>
        </is>
      </c>
      <c r="V96">
        <f>HYPERLINK("https://klasma.github.io/Logging_2282/artfynd/A 56401-2023 artfynd.xlsx", "A 56401-2023")</f>
        <v/>
      </c>
      <c r="W96">
        <f>HYPERLINK("https://klasma.github.io/Logging_2282/kartor/A 56401-2023 karta.png", "A 56401-2023")</f>
        <v/>
      </c>
      <c r="Y96">
        <f>HYPERLINK("https://klasma.github.io/Logging_2282/klagomål/A 56401-2023 FSC-klagomål.docx", "A 56401-2023")</f>
        <v/>
      </c>
      <c r="Z96">
        <f>HYPERLINK("https://klasma.github.io/Logging_2282/klagomålsmail/A 56401-2023 FSC-klagomål mail.docx", "A 56401-2023")</f>
        <v/>
      </c>
      <c r="AA96">
        <f>HYPERLINK("https://klasma.github.io/Logging_2282/tillsyn/A 56401-2023 tillsynsbegäran.docx", "A 56401-2023")</f>
        <v/>
      </c>
      <c r="AB96">
        <f>HYPERLINK("https://klasma.github.io/Logging_2282/tillsynsmail/A 56401-2023 tillsynsbegäran mail.docx", "A 56401-2023")</f>
        <v/>
      </c>
      <c r="AC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46220</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s="2" t="inlineStr">
        <is>
          <t>Sparvuggla</t>
        </is>
      </c>
      <c r="V97">
        <f>HYPERLINK("https://klasma.github.io/Logging_2282/artfynd/A 58965-2024 artfynd.xlsx", "A 58965-2024")</f>
        <v/>
      </c>
      <c r="W97">
        <f>HYPERLINK("https://klasma.github.io/Logging_2282/kartor/A 58965-2024 karta.png", "A 58965-2024")</f>
        <v/>
      </c>
      <c r="Y97">
        <f>HYPERLINK("https://klasma.github.io/Logging_2282/klagomål/A 58965-2024 FSC-klagomål.docx", "A 58965-2024")</f>
        <v/>
      </c>
      <c r="Z97">
        <f>HYPERLINK("https://klasma.github.io/Logging_2282/klagomålsmail/A 58965-2024 FSC-klagomål mail.docx", "A 58965-2024")</f>
        <v/>
      </c>
      <c r="AA97">
        <f>HYPERLINK("https://klasma.github.io/Logging_2282/tillsyn/A 58965-2024 tillsynsbegäran.docx", "A 58965-2024")</f>
        <v/>
      </c>
      <c r="AB97">
        <f>HYPERLINK("https://klasma.github.io/Logging_2282/tillsynsmail/A 58965-2024 tillsynsbegäran mail.docx", "A 58965-2024")</f>
        <v/>
      </c>
      <c r="AC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46220</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s="2" t="inlineStr">
        <is>
          <t>Ullticka</t>
        </is>
      </c>
      <c r="V98">
        <f>HYPERLINK("https://klasma.github.io/Logging_2282/artfynd/A 33239-2023 artfynd.xlsx", "A 33239-2023")</f>
        <v/>
      </c>
      <c r="W98">
        <f>HYPERLINK("https://klasma.github.io/Logging_2282/kartor/A 33239-2023 karta.png", "A 33239-2023")</f>
        <v/>
      </c>
      <c r="Y98">
        <f>HYPERLINK("https://klasma.github.io/Logging_2282/klagomål/A 33239-2023 FSC-klagomål.docx", "A 33239-2023")</f>
        <v/>
      </c>
      <c r="Z98">
        <f>HYPERLINK("https://klasma.github.io/Logging_2282/klagomålsmail/A 33239-2023 FSC-klagomål mail.docx", "A 33239-2023")</f>
        <v/>
      </c>
      <c r="AA98">
        <f>HYPERLINK("https://klasma.github.io/Logging_2282/tillsyn/A 33239-2023 tillsynsbegäran.docx", "A 33239-2023")</f>
        <v/>
      </c>
      <c r="AB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46220</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s="2" t="inlineStr">
        <is>
          <t>Garnlav</t>
        </is>
      </c>
      <c r="V99">
        <f>HYPERLINK("https://klasma.github.io/Logging_2282/artfynd/A 15374-2024 artfynd.xlsx", "A 15374-2024")</f>
        <v/>
      </c>
      <c r="W99">
        <f>HYPERLINK("https://klasma.github.io/Logging_2282/kartor/A 15374-2024 karta.png", "A 15374-2024")</f>
        <v/>
      </c>
      <c r="Y99">
        <f>HYPERLINK("https://klasma.github.io/Logging_2282/klagomål/A 15374-2024 FSC-klagomål.docx", "A 15374-2024")</f>
        <v/>
      </c>
      <c r="Z99">
        <f>HYPERLINK("https://klasma.github.io/Logging_2282/klagomålsmail/A 15374-2024 FSC-klagomål mail.docx", "A 15374-2024")</f>
        <v/>
      </c>
      <c r="AA99">
        <f>HYPERLINK("https://klasma.github.io/Logging_2282/tillsyn/A 15374-2024 tillsynsbegäran.docx", "A 15374-2024")</f>
        <v/>
      </c>
      <c r="AB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46220</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s="2" t="inlineStr">
        <is>
          <t>Skogshare</t>
        </is>
      </c>
      <c r="V100">
        <f>HYPERLINK("https://klasma.github.io/Logging_2282/artfynd/S 1800-2023 artfynd.xlsx", "S 1800-2023")</f>
        <v/>
      </c>
      <c r="W100">
        <f>HYPERLINK("https://klasma.github.io/Logging_2282/kartor/S 1800-2023 karta.png", "S 1800-2023")</f>
        <v/>
      </c>
      <c r="Y100">
        <f>HYPERLINK("https://klasma.github.io/Logging_2282/klagomål/S 1800-2023 FSC-klagomål.docx", "S 1800-2023")</f>
        <v/>
      </c>
      <c r="Z100">
        <f>HYPERLINK("https://klasma.github.io/Logging_2282/klagomålsmail/S 1800-2023 FSC-klagomål mail.docx", "S 1800-2023")</f>
        <v/>
      </c>
      <c r="AA100">
        <f>HYPERLINK("https://klasma.github.io/Logging_2282/tillsyn/S 1800-2023 tillsynsbegäran.docx", "S 1800-2023")</f>
        <v/>
      </c>
      <c r="AB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46220</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36644-2022</t>
        </is>
      </c>
      <c r="B102" t="inlineStr">
        <is>
          <t>avverkningsanmälan</t>
        </is>
      </c>
      <c r="C102" t="inlineStr">
        <is>
          <t>Föryngringsavverkning</t>
        </is>
      </c>
      <c r="D102" s="1" t="n">
        <v>44804</v>
      </c>
      <c r="E102" s="1" t="n">
        <v>46220</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53578-2021</t>
        </is>
      </c>
      <c r="B103" t="inlineStr">
        <is>
          <t>avverkningsanmälan</t>
        </is>
      </c>
      <c r="C103" t="inlineStr">
        <is>
          <t>Föryngringsavverkning</t>
        </is>
      </c>
      <c r="D103" s="1" t="n">
        <v>44469</v>
      </c>
      <c r="E103" s="1" t="n">
        <v>46220</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11838-2022</t>
        </is>
      </c>
      <c r="B104" t="inlineStr">
        <is>
          <t>avverkningsanmälan</t>
        </is>
      </c>
      <c r="C104" t="inlineStr">
        <is>
          <t>Föryngringsavverkning</t>
        </is>
      </c>
      <c r="D104" s="1" t="n">
        <v>44634</v>
      </c>
      <c r="E104" s="1" t="n">
        <v>46220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49434-2022</t>
        </is>
      </c>
      <c r="B105" t="inlineStr">
        <is>
          <t>avverkningsanmälan</t>
        </is>
      </c>
      <c r="C105" t="inlineStr">
        <is>
          <t>Föryngringsavverkning</t>
        </is>
      </c>
      <c r="D105" s="1" t="n">
        <v>44859</v>
      </c>
      <c r="E105" s="1" t="n">
        <v>46220</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63424-2021</t>
        </is>
      </c>
      <c r="B106" t="inlineStr">
        <is>
          <t>avverkningsanmälan</t>
        </is>
      </c>
      <c r="C106" t="inlineStr">
        <is>
          <t>Föryngringsavverkning</t>
        </is>
      </c>
      <c r="D106" s="1" t="n">
        <v>44508</v>
      </c>
      <c r="E106" s="1" t="n">
        <v>46220</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63446-2021</t>
        </is>
      </c>
      <c r="B107" t="inlineStr">
        <is>
          <t>avverkningsanmälan</t>
        </is>
      </c>
      <c r="C107" t="inlineStr">
        <is>
          <t>Föryngringsavverkning</t>
        </is>
      </c>
      <c r="D107" s="1" t="n">
        <v>44508</v>
      </c>
      <c r="E107" s="1" t="n">
        <v>46220</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s="2" t="inlineStr"/>
    </row>
    <row r="108" ht="15" customHeight="1">
      <c r="A108" t="inlineStr">
        <is>
          <t>A 5300-2022</t>
        </is>
      </c>
      <c r="B108" t="inlineStr">
        <is>
          <t>avverkningsanmälan</t>
        </is>
      </c>
      <c r="C108" t="inlineStr">
        <is>
          <t>Avverkning för annat ändamål</t>
        </is>
      </c>
      <c r="D108" s="1" t="n">
        <v>44594</v>
      </c>
      <c r="E108" s="1" t="n">
        <v>46220</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s="2" t="inlineStr"/>
    </row>
    <row r="109" ht="15" customHeight="1">
      <c r="A109" t="inlineStr">
        <is>
          <t>A 7822-2022</t>
        </is>
      </c>
      <c r="B109" t="inlineStr">
        <is>
          <t>avverkningsanmälan</t>
        </is>
      </c>
      <c r="C109" t="inlineStr">
        <is>
          <t>Föryngringsavverkning</t>
        </is>
      </c>
      <c r="D109" s="1" t="n">
        <v>44608</v>
      </c>
      <c r="E109" s="1" t="n">
        <v>46220</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63974-2021</t>
        </is>
      </c>
      <c r="B110" t="inlineStr">
        <is>
          <t>avverkningsanmälan</t>
        </is>
      </c>
      <c r="C110" t="inlineStr">
        <is>
          <t>Föryngringsavverkning</t>
        </is>
      </c>
      <c r="D110" s="1" t="n">
        <v>44509</v>
      </c>
      <c r="E110" s="1" t="n">
        <v>46220</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11293-2022</t>
        </is>
      </c>
      <c r="B111" t="inlineStr">
        <is>
          <t>avverkningsanmälan</t>
        </is>
      </c>
      <c r="C111" t="inlineStr">
        <is>
          <t>Föryngringsavverkning</t>
        </is>
      </c>
      <c r="D111" s="1" t="n">
        <v>44629</v>
      </c>
      <c r="E111" s="1" t="n">
        <v>46220</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47572-2021</t>
        </is>
      </c>
      <c r="B112" t="inlineStr">
        <is>
          <t>avverkningsanmälan</t>
        </is>
      </c>
      <c r="C112" t="inlineStr">
        <is>
          <t>Föryngringsavverkning</t>
        </is>
      </c>
      <c r="D112" s="1" t="n">
        <v>44447</v>
      </c>
      <c r="E112" s="1" t="n">
        <v>46220</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60630-2021</t>
        </is>
      </c>
      <c r="B113" t="inlineStr">
        <is>
          <t>avverkningsanmälan</t>
        </is>
      </c>
      <c r="C113" t="inlineStr">
        <is>
          <t>Föryngringsavverkning</t>
        </is>
      </c>
      <c r="D113" s="1" t="n">
        <v>44496</v>
      </c>
      <c r="E113" s="1" t="n">
        <v>46220</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4021-2022</t>
        </is>
      </c>
      <c r="B114" t="inlineStr">
        <is>
          <t>avverkningsanmälan</t>
        </is>
      </c>
      <c r="C114" t="inlineStr">
        <is>
          <t>Föryngringsavverkning</t>
        </is>
      </c>
      <c r="D114" s="1" t="n">
        <v>44587</v>
      </c>
      <c r="E114" s="1" t="n">
        <v>46220</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64440-2021</t>
        </is>
      </c>
      <c r="B115" t="inlineStr">
        <is>
          <t>avverkningsanmälan</t>
        </is>
      </c>
      <c r="C115" t="inlineStr">
        <is>
          <t>Föryngringsavverkning</t>
        </is>
      </c>
      <c r="D115" s="1" t="n">
        <v>44511</v>
      </c>
      <c r="E115" s="1" t="n">
        <v>46220</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s="2" t="inlineStr"/>
    </row>
    <row r="116" ht="15" customHeight="1">
      <c r="A116" t="inlineStr">
        <is>
          <t>A 4678-2022</t>
        </is>
      </c>
      <c r="B116" t="inlineStr">
        <is>
          <t>avverkningsanmälan</t>
        </is>
      </c>
      <c r="C116" t="inlineStr">
        <is>
          <t>Föryngringsavverkning</t>
        </is>
      </c>
      <c r="D116" s="1" t="n">
        <v>44592</v>
      </c>
      <c r="E116" s="1" t="n">
        <v>46220</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s="2" t="inlineStr"/>
    </row>
    <row r="117" ht="15" customHeight="1">
      <c r="A117" t="inlineStr">
        <is>
          <t>A 4684-2022</t>
        </is>
      </c>
      <c r="B117" t="inlineStr">
        <is>
          <t>avverkningsanmälan</t>
        </is>
      </c>
      <c r="C117" t="inlineStr">
        <is>
          <t>Föryngringsavverkning</t>
        </is>
      </c>
      <c r="D117" s="1" t="n">
        <v>44592</v>
      </c>
      <c r="E117" s="1" t="n">
        <v>46220</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23972-2022</t>
        </is>
      </c>
      <c r="B118" t="inlineStr">
        <is>
          <t>avverkningsanmälan</t>
        </is>
      </c>
      <c r="C118" t="inlineStr">
        <is>
          <t>Föryngringsavverkning</t>
        </is>
      </c>
      <c r="D118" s="1" t="n">
        <v>44722</v>
      </c>
      <c r="E118" s="1" t="n">
        <v>46220</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s="2" t="inlineStr"/>
    </row>
    <row r="119" ht="15" customHeight="1">
      <c r="A119" t="inlineStr">
        <is>
          <t>A 48360-2022</t>
        </is>
      </c>
      <c r="B119" t="inlineStr">
        <is>
          <t>avverkningsanmälan</t>
        </is>
      </c>
      <c r="C119" t="inlineStr">
        <is>
          <t>Föryngringsavverkning</t>
        </is>
      </c>
      <c r="D119" s="1" t="n">
        <v>44854</v>
      </c>
      <c r="E119" s="1" t="n">
        <v>46220</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50567-2021</t>
        </is>
      </c>
      <c r="B120" t="inlineStr">
        <is>
          <t>avverkningsanmälan</t>
        </is>
      </c>
      <c r="C120" t="inlineStr">
        <is>
          <t>Föryngringsavverkning</t>
        </is>
      </c>
      <c r="D120" s="1" t="n">
        <v>44459</v>
      </c>
      <c r="E120" s="1" t="n">
        <v>46220</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18764-2022</t>
        </is>
      </c>
      <c r="B121" t="inlineStr">
        <is>
          <t>avverkningsanmälan</t>
        </is>
      </c>
      <c r="C121" t="inlineStr">
        <is>
          <t>Föryngringsavverkning</t>
        </is>
      </c>
      <c r="D121" s="1" t="n">
        <v>44688</v>
      </c>
      <c r="E121" s="1" t="n">
        <v>46220</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73989-2021</t>
        </is>
      </c>
      <c r="B122" t="inlineStr">
        <is>
          <t>avverkningsanmälan</t>
        </is>
      </c>
      <c r="C122" t="inlineStr">
        <is>
          <t>Avverkning för annat ändamål</t>
        </is>
      </c>
      <c r="D122" s="1" t="n">
        <v>44556</v>
      </c>
      <c r="E122" s="1" t="n">
        <v>46220</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47171-2022</t>
        </is>
      </c>
      <c r="B123" t="inlineStr">
        <is>
          <t>avverkningsanmälan</t>
        </is>
      </c>
      <c r="C123" t="inlineStr">
        <is>
          <t>Föryngringsavverkning</t>
        </is>
      </c>
      <c r="D123" s="1" t="n">
        <v>44852</v>
      </c>
      <c r="E123" s="1" t="n">
        <v>46220</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s="2" t="inlineStr"/>
    </row>
    <row r="124" ht="15" customHeight="1">
      <c r="A124" t="inlineStr">
        <is>
          <t>A 63434-2021</t>
        </is>
      </c>
      <c r="B124" t="inlineStr">
        <is>
          <t>avverkningsanmälan</t>
        </is>
      </c>
      <c r="C124" t="inlineStr">
        <is>
          <t>Föryngringsavverkning</t>
        </is>
      </c>
      <c r="D124" s="1" t="n">
        <v>44508</v>
      </c>
      <c r="E124" s="1" t="n">
        <v>46220</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39365-2022</t>
        </is>
      </c>
      <c r="B125" t="inlineStr">
        <is>
          <t>avverkningsanmälan</t>
        </is>
      </c>
      <c r="C125" t="inlineStr">
        <is>
          <t>Föryngringsavverkning</t>
        </is>
      </c>
      <c r="D125" s="1" t="n">
        <v>44817</v>
      </c>
      <c r="E125" s="1" t="n">
        <v>46220</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39366-2022</t>
        </is>
      </c>
      <c r="B126" t="inlineStr">
        <is>
          <t>avverkningsanmälan</t>
        </is>
      </c>
      <c r="C126" t="inlineStr">
        <is>
          <t>Föryngringsavverkning</t>
        </is>
      </c>
      <c r="D126" s="1" t="n">
        <v>44817</v>
      </c>
      <c r="E126" s="1" t="n">
        <v>46220</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30519-2022</t>
        </is>
      </c>
      <c r="B127" t="inlineStr">
        <is>
          <t>avverkningsanmälan</t>
        </is>
      </c>
      <c r="C127" t="inlineStr">
        <is>
          <t>Föryngringsavverkning</t>
        </is>
      </c>
      <c r="D127" s="1" t="n">
        <v>44762</v>
      </c>
      <c r="E127" s="1" t="n">
        <v>46220</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63701-2021</t>
        </is>
      </c>
      <c r="B128" t="inlineStr">
        <is>
          <t>avverkningsanmälan</t>
        </is>
      </c>
      <c r="C128" t="inlineStr">
        <is>
          <t>Föryngringsavverkning</t>
        </is>
      </c>
      <c r="D128" s="1" t="n">
        <v>44509</v>
      </c>
      <c r="E128" s="1" t="n">
        <v>46220</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49438-2022</t>
        </is>
      </c>
      <c r="B129" t="inlineStr">
        <is>
          <t>avverkningsanmälan</t>
        </is>
      </c>
      <c r="C129" t="inlineStr">
        <is>
          <t>Föryngringsavverkning</t>
        </is>
      </c>
      <c r="D129" s="1" t="n">
        <v>44859</v>
      </c>
      <c r="E129" s="1" t="n">
        <v>46220</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48897-2021</t>
        </is>
      </c>
      <c r="B130" t="inlineStr">
        <is>
          <t>avverkningsanmälan</t>
        </is>
      </c>
      <c r="C130" t="inlineStr">
        <is>
          <t>Föryngringsavverkning</t>
        </is>
      </c>
      <c r="D130" s="1" t="n">
        <v>44452</v>
      </c>
      <c r="E130" s="1" t="n">
        <v>46220</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s="2" t="inlineStr"/>
    </row>
    <row r="131" ht="15" customHeight="1">
      <c r="A131" t="inlineStr">
        <is>
          <t>A 2852-2022</t>
        </is>
      </c>
      <c r="B131" t="inlineStr">
        <is>
          <t>avverkningsanmälan</t>
        </is>
      </c>
      <c r="C131" t="inlineStr">
        <is>
          <t>Föryngringsavverkning</t>
        </is>
      </c>
      <c r="D131" s="1" t="n">
        <v>44581</v>
      </c>
      <c r="E131" s="1" t="n">
        <v>46220</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43293-2021</t>
        </is>
      </c>
      <c r="B132" t="inlineStr">
        <is>
          <t>avverkningsanmälan</t>
        </is>
      </c>
      <c r="C132" t="inlineStr">
        <is>
          <t>Avverkning för annat ändamål</t>
        </is>
      </c>
      <c r="D132" s="1" t="n">
        <v>44432</v>
      </c>
      <c r="E132" s="1" t="n">
        <v>46220</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65829-2021</t>
        </is>
      </c>
      <c r="B133" t="inlineStr">
        <is>
          <t>avverkningsanmälan</t>
        </is>
      </c>
      <c r="C133" t="inlineStr">
        <is>
          <t>Föryngringsavverkning</t>
        </is>
      </c>
      <c r="D133" s="1" t="n">
        <v>44516</v>
      </c>
      <c r="E133" s="1" t="n">
        <v>46220</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63971-2021</t>
        </is>
      </c>
      <c r="B134" t="inlineStr">
        <is>
          <t>avverkningsanmälan</t>
        </is>
      </c>
      <c r="C134" t="inlineStr">
        <is>
          <t>Föryngringsavverkning</t>
        </is>
      </c>
      <c r="D134" s="1" t="n">
        <v>44509</v>
      </c>
      <c r="E134" s="1" t="n">
        <v>46220</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71722-2021</t>
        </is>
      </c>
      <c r="B135" t="inlineStr">
        <is>
          <t>avverkningsanmälan</t>
        </is>
      </c>
      <c r="C135" t="inlineStr">
        <is>
          <t>Föryngringsavverkning</t>
        </is>
      </c>
      <c r="D135" s="1" t="n">
        <v>44539</v>
      </c>
      <c r="E135" s="1" t="n">
        <v>46220</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692-2022</t>
        </is>
      </c>
      <c r="B136" t="inlineStr">
        <is>
          <t>avverkningsanmälan</t>
        </is>
      </c>
      <c r="C136" t="inlineStr">
        <is>
          <t>Avverkning för annat ändamål</t>
        </is>
      </c>
      <c r="D136" s="1" t="n">
        <v>44566</v>
      </c>
      <c r="E136" s="1" t="n">
        <v>46220</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72008-2021</t>
        </is>
      </c>
      <c r="B137" t="inlineStr">
        <is>
          <t>avverkningsanmälan</t>
        </is>
      </c>
      <c r="C137" t="inlineStr">
        <is>
          <t>Föryngringsavverkning</t>
        </is>
      </c>
      <c r="D137" s="1" t="n">
        <v>44540</v>
      </c>
      <c r="E137" s="1" t="n">
        <v>46220</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18612-2022</t>
        </is>
      </c>
      <c r="B138" t="inlineStr">
        <is>
          <t>avverkningsanmälan</t>
        </is>
      </c>
      <c r="C138" t="inlineStr">
        <is>
          <t>Föryngringsavverkning</t>
        </is>
      </c>
      <c r="D138" s="1" t="n">
        <v>44687</v>
      </c>
      <c r="E138" s="1" t="n">
        <v>46220</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5303-2022</t>
        </is>
      </c>
      <c r="B139" t="inlineStr">
        <is>
          <t>avverkningsanmälan</t>
        </is>
      </c>
      <c r="C139" t="inlineStr">
        <is>
          <t>Avverkning för annat ändamål</t>
        </is>
      </c>
      <c r="D139" s="1" t="n">
        <v>44594</v>
      </c>
      <c r="E139" s="1" t="n">
        <v>46220</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s="2" t="inlineStr"/>
    </row>
    <row r="140" ht="15" customHeight="1">
      <c r="A140" t="inlineStr">
        <is>
          <t>A 23200-2022</t>
        </is>
      </c>
      <c r="B140" t="inlineStr">
        <is>
          <t>avverkningsanmälan</t>
        </is>
      </c>
      <c r="C140" t="inlineStr">
        <is>
          <t>Föryngringsavverkning</t>
        </is>
      </c>
      <c r="D140" s="1" t="n">
        <v>44719</v>
      </c>
      <c r="E140" s="1" t="n">
        <v>46220</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22949-2022</t>
        </is>
      </c>
      <c r="B141" t="inlineStr">
        <is>
          <t>avverkningsanmälan</t>
        </is>
      </c>
      <c r="C141" t="inlineStr">
        <is>
          <t>Föryngringsavverkning</t>
        </is>
      </c>
      <c r="D141" s="1" t="n">
        <v>44715</v>
      </c>
      <c r="E141" s="1" t="n">
        <v>46220</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57737-2021</t>
        </is>
      </c>
      <c r="B142" t="inlineStr">
        <is>
          <t>avverkningsanmälan</t>
        </is>
      </c>
      <c r="C142" t="inlineStr">
        <is>
          <t>Föryngringsavverkning</t>
        </is>
      </c>
      <c r="D142" s="1" t="n">
        <v>44484</v>
      </c>
      <c r="E142" s="1" t="n">
        <v>46220</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36212-2022</t>
        </is>
      </c>
      <c r="B143" t="inlineStr">
        <is>
          <t>avverkningsanmälan</t>
        </is>
      </c>
      <c r="C143" t="inlineStr">
        <is>
          <t>Föryngringsavverkning</t>
        </is>
      </c>
      <c r="D143" s="1" t="n">
        <v>44803</v>
      </c>
      <c r="E143" s="1" t="n">
        <v>46220</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11294-2022</t>
        </is>
      </c>
      <c r="B144" t="inlineStr">
        <is>
          <t>avverkningsanmälan</t>
        </is>
      </c>
      <c r="C144" t="inlineStr">
        <is>
          <t>Föryngringsavverkning</t>
        </is>
      </c>
      <c r="D144" s="1" t="n">
        <v>44629</v>
      </c>
      <c r="E144" s="1" t="n">
        <v>46220</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5297-2022</t>
        </is>
      </c>
      <c r="B145" t="inlineStr">
        <is>
          <t>avverkningsanmälan</t>
        </is>
      </c>
      <c r="C145" t="inlineStr">
        <is>
          <t>Avverkning för annat ändamål</t>
        </is>
      </c>
      <c r="D145" s="1" t="n">
        <v>44594</v>
      </c>
      <c r="E145" s="1" t="n">
        <v>46220</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35867-2022</t>
        </is>
      </c>
      <c r="B146" t="inlineStr">
        <is>
          <t>avverkningsanmälan</t>
        </is>
      </c>
      <c r="C146" t="inlineStr">
        <is>
          <t>Föryngringsavverkning</t>
        </is>
      </c>
      <c r="D146" s="1" t="n">
        <v>44802</v>
      </c>
      <c r="E146" s="1" t="n">
        <v>46220</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63699-2021</t>
        </is>
      </c>
      <c r="B147" t="inlineStr">
        <is>
          <t>avverkningsanmälan</t>
        </is>
      </c>
      <c r="C147" t="inlineStr">
        <is>
          <t>Föryngringsavverkning</t>
        </is>
      </c>
      <c r="D147" s="1" t="n">
        <v>44509</v>
      </c>
      <c r="E147" s="1" t="n">
        <v>46220</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s="2" t="inlineStr"/>
    </row>
    <row r="148" ht="15" customHeight="1">
      <c r="A148" t="inlineStr">
        <is>
          <t>A 71559-2021</t>
        </is>
      </c>
      <c r="B148" t="inlineStr">
        <is>
          <t>avverkningsanmälan</t>
        </is>
      </c>
      <c r="C148" t="inlineStr">
        <is>
          <t>Föryngringsavverkning</t>
        </is>
      </c>
      <c r="D148" s="1" t="n">
        <v>44540</v>
      </c>
      <c r="E148" s="1" t="n">
        <v>46220</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52364-2021</t>
        </is>
      </c>
      <c r="B149" t="inlineStr">
        <is>
          <t>avverkningsanmälan</t>
        </is>
      </c>
      <c r="C149" t="inlineStr">
        <is>
          <t>Föryngringsavverkning</t>
        </is>
      </c>
      <c r="D149" s="1" t="n">
        <v>44465</v>
      </c>
      <c r="E149" s="1" t="n">
        <v>46220</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57213-2021</t>
        </is>
      </c>
      <c r="B150" t="inlineStr">
        <is>
          <t>avverkningsanmälan</t>
        </is>
      </c>
      <c r="C150" t="inlineStr">
        <is>
          <t>Avverkning för annat ändamål</t>
        </is>
      </c>
      <c r="D150" s="1" t="n">
        <v>44482</v>
      </c>
      <c r="E150" s="1" t="n">
        <v>46220</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73277-2021</t>
        </is>
      </c>
      <c r="B151" t="inlineStr">
        <is>
          <t>avverkningsanmälan</t>
        </is>
      </c>
      <c r="C151" t="inlineStr">
        <is>
          <t>Föryngringsavverkning</t>
        </is>
      </c>
      <c r="D151" s="1" t="n">
        <v>44550</v>
      </c>
      <c r="E151" s="1" t="n">
        <v>46220</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7716-2022</t>
        </is>
      </c>
      <c r="B152" t="inlineStr">
        <is>
          <t>avverkningsanmälan</t>
        </is>
      </c>
      <c r="C152" t="inlineStr">
        <is>
          <t>Föryngringsavverkning</t>
        </is>
      </c>
      <c r="D152" s="1" t="n">
        <v>44607</v>
      </c>
      <c r="E152" s="1" t="n">
        <v>46220</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53270-2022</t>
        </is>
      </c>
      <c r="B153" t="inlineStr">
        <is>
          <t>avverkningsanmälan</t>
        </is>
      </c>
      <c r="C153" t="inlineStr">
        <is>
          <t>Föryngringsavverkning</t>
        </is>
      </c>
      <c r="D153" s="1" t="n">
        <v>44876</v>
      </c>
      <c r="E153" s="1" t="n">
        <v>46220</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11038-2022</t>
        </is>
      </c>
      <c r="B154" t="inlineStr">
        <is>
          <t>avverkningsanmälan</t>
        </is>
      </c>
      <c r="C154" t="inlineStr">
        <is>
          <t>Föryngringsavverkning</t>
        </is>
      </c>
      <c r="D154" s="1" t="n">
        <v>44628</v>
      </c>
      <c r="E154" s="1" t="n">
        <v>46220</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41324-2021</t>
        </is>
      </c>
      <c r="B155" t="inlineStr">
        <is>
          <t>avverkningsanmälan</t>
        </is>
      </c>
      <c r="C155" t="inlineStr">
        <is>
          <t>Föryngringsavverkning</t>
        </is>
      </c>
      <c r="D155" s="1" t="n">
        <v>44424</v>
      </c>
      <c r="E155" s="1" t="n">
        <v>46220</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9257-2022</t>
        </is>
      </c>
      <c r="B156" t="inlineStr">
        <is>
          <t>avverkningsanmälan</t>
        </is>
      </c>
      <c r="C156" t="inlineStr">
        <is>
          <t>Föryngringsavverkning</t>
        </is>
      </c>
      <c r="D156" s="1" t="n">
        <v>44616</v>
      </c>
      <c r="E156" s="1" t="n">
        <v>46220</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s="2" t="inlineStr"/>
    </row>
    <row r="157" ht="15" customHeight="1">
      <c r="A157" t="inlineStr">
        <is>
          <t>A 28943-2022</t>
        </is>
      </c>
      <c r="B157" t="inlineStr">
        <is>
          <t>avverkningsanmälan</t>
        </is>
      </c>
      <c r="C157" t="inlineStr">
        <is>
          <t>Föryngringsavverkning</t>
        </is>
      </c>
      <c r="D157" s="1" t="n">
        <v>44749</v>
      </c>
      <c r="E157" s="1" t="n">
        <v>46220</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20056-2022</t>
        </is>
      </c>
      <c r="B158" t="inlineStr">
        <is>
          <t>avverkningsanmälan</t>
        </is>
      </c>
      <c r="C158" t="inlineStr">
        <is>
          <t>Föryngringsavverkning</t>
        </is>
      </c>
      <c r="D158" s="1" t="n">
        <v>44697</v>
      </c>
      <c r="E158" s="1" t="n">
        <v>46220</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2775-2022</t>
        </is>
      </c>
      <c r="B159" t="inlineStr">
        <is>
          <t>avverkningsanmälan</t>
        </is>
      </c>
      <c r="C159" t="inlineStr">
        <is>
          <t>Avverkning för annat ändamål</t>
        </is>
      </c>
      <c r="D159" s="1" t="n">
        <v>44581</v>
      </c>
      <c r="E159" s="1" t="n">
        <v>46220</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62317-2021</t>
        </is>
      </c>
      <c r="B160" t="inlineStr">
        <is>
          <t>avverkningsanmälan</t>
        </is>
      </c>
      <c r="C160" t="inlineStr">
        <is>
          <t>Föryngringsavverkning</t>
        </is>
      </c>
      <c r="D160" s="1" t="n">
        <v>44503</v>
      </c>
      <c r="E160" s="1" t="n">
        <v>46220</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46512-2022</t>
        </is>
      </c>
      <c r="B161" t="inlineStr">
        <is>
          <t>avverkningsanmälan</t>
        </is>
      </c>
      <c r="C161" t="inlineStr">
        <is>
          <t>Föryngringsavverkning</t>
        </is>
      </c>
      <c r="D161" s="1" t="n">
        <v>44847</v>
      </c>
      <c r="E161" s="1" t="n">
        <v>46220</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s="2" t="inlineStr"/>
    </row>
    <row r="162" ht="15" customHeight="1">
      <c r="A162" t="inlineStr">
        <is>
          <t>A 49583-2022</t>
        </is>
      </c>
      <c r="B162" t="inlineStr">
        <is>
          <t>avverkningsanmälan</t>
        </is>
      </c>
      <c r="C162" t="inlineStr">
        <is>
          <t>Föryngringsavverkning</t>
        </is>
      </c>
      <c r="D162" s="1" t="n">
        <v>44859</v>
      </c>
      <c r="E162" s="1" t="n">
        <v>46220</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42678-2021</t>
        </is>
      </c>
      <c r="B163" t="inlineStr">
        <is>
          <t>avverkningsanmälan</t>
        </is>
      </c>
      <c r="C163" t="inlineStr">
        <is>
          <t>Föryngringsavverkning</t>
        </is>
      </c>
      <c r="D163" s="1" t="n">
        <v>44428</v>
      </c>
      <c r="E163" s="1" t="n">
        <v>46220</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57742-2021</t>
        </is>
      </c>
      <c r="B164" t="inlineStr">
        <is>
          <t>avverkningsanmälan</t>
        </is>
      </c>
      <c r="C164" t="inlineStr">
        <is>
          <t>Föryngringsavverkning</t>
        </is>
      </c>
      <c r="D164" s="1" t="n">
        <v>44484</v>
      </c>
      <c r="E164" s="1" t="n">
        <v>46220</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6486-2022</t>
        </is>
      </c>
      <c r="B165" t="inlineStr">
        <is>
          <t>avverkningsanmälan</t>
        </is>
      </c>
      <c r="C165" t="inlineStr">
        <is>
          <t>Föryngringsavverkning</t>
        </is>
      </c>
      <c r="D165" s="1" t="n">
        <v>44601</v>
      </c>
      <c r="E165" s="1" t="n">
        <v>46220</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s="2" t="inlineStr"/>
    </row>
    <row r="166" ht="15" customHeight="1">
      <c r="A166" t="inlineStr">
        <is>
          <t>A 32483-2022</t>
        </is>
      </c>
      <c r="B166" t="inlineStr">
        <is>
          <t>avverkningsanmälan</t>
        </is>
      </c>
      <c r="C166" t="inlineStr">
        <is>
          <t>Föryngringsavverkning</t>
        </is>
      </c>
      <c r="D166" s="1" t="n">
        <v>44782</v>
      </c>
      <c r="E166" s="1" t="n">
        <v>46220</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s="2" t="inlineStr"/>
    </row>
    <row r="167" ht="15" customHeight="1">
      <c r="A167" t="inlineStr">
        <is>
          <t>A 54857-2021</t>
        </is>
      </c>
      <c r="B167" t="inlineStr">
        <is>
          <t>avverkningsanmälan</t>
        </is>
      </c>
      <c r="C167" t="inlineStr">
        <is>
          <t>Föryngringsavverkning</t>
        </is>
      </c>
      <c r="D167" s="1" t="n">
        <v>44474</v>
      </c>
      <c r="E167" s="1" t="n">
        <v>46220</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2823-2022</t>
        </is>
      </c>
      <c r="B168" t="inlineStr">
        <is>
          <t>avverkningsanmälan</t>
        </is>
      </c>
      <c r="C168" t="inlineStr">
        <is>
          <t>Föryngringsavverkning</t>
        </is>
      </c>
      <c r="D168" s="1" t="n">
        <v>44581</v>
      </c>
      <c r="E168" s="1" t="n">
        <v>46220</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s="2" t="inlineStr"/>
    </row>
    <row r="169" ht="15" customHeight="1">
      <c r="A169" t="inlineStr">
        <is>
          <t>A 45577-2021</t>
        </is>
      </c>
      <c r="B169" t="inlineStr">
        <is>
          <t>avverkningsanmälan</t>
        </is>
      </c>
      <c r="C169" t="inlineStr">
        <is>
          <t>Föryngringsavverkning</t>
        </is>
      </c>
      <c r="D169" s="1" t="n">
        <v>44440</v>
      </c>
      <c r="E169" s="1" t="n">
        <v>46220</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s="2" t="inlineStr"/>
    </row>
    <row r="170" ht="15" customHeight="1">
      <c r="A170" t="inlineStr">
        <is>
          <t>A 36647-2022</t>
        </is>
      </c>
      <c r="B170" t="inlineStr">
        <is>
          <t>avverkningsanmälan</t>
        </is>
      </c>
      <c r="C170" t="inlineStr">
        <is>
          <t>Föryngringsavverkning</t>
        </is>
      </c>
      <c r="D170" s="1" t="n">
        <v>44804</v>
      </c>
      <c r="E170" s="1" t="n">
        <v>46220</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57203-2021</t>
        </is>
      </c>
      <c r="B171" t="inlineStr">
        <is>
          <t>avverkningsanmälan</t>
        </is>
      </c>
      <c r="C171" t="inlineStr">
        <is>
          <t>Föryngringsavverkning</t>
        </is>
      </c>
      <c r="D171" s="1" t="n">
        <v>44482</v>
      </c>
      <c r="E171" s="1" t="n">
        <v>46220</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s="2" t="inlineStr"/>
    </row>
    <row r="172" ht="15" customHeight="1">
      <c r="A172" t="inlineStr">
        <is>
          <t>A 10311-2024</t>
        </is>
      </c>
      <c r="B172" t="inlineStr">
        <is>
          <t>avverkningsanmälan</t>
        </is>
      </c>
      <c r="C172" t="inlineStr">
        <is>
          <t>Avverkning för annat ändamål</t>
        </is>
      </c>
      <c r="D172" s="1" t="n">
        <v>45365</v>
      </c>
      <c r="E172" s="1" t="n">
        <v>46220</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5151-2023</t>
        </is>
      </c>
      <c r="B173" t="inlineStr">
        <is>
          <t>avverkningsanmälan</t>
        </is>
      </c>
      <c r="C173" t="inlineStr">
        <is>
          <t>Föryngringsavverkning</t>
        </is>
      </c>
      <c r="D173" s="1" t="n">
        <v>44958</v>
      </c>
      <c r="E173" s="1" t="n">
        <v>46220</v>
      </c>
      <c r="F173" t="inlineStr">
        <is>
          <t>VÄSTERNORRLANDS LÄN</t>
        </is>
      </c>
      <c r="G173" t="inlineStr">
        <is>
          <t>KRAMFORS</t>
        </is>
      </c>
      <c r="I173" t="n">
        <v>11.3</v>
      </c>
      <c r="J173" t="n">
        <v>0</v>
      </c>
      <c r="K173" t="n">
        <v>0</v>
      </c>
      <c r="L173" t="n">
        <v>0</v>
      </c>
      <c r="M173" t="n">
        <v>0</v>
      </c>
      <c r="N173" t="n">
        <v>0</v>
      </c>
      <c r="O173" t="n">
        <v>0</v>
      </c>
      <c r="P173" t="n">
        <v>0</v>
      </c>
      <c r="Q173" t="n">
        <v>0</v>
      </c>
      <c r="R173" t="n">
        <v>0</v>
      </c>
      <c r="S173" t="n">
        <v>0</v>
      </c>
      <c r="T173" t="n">
        <v>0</v>
      </c>
      <c r="U173" s="2" t="inlineStr"/>
    </row>
    <row r="174" ht="15" customHeight="1">
      <c r="A174" t="inlineStr">
        <is>
          <t>A 36178-2024</t>
        </is>
      </c>
      <c r="B174" t="inlineStr">
        <is>
          <t>avverkningsanmälan</t>
        </is>
      </c>
      <c r="C174" t="inlineStr">
        <is>
          <t>Föryngringsavverkning</t>
        </is>
      </c>
      <c r="D174" s="1" t="n">
        <v>45534</v>
      </c>
      <c r="E174" s="1" t="n">
        <v>46220</v>
      </c>
      <c r="F174" t="inlineStr">
        <is>
          <t>VÄSTERNORRLANDS LÄN</t>
        </is>
      </c>
      <c r="G174" t="inlineStr">
        <is>
          <t>KRAMFORS</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9506-2023</t>
        </is>
      </c>
      <c r="B175" t="inlineStr">
        <is>
          <t>avverkningsanmälan</t>
        </is>
      </c>
      <c r="C175" t="inlineStr">
        <is>
          <t>Föryngringsavverkning</t>
        </is>
      </c>
      <c r="D175" s="1" t="n">
        <v>44978</v>
      </c>
      <c r="E175" s="1" t="n">
        <v>46220</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8257-2022</t>
        </is>
      </c>
      <c r="B176" t="inlineStr">
        <is>
          <t>avverkningsanmälan</t>
        </is>
      </c>
      <c r="C176" t="inlineStr">
        <is>
          <t>Föryngringsavverkning</t>
        </is>
      </c>
      <c r="D176" s="1" t="n">
        <v>44610</v>
      </c>
      <c r="E176" s="1" t="n">
        <v>46220</v>
      </c>
      <c r="F176" t="inlineStr">
        <is>
          <t>VÄSTERNORRLANDS LÄN</t>
        </is>
      </c>
      <c r="G176" t="inlineStr">
        <is>
          <t>KRAMFORS</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64042-2023</t>
        </is>
      </c>
      <c r="B177" t="inlineStr">
        <is>
          <t>avverkningsanmälan</t>
        </is>
      </c>
      <c r="C177" t="inlineStr">
        <is>
          <t>Föryngringsavverkning</t>
        </is>
      </c>
      <c r="D177" s="1" t="n">
        <v>45279</v>
      </c>
      <c r="E177" s="1" t="n">
        <v>46220</v>
      </c>
      <c r="F177" t="inlineStr">
        <is>
          <t>VÄSTERNORRLANDS LÄN</t>
        </is>
      </c>
      <c r="G177" t="inlineStr">
        <is>
          <t>KRAMFORS</t>
        </is>
      </c>
      <c r="I177" t="n">
        <v>6.2</v>
      </c>
      <c r="J177" t="n">
        <v>0</v>
      </c>
      <c r="K177" t="n">
        <v>0</v>
      </c>
      <c r="L177" t="n">
        <v>0</v>
      </c>
      <c r="M177" t="n">
        <v>0</v>
      </c>
      <c r="N177" t="n">
        <v>0</v>
      </c>
      <c r="O177" t="n">
        <v>0</v>
      </c>
      <c r="P177" t="n">
        <v>0</v>
      </c>
      <c r="Q177" t="n">
        <v>0</v>
      </c>
      <c r="R177" t="n">
        <v>0</v>
      </c>
      <c r="S177" t="n">
        <v>0</v>
      </c>
      <c r="T177" t="n">
        <v>0</v>
      </c>
      <c r="U177" s="2" t="inlineStr"/>
    </row>
    <row r="178" ht="15" customHeight="1">
      <c r="A178" t="inlineStr">
        <is>
          <t>A 47652-2024</t>
        </is>
      </c>
      <c r="B178" t="inlineStr">
        <is>
          <t>avverkningsanmälan</t>
        </is>
      </c>
      <c r="C178" t="inlineStr">
        <is>
          <t>Föryngringsavverkning</t>
        </is>
      </c>
      <c r="D178" s="1" t="n">
        <v>45588</v>
      </c>
      <c r="E178" s="1" t="n">
        <v>46220</v>
      </c>
      <c r="F178" t="inlineStr">
        <is>
          <t>VÄSTERNORRLANDS LÄN</t>
        </is>
      </c>
      <c r="G178" t="inlineStr">
        <is>
          <t>KRAMFORS</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47667-2024</t>
        </is>
      </c>
      <c r="B179" t="inlineStr">
        <is>
          <t>avverkningsanmälan</t>
        </is>
      </c>
      <c r="C179" t="inlineStr">
        <is>
          <t>Föryngringsavverkning</t>
        </is>
      </c>
      <c r="D179" s="1" t="n">
        <v>45588</v>
      </c>
      <c r="E179" s="1" t="n">
        <v>46220</v>
      </c>
      <c r="F179" t="inlineStr">
        <is>
          <t>VÄSTERNORRLANDS LÄN</t>
        </is>
      </c>
      <c r="G179" t="inlineStr">
        <is>
          <t>KRAMFORS</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47673-2024</t>
        </is>
      </c>
      <c r="B180" t="inlineStr">
        <is>
          <t>avverkningsanmälan</t>
        </is>
      </c>
      <c r="C180" t="inlineStr">
        <is>
          <t>Föryngringsavverkning</t>
        </is>
      </c>
      <c r="D180" s="1" t="n">
        <v>45588</v>
      </c>
      <c r="E180" s="1" t="n">
        <v>46220</v>
      </c>
      <c r="F180" t="inlineStr">
        <is>
          <t>VÄSTERNORRLANDS LÄN</t>
        </is>
      </c>
      <c r="G180" t="inlineStr">
        <is>
          <t>KRAMFORS</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21342-2024</t>
        </is>
      </c>
      <c r="B181" t="inlineStr">
        <is>
          <t>avverkningsanmälan</t>
        </is>
      </c>
      <c r="C181" t="inlineStr">
        <is>
          <t>Föryngringsavverkning</t>
        </is>
      </c>
      <c r="D181" s="1" t="n">
        <v>45440</v>
      </c>
      <c r="E181" s="1" t="n">
        <v>46220</v>
      </c>
      <c r="F181" t="inlineStr">
        <is>
          <t>VÄSTERNORRLANDS LÄN</t>
        </is>
      </c>
      <c r="G181" t="inlineStr">
        <is>
          <t>KRAMFORS</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32791-2023</t>
        </is>
      </c>
      <c r="B182" t="inlineStr">
        <is>
          <t>avverkningsanmälan</t>
        </is>
      </c>
      <c r="C182" t="inlineStr">
        <is>
          <t>Avverkning för annat ändamål</t>
        </is>
      </c>
      <c r="D182" s="1" t="n">
        <v>45124</v>
      </c>
      <c r="E182" s="1" t="n">
        <v>46220</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48154-2023</t>
        </is>
      </c>
      <c r="B183" t="inlineStr">
        <is>
          <t>avverkningsanmälan</t>
        </is>
      </c>
      <c r="C183" t="inlineStr">
        <is>
          <t>Föryngringsavverkning</t>
        </is>
      </c>
      <c r="D183" s="1" t="n">
        <v>45205</v>
      </c>
      <c r="E183" s="1" t="n">
        <v>46220</v>
      </c>
      <c r="F183" t="inlineStr">
        <is>
          <t>VÄSTERNORRLANDS LÄN</t>
        </is>
      </c>
      <c r="G183" t="inlineStr">
        <is>
          <t>KRAMFORS</t>
        </is>
      </c>
      <c r="I183" t="n">
        <v>11.5</v>
      </c>
      <c r="J183" t="n">
        <v>0</v>
      </c>
      <c r="K183" t="n">
        <v>0</v>
      </c>
      <c r="L183" t="n">
        <v>0</v>
      </c>
      <c r="M183" t="n">
        <v>0</v>
      </c>
      <c r="N183" t="n">
        <v>0</v>
      </c>
      <c r="O183" t="n">
        <v>0</v>
      </c>
      <c r="P183" t="n">
        <v>0</v>
      </c>
      <c r="Q183" t="n">
        <v>0</v>
      </c>
      <c r="R183" t="n">
        <v>0</v>
      </c>
      <c r="S183" t="n">
        <v>0</v>
      </c>
      <c r="T183" t="n">
        <v>0</v>
      </c>
      <c r="U183" s="2" t="inlineStr"/>
    </row>
    <row r="184" ht="15" customHeight="1">
      <c r="A184" t="inlineStr">
        <is>
          <t>A 48198-2023</t>
        </is>
      </c>
      <c r="B184" t="inlineStr">
        <is>
          <t>avverkningsanmälan</t>
        </is>
      </c>
      <c r="C184" t="inlineStr">
        <is>
          <t>Föryngringsavverkning</t>
        </is>
      </c>
      <c r="D184" s="1" t="n">
        <v>45205</v>
      </c>
      <c r="E184" s="1" t="n">
        <v>46220</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7938-2022</t>
        </is>
      </c>
      <c r="B185" t="inlineStr">
        <is>
          <t>avverkningsanmälan</t>
        </is>
      </c>
      <c r="C185" t="inlineStr">
        <is>
          <t>Föryngringsavverkning</t>
        </is>
      </c>
      <c r="D185" s="1" t="n">
        <v>44608</v>
      </c>
      <c r="E185" s="1" t="n">
        <v>46220</v>
      </c>
      <c r="F185" t="inlineStr">
        <is>
          <t>VÄSTERNORRLANDS LÄN</t>
        </is>
      </c>
      <c r="G185" t="inlineStr">
        <is>
          <t>KRAMFORS</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11860-2022</t>
        </is>
      </c>
      <c r="B186" t="inlineStr">
        <is>
          <t>avverkningsanmälan</t>
        </is>
      </c>
      <c r="C186" t="inlineStr">
        <is>
          <t>Avverkning för annat ändamål</t>
        </is>
      </c>
      <c r="D186" s="1" t="n">
        <v>44634</v>
      </c>
      <c r="E186" s="1" t="n">
        <v>46220</v>
      </c>
      <c r="F186" t="inlineStr">
        <is>
          <t>VÄSTERNORRLANDS LÄN</t>
        </is>
      </c>
      <c r="G186" t="inlineStr">
        <is>
          <t>KRAMFORS</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11289-2022</t>
        </is>
      </c>
      <c r="B187" t="inlineStr">
        <is>
          <t>avverkningsanmälan</t>
        </is>
      </c>
      <c r="C187" t="inlineStr">
        <is>
          <t>Föryngringsavverkning</t>
        </is>
      </c>
      <c r="D187" s="1" t="n">
        <v>44629</v>
      </c>
      <c r="E187" s="1" t="n">
        <v>46220</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s="2" t="inlineStr"/>
    </row>
    <row r="188" ht="15" customHeight="1">
      <c r="A188" t="inlineStr">
        <is>
          <t>A 518-2025</t>
        </is>
      </c>
      <c r="B188" t="inlineStr">
        <is>
          <t>avverkningsanmälan</t>
        </is>
      </c>
      <c r="C188" t="inlineStr">
        <is>
          <t>Föryngringsavverkning</t>
        </is>
      </c>
      <c r="D188" s="1" t="n">
        <v>45664</v>
      </c>
      <c r="E188" s="1" t="n">
        <v>46220</v>
      </c>
      <c r="F188" t="inlineStr">
        <is>
          <t>VÄSTERNORRLANDS LÄN</t>
        </is>
      </c>
      <c r="G188" t="inlineStr">
        <is>
          <t>KRAMFORS</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10502-2025</t>
        </is>
      </c>
      <c r="B189" t="inlineStr">
        <is>
          <t>avverkningsanmälan</t>
        </is>
      </c>
      <c r="C189" t="inlineStr">
        <is>
          <t>Föryngringsavverkning</t>
        </is>
      </c>
      <c r="D189" s="1" t="n">
        <v>45721</v>
      </c>
      <c r="E189" s="1" t="n">
        <v>46220</v>
      </c>
      <c r="F189" t="inlineStr">
        <is>
          <t>VÄSTERNORRLANDS LÄN</t>
        </is>
      </c>
      <c r="G189" t="inlineStr">
        <is>
          <t>KRAMFORS</t>
        </is>
      </c>
      <c r="H189" t="inlineStr">
        <is>
          <t>SCA</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11042-2023</t>
        </is>
      </c>
      <c r="B190" t="inlineStr">
        <is>
          <t>avverkningsanmälan</t>
        </is>
      </c>
      <c r="C190" t="inlineStr">
        <is>
          <t>Föryngringsavverkning</t>
        </is>
      </c>
      <c r="D190" s="1" t="n">
        <v>44991</v>
      </c>
      <c r="E190" s="1" t="n">
        <v>46220</v>
      </c>
      <c r="F190" t="inlineStr">
        <is>
          <t>VÄSTERNORRLANDS LÄN</t>
        </is>
      </c>
      <c r="G190" t="inlineStr">
        <is>
          <t>KRAMFORS</t>
        </is>
      </c>
      <c r="H190" t="inlineStr">
        <is>
          <t>SCA</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18654-2025</t>
        </is>
      </c>
      <c r="B191" t="inlineStr">
        <is>
          <t>avverkningsanmälan</t>
        </is>
      </c>
      <c r="C191" t="inlineStr">
        <is>
          <t>Föryngringsavverkning</t>
        </is>
      </c>
      <c r="D191" s="1" t="n">
        <v>45763</v>
      </c>
      <c r="E191" s="1" t="n">
        <v>46220</v>
      </c>
      <c r="F191" t="inlineStr">
        <is>
          <t>VÄSTERNORRLANDS LÄN</t>
        </is>
      </c>
      <c r="G191" t="inlineStr">
        <is>
          <t>KRAMFORS</t>
        </is>
      </c>
      <c r="H191" t="inlineStr">
        <is>
          <t>SCA</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1624-2022</t>
        </is>
      </c>
      <c r="B192" t="inlineStr">
        <is>
          <t>avverkningsanmälan</t>
        </is>
      </c>
      <c r="C192" t="inlineStr">
        <is>
          <t>Föryngringsavverkning</t>
        </is>
      </c>
      <c r="D192" s="1" t="n">
        <v>44573</v>
      </c>
      <c r="E192" s="1" t="n">
        <v>46220</v>
      </c>
      <c r="F192" t="inlineStr">
        <is>
          <t>VÄSTERNORRLANDS LÄN</t>
        </is>
      </c>
      <c r="G192" t="inlineStr">
        <is>
          <t>KRAMFORS</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4915-2023</t>
        </is>
      </c>
      <c r="B193" t="inlineStr">
        <is>
          <t>avverkningsanmälan</t>
        </is>
      </c>
      <c r="C193" t="inlineStr">
        <is>
          <t>Föryngringsavverkning</t>
        </is>
      </c>
      <c r="D193" s="1" t="n">
        <v>44958</v>
      </c>
      <c r="E193" s="1" t="n">
        <v>46220</v>
      </c>
      <c r="F193" t="inlineStr">
        <is>
          <t>VÄSTERNORRLANDS LÄN</t>
        </is>
      </c>
      <c r="G193" t="inlineStr">
        <is>
          <t>KRAMFORS</t>
        </is>
      </c>
      <c r="I193" t="n">
        <v>5.1</v>
      </c>
      <c r="J193" t="n">
        <v>0</v>
      </c>
      <c r="K193" t="n">
        <v>0</v>
      </c>
      <c r="L193" t="n">
        <v>0</v>
      </c>
      <c r="M193" t="n">
        <v>0</v>
      </c>
      <c r="N193" t="n">
        <v>0</v>
      </c>
      <c r="O193" t="n">
        <v>0</v>
      </c>
      <c r="P193" t="n">
        <v>0</v>
      </c>
      <c r="Q193" t="n">
        <v>0</v>
      </c>
      <c r="R193" t="n">
        <v>0</v>
      </c>
      <c r="S193" t="n">
        <v>0</v>
      </c>
      <c r="T193" t="n">
        <v>0</v>
      </c>
      <c r="U193" s="2" t="inlineStr"/>
    </row>
    <row r="194" ht="15" customHeight="1">
      <c r="A194" t="inlineStr">
        <is>
          <t>A 1783-2024</t>
        </is>
      </c>
      <c r="B194" t="inlineStr">
        <is>
          <t>avverkningsanmälan</t>
        </is>
      </c>
      <c r="C194" t="inlineStr">
        <is>
          <t>Föryngringsavverkning</t>
        </is>
      </c>
      <c r="D194" s="1" t="n">
        <v>45307</v>
      </c>
      <c r="E194" s="1" t="n">
        <v>46220</v>
      </c>
      <c r="F194" t="inlineStr">
        <is>
          <t>VÄSTERNORRLANDS LÄN</t>
        </is>
      </c>
      <c r="G194" t="inlineStr">
        <is>
          <t>KRAMFORS</t>
        </is>
      </c>
      <c r="I194" t="n">
        <v>4.1</v>
      </c>
      <c r="J194" t="n">
        <v>0</v>
      </c>
      <c r="K194" t="n">
        <v>0</v>
      </c>
      <c r="L194" t="n">
        <v>0</v>
      </c>
      <c r="M194" t="n">
        <v>0</v>
      </c>
      <c r="N194" t="n">
        <v>0</v>
      </c>
      <c r="O194" t="n">
        <v>0</v>
      </c>
      <c r="P194" t="n">
        <v>0</v>
      </c>
      <c r="Q194" t="n">
        <v>0</v>
      </c>
      <c r="R194" t="n">
        <v>0</v>
      </c>
      <c r="S194" t="n">
        <v>0</v>
      </c>
      <c r="T194" t="n">
        <v>0</v>
      </c>
      <c r="U194" s="2" t="inlineStr"/>
    </row>
    <row r="195" ht="15" customHeight="1">
      <c r="A195" t="inlineStr">
        <is>
          <t>A 50770-2021</t>
        </is>
      </c>
      <c r="B195" t="inlineStr">
        <is>
          <t>avverkningsanmälan</t>
        </is>
      </c>
      <c r="C195" t="inlineStr">
        <is>
          <t>Föryngringsavverkning</t>
        </is>
      </c>
      <c r="D195" s="1" t="n">
        <v>44460</v>
      </c>
      <c r="E195" s="1" t="n">
        <v>46220</v>
      </c>
      <c r="F195" t="inlineStr">
        <is>
          <t>VÄSTERNORRLANDS LÄN</t>
        </is>
      </c>
      <c r="G195" t="inlineStr">
        <is>
          <t>KRAMFORS</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36034-2023</t>
        </is>
      </c>
      <c r="B196" t="inlineStr">
        <is>
          <t>avverkningsanmälan</t>
        </is>
      </c>
      <c r="C196" t="inlineStr">
        <is>
          <t>Föryngringsavverkning</t>
        </is>
      </c>
      <c r="D196" s="1" t="n">
        <v>45148</v>
      </c>
      <c r="E196" s="1" t="n">
        <v>46220</v>
      </c>
      <c r="F196" t="inlineStr">
        <is>
          <t>VÄSTERNORRLANDS LÄN</t>
        </is>
      </c>
      <c r="G196" t="inlineStr">
        <is>
          <t>KRAMFORS</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46166-2023</t>
        </is>
      </c>
      <c r="B197" t="inlineStr">
        <is>
          <t>avverkningsanmälan</t>
        </is>
      </c>
      <c r="C197" t="inlineStr">
        <is>
          <t>Föryngringsavverkning</t>
        </is>
      </c>
      <c r="D197" s="1" t="n">
        <v>45190</v>
      </c>
      <c r="E197" s="1" t="n">
        <v>46220</v>
      </c>
      <c r="F197" t="inlineStr">
        <is>
          <t>VÄSTERNORRLANDS LÄN</t>
        </is>
      </c>
      <c r="G197" t="inlineStr">
        <is>
          <t>KRAMFORS</t>
        </is>
      </c>
      <c r="I197" t="n">
        <v>3</v>
      </c>
      <c r="J197" t="n">
        <v>0</v>
      </c>
      <c r="K197" t="n">
        <v>0</v>
      </c>
      <c r="L197" t="n">
        <v>0</v>
      </c>
      <c r="M197" t="n">
        <v>0</v>
      </c>
      <c r="N197" t="n">
        <v>0</v>
      </c>
      <c r="O197" t="n">
        <v>0</v>
      </c>
      <c r="P197" t="n">
        <v>0</v>
      </c>
      <c r="Q197" t="n">
        <v>0</v>
      </c>
      <c r="R197" t="n">
        <v>0</v>
      </c>
      <c r="S197" t="n">
        <v>0</v>
      </c>
      <c r="T197" t="n">
        <v>0</v>
      </c>
      <c r="U197" s="2" t="inlineStr"/>
    </row>
    <row r="198" ht="15" customHeight="1">
      <c r="A198" t="inlineStr">
        <is>
          <t>A 42063-2022</t>
        </is>
      </c>
      <c r="B198" t="inlineStr">
        <is>
          <t>avverkningsanmälan</t>
        </is>
      </c>
      <c r="C198" t="inlineStr">
        <is>
          <t>Föryngringsavverkning</t>
        </is>
      </c>
      <c r="D198" s="1" t="n">
        <v>44830</v>
      </c>
      <c r="E198" s="1" t="n">
        <v>46220</v>
      </c>
      <c r="F198" t="inlineStr">
        <is>
          <t>VÄSTERNORRLANDS LÄN</t>
        </is>
      </c>
      <c r="G198" t="inlineStr">
        <is>
          <t>KRAMFORS</t>
        </is>
      </c>
      <c r="I198" t="n">
        <v>4.6</v>
      </c>
      <c r="J198" t="n">
        <v>0</v>
      </c>
      <c r="K198" t="n">
        <v>0</v>
      </c>
      <c r="L198" t="n">
        <v>0</v>
      </c>
      <c r="M198" t="n">
        <v>0</v>
      </c>
      <c r="N198" t="n">
        <v>0</v>
      </c>
      <c r="O198" t="n">
        <v>0</v>
      </c>
      <c r="P198" t="n">
        <v>0</v>
      </c>
      <c r="Q198" t="n">
        <v>0</v>
      </c>
      <c r="R198" t="n">
        <v>0</v>
      </c>
      <c r="S198" t="n">
        <v>0</v>
      </c>
      <c r="T198" t="n">
        <v>0</v>
      </c>
      <c r="U198" s="2" t="inlineStr"/>
    </row>
    <row r="199" ht="15" customHeight="1">
      <c r="A199" t="inlineStr">
        <is>
          <t>A 12744-2023</t>
        </is>
      </c>
      <c r="B199" t="inlineStr">
        <is>
          <t>avverkningsanmälan</t>
        </is>
      </c>
      <c r="C199" t="inlineStr">
        <is>
          <t>Föryngringsavverkning</t>
        </is>
      </c>
      <c r="D199" s="1" t="n">
        <v>45000</v>
      </c>
      <c r="E199" s="1" t="n">
        <v>46220</v>
      </c>
      <c r="F199" t="inlineStr">
        <is>
          <t>VÄSTERNORRLANDS LÄN</t>
        </is>
      </c>
      <c r="G199" t="inlineStr">
        <is>
          <t>KRAMFORS</t>
        </is>
      </c>
      <c r="H199" t="inlineStr">
        <is>
          <t>SCA</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61914-2023</t>
        </is>
      </c>
      <c r="B200" t="inlineStr">
        <is>
          <t>avverkningsanmälan</t>
        </is>
      </c>
      <c r="C200" t="inlineStr">
        <is>
          <t>Föryngringsavverkning</t>
        </is>
      </c>
      <c r="D200" s="1" t="n">
        <v>45265</v>
      </c>
      <c r="E200" s="1" t="n">
        <v>46220</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5070-2024</t>
        </is>
      </c>
      <c r="B201" t="inlineStr">
        <is>
          <t>avverkningsanmälan</t>
        </is>
      </c>
      <c r="C201" t="inlineStr">
        <is>
          <t>Föryngringsavverkning</t>
        </is>
      </c>
      <c r="D201" s="1" t="n">
        <v>45329</v>
      </c>
      <c r="E201" s="1" t="n">
        <v>46220</v>
      </c>
      <c r="F201" t="inlineStr">
        <is>
          <t>VÄSTERNORRLANDS LÄN</t>
        </is>
      </c>
      <c r="G201" t="inlineStr">
        <is>
          <t>KRAMFORS</t>
        </is>
      </c>
      <c r="I201" t="n">
        <v>14.4</v>
      </c>
      <c r="J201" t="n">
        <v>0</v>
      </c>
      <c r="K201" t="n">
        <v>0</v>
      </c>
      <c r="L201" t="n">
        <v>0</v>
      </c>
      <c r="M201" t="n">
        <v>0</v>
      </c>
      <c r="N201" t="n">
        <v>0</v>
      </c>
      <c r="O201" t="n">
        <v>0</v>
      </c>
      <c r="P201" t="n">
        <v>0</v>
      </c>
      <c r="Q201" t="n">
        <v>0</v>
      </c>
      <c r="R201" t="n">
        <v>0</v>
      </c>
      <c r="S201" t="n">
        <v>0</v>
      </c>
      <c r="T201" t="n">
        <v>0</v>
      </c>
      <c r="U201" s="2" t="inlineStr"/>
    </row>
    <row r="202" ht="15" customHeight="1">
      <c r="A202" t="inlineStr">
        <is>
          <t>A 8716-2025</t>
        </is>
      </c>
      <c r="B202" t="inlineStr">
        <is>
          <t>avverkningsanmälan</t>
        </is>
      </c>
      <c r="C202" t="inlineStr">
        <is>
          <t>Föryngringsavverkning</t>
        </is>
      </c>
      <c r="D202" s="1" t="n">
        <v>45712</v>
      </c>
      <c r="E202" s="1" t="n">
        <v>46220</v>
      </c>
      <c r="F202" t="inlineStr">
        <is>
          <t>VÄSTERNORRLANDS LÄN</t>
        </is>
      </c>
      <c r="G202" t="inlineStr">
        <is>
          <t>KRAMFORS</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4484-2024</t>
        </is>
      </c>
      <c r="B203" t="inlineStr">
        <is>
          <t>avverkningsanmälan</t>
        </is>
      </c>
      <c r="C203" t="inlineStr">
        <is>
          <t>Avverkning för annat ändamål</t>
        </is>
      </c>
      <c r="D203" s="1" t="n">
        <v>45327</v>
      </c>
      <c r="E203" s="1" t="n">
        <v>46220</v>
      </c>
      <c r="F203" t="inlineStr">
        <is>
          <t>VÄSTERNORRLANDS LÄN</t>
        </is>
      </c>
      <c r="G203" t="inlineStr">
        <is>
          <t>KRAMFORS</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34642-2024</t>
        </is>
      </c>
      <c r="B204" t="inlineStr">
        <is>
          <t>avverkningsanmälan</t>
        </is>
      </c>
      <c r="C204" t="inlineStr">
        <is>
          <t>Avverkning för annat ändamål</t>
        </is>
      </c>
      <c r="D204" s="1" t="n">
        <v>45526</v>
      </c>
      <c r="E204" s="1" t="n">
        <v>46220</v>
      </c>
      <c r="F204" t="inlineStr">
        <is>
          <t>VÄSTERNORRLANDS LÄN</t>
        </is>
      </c>
      <c r="G204" t="inlineStr">
        <is>
          <t>KRAMFORS</t>
        </is>
      </c>
      <c r="I204" t="n">
        <v>0.2</v>
      </c>
      <c r="J204" t="n">
        <v>0</v>
      </c>
      <c r="K204" t="n">
        <v>0</v>
      </c>
      <c r="L204" t="n">
        <v>0</v>
      </c>
      <c r="M204" t="n">
        <v>0</v>
      </c>
      <c r="N204" t="n">
        <v>0</v>
      </c>
      <c r="O204" t="n">
        <v>0</v>
      </c>
      <c r="P204" t="n">
        <v>0</v>
      </c>
      <c r="Q204" t="n">
        <v>0</v>
      </c>
      <c r="R204" t="n">
        <v>0</v>
      </c>
      <c r="S204" t="n">
        <v>0</v>
      </c>
      <c r="T204" t="n">
        <v>0</v>
      </c>
      <c r="U204" s="2" t="inlineStr"/>
    </row>
    <row r="205" ht="15" customHeight="1">
      <c r="A205" t="inlineStr">
        <is>
          <t>A 61173-2024</t>
        </is>
      </c>
      <c r="B205" t="inlineStr">
        <is>
          <t>avverkningsanmälan</t>
        </is>
      </c>
      <c r="C205" t="inlineStr">
        <is>
          <t>Föryngringsavverkning</t>
        </is>
      </c>
      <c r="D205" s="1" t="n">
        <v>45645</v>
      </c>
      <c r="E205" s="1" t="n">
        <v>46220</v>
      </c>
      <c r="F205" t="inlineStr">
        <is>
          <t>VÄSTERNORRLANDS LÄN</t>
        </is>
      </c>
      <c r="G205" t="inlineStr">
        <is>
          <t>KRAMFORS</t>
        </is>
      </c>
      <c r="I205" t="n">
        <v>7.5</v>
      </c>
      <c r="J205" t="n">
        <v>0</v>
      </c>
      <c r="K205" t="n">
        <v>0</v>
      </c>
      <c r="L205" t="n">
        <v>0</v>
      </c>
      <c r="M205" t="n">
        <v>0</v>
      </c>
      <c r="N205" t="n">
        <v>0</v>
      </c>
      <c r="O205" t="n">
        <v>0</v>
      </c>
      <c r="P205" t="n">
        <v>0</v>
      </c>
      <c r="Q205" t="n">
        <v>0</v>
      </c>
      <c r="R205" t="n">
        <v>0</v>
      </c>
      <c r="S205" t="n">
        <v>0</v>
      </c>
      <c r="T205" t="n">
        <v>0</v>
      </c>
      <c r="U205" s="2" t="inlineStr"/>
    </row>
    <row r="206" ht="15" customHeight="1">
      <c r="A206" t="inlineStr">
        <is>
          <t>A 33296-2024</t>
        </is>
      </c>
      <c r="B206" t="inlineStr">
        <is>
          <t>avverkningsanmälan</t>
        </is>
      </c>
      <c r="C206" t="inlineStr">
        <is>
          <t>Föryngringsavverkning</t>
        </is>
      </c>
      <c r="D206" s="1" t="n">
        <v>45518</v>
      </c>
      <c r="E206" s="1" t="n">
        <v>46220</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28356-2023</t>
        </is>
      </c>
      <c r="B207" t="inlineStr">
        <is>
          <t>avverkningsanmälan</t>
        </is>
      </c>
      <c r="C207" t="inlineStr">
        <is>
          <t>Föryngringsavverkning</t>
        </is>
      </c>
      <c r="D207" s="1" t="n">
        <v>45099</v>
      </c>
      <c r="E207" s="1" t="n">
        <v>46220</v>
      </c>
      <c r="F207" t="inlineStr">
        <is>
          <t>VÄSTERNORRLANDS LÄN</t>
        </is>
      </c>
      <c r="G207" t="inlineStr">
        <is>
          <t>KRAMFORS</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54166-2023</t>
        </is>
      </c>
      <c r="B208" t="inlineStr">
        <is>
          <t>avverkningsanmälan</t>
        </is>
      </c>
      <c r="C208" t="inlineStr">
        <is>
          <t>Föryngringsavverkning</t>
        </is>
      </c>
      <c r="D208" s="1" t="n">
        <v>45225</v>
      </c>
      <c r="E208" s="1" t="n">
        <v>46220</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29285-2024</t>
        </is>
      </c>
      <c r="B209" t="inlineStr">
        <is>
          <t>avverkningsanmälan</t>
        </is>
      </c>
      <c r="C209" t="inlineStr">
        <is>
          <t>Avverkning för annat ändamål</t>
        </is>
      </c>
      <c r="D209" s="1" t="n">
        <v>45483</v>
      </c>
      <c r="E209" s="1" t="n">
        <v>46220</v>
      </c>
      <c r="F209" t="inlineStr">
        <is>
          <t>VÄSTERNORRLANDS LÄN</t>
        </is>
      </c>
      <c r="G209" t="inlineStr">
        <is>
          <t>KRAMFORS</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11172-2025</t>
        </is>
      </c>
      <c r="B210" t="inlineStr">
        <is>
          <t>avverkningsanmälan</t>
        </is>
      </c>
      <c r="C210" t="inlineStr">
        <is>
          <t>Avverkning för annat ändamål</t>
        </is>
      </c>
      <c r="D210" s="1" t="n">
        <v>45724</v>
      </c>
      <c r="E210" s="1" t="n">
        <v>46220</v>
      </c>
      <c r="F210" t="inlineStr">
        <is>
          <t>VÄSTERNORRLANDS LÄN</t>
        </is>
      </c>
      <c r="G210" t="inlineStr">
        <is>
          <t>KRAMFORS</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17789-2024</t>
        </is>
      </c>
      <c r="B211" t="inlineStr">
        <is>
          <t>avverkningsanmälan</t>
        </is>
      </c>
      <c r="C211" t="inlineStr">
        <is>
          <t>Föryngringsavverkning</t>
        </is>
      </c>
      <c r="D211" s="1" t="n">
        <v>45418</v>
      </c>
      <c r="E211" s="1" t="n">
        <v>46220</v>
      </c>
      <c r="F211" t="inlineStr">
        <is>
          <t>VÄSTERNORRLANDS LÄN</t>
        </is>
      </c>
      <c r="G211" t="inlineStr">
        <is>
          <t>KRAMFORS</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17574-2024</t>
        </is>
      </c>
      <c r="B212" t="inlineStr">
        <is>
          <t>avverkningsanmälan</t>
        </is>
      </c>
      <c r="C212" t="inlineStr">
        <is>
          <t>Föryngringsavverkning</t>
        </is>
      </c>
      <c r="D212" s="1" t="n">
        <v>45415</v>
      </c>
      <c r="E212" s="1" t="n">
        <v>46220</v>
      </c>
      <c r="F212" t="inlineStr">
        <is>
          <t>VÄSTERNORRLANDS LÄN</t>
        </is>
      </c>
      <c r="G212" t="inlineStr">
        <is>
          <t>KRAMFORS</t>
        </is>
      </c>
      <c r="I212" t="n">
        <v>7.2</v>
      </c>
      <c r="J212" t="n">
        <v>0</v>
      </c>
      <c r="K212" t="n">
        <v>0</v>
      </c>
      <c r="L212" t="n">
        <v>0</v>
      </c>
      <c r="M212" t="n">
        <v>0</v>
      </c>
      <c r="N212" t="n">
        <v>0</v>
      </c>
      <c r="O212" t="n">
        <v>0</v>
      </c>
      <c r="P212" t="n">
        <v>0</v>
      </c>
      <c r="Q212" t="n">
        <v>0</v>
      </c>
      <c r="R212" t="n">
        <v>0</v>
      </c>
      <c r="S212" t="n">
        <v>0</v>
      </c>
      <c r="T212" t="n">
        <v>0</v>
      </c>
      <c r="U212" s="2" t="inlineStr"/>
    </row>
    <row r="213" ht="15" customHeight="1">
      <c r="A213" t="inlineStr">
        <is>
          <t>A 62271-2021</t>
        </is>
      </c>
      <c r="B213" t="inlineStr">
        <is>
          <t>avverkningsanmälan</t>
        </is>
      </c>
      <c r="C213" t="inlineStr">
        <is>
          <t>Föryngringsavverkning</t>
        </is>
      </c>
      <c r="D213" s="1" t="n">
        <v>44503</v>
      </c>
      <c r="E213" s="1" t="n">
        <v>46220</v>
      </c>
      <c r="F213" t="inlineStr">
        <is>
          <t>VÄSTERNORRLANDS LÄN</t>
        </is>
      </c>
      <c r="G213" t="inlineStr">
        <is>
          <t>KRAMFORS</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36671-2022</t>
        </is>
      </c>
      <c r="B214" t="inlineStr">
        <is>
          <t>avverkningsanmälan</t>
        </is>
      </c>
      <c r="C214" t="inlineStr">
        <is>
          <t>Föryngringsavverkning</t>
        </is>
      </c>
      <c r="D214" s="1" t="n">
        <v>44804</v>
      </c>
      <c r="E214" s="1" t="n">
        <v>46220</v>
      </c>
      <c r="F214" t="inlineStr">
        <is>
          <t>VÄSTERNORRLANDS LÄN</t>
        </is>
      </c>
      <c r="G214" t="inlineStr">
        <is>
          <t>KRAMFORS</t>
        </is>
      </c>
      <c r="I214" t="n">
        <v>1.3</v>
      </c>
      <c r="J214" t="n">
        <v>0</v>
      </c>
      <c r="K214" t="n">
        <v>0</v>
      </c>
      <c r="L214" t="n">
        <v>0</v>
      </c>
      <c r="M214" t="n">
        <v>0</v>
      </c>
      <c r="N214" t="n">
        <v>0</v>
      </c>
      <c r="O214" t="n">
        <v>0</v>
      </c>
      <c r="P214" t="n">
        <v>0</v>
      </c>
      <c r="Q214" t="n">
        <v>0</v>
      </c>
      <c r="R214" t="n">
        <v>0</v>
      </c>
      <c r="S214" t="n">
        <v>0</v>
      </c>
      <c r="T214" t="n">
        <v>0</v>
      </c>
      <c r="U214" s="2" t="inlineStr"/>
    </row>
    <row r="215" ht="15" customHeight="1">
      <c r="A215" t="inlineStr">
        <is>
          <t>A 20528-2024</t>
        </is>
      </c>
      <c r="B215" t="inlineStr">
        <is>
          <t>avverkningsanmälan</t>
        </is>
      </c>
      <c r="C215" t="inlineStr">
        <is>
          <t>Föryngringsavverkning</t>
        </is>
      </c>
      <c r="D215" s="1" t="n">
        <v>45435</v>
      </c>
      <c r="E215" s="1" t="n">
        <v>46220</v>
      </c>
      <c r="F215" t="inlineStr">
        <is>
          <t>VÄSTERNORRLANDS LÄN</t>
        </is>
      </c>
      <c r="G215" t="inlineStr">
        <is>
          <t>KRAMFORS</t>
        </is>
      </c>
      <c r="H215" t="inlineStr">
        <is>
          <t>SCA</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24407-2025</t>
        </is>
      </c>
      <c r="B216" t="inlineStr">
        <is>
          <t>avverkningsanmälan</t>
        </is>
      </c>
      <c r="C216" t="inlineStr">
        <is>
          <t>Föryngringsavverkning</t>
        </is>
      </c>
      <c r="D216" s="1" t="n">
        <v>45797</v>
      </c>
      <c r="E216" s="1" t="n">
        <v>46220</v>
      </c>
      <c r="F216" t="inlineStr">
        <is>
          <t>VÄSTERNORRLANDS LÄN</t>
        </is>
      </c>
      <c r="G216" t="inlineStr">
        <is>
          <t>KRAMFORS</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54188-2023</t>
        </is>
      </c>
      <c r="B217" t="inlineStr">
        <is>
          <t>avverkningsanmälan</t>
        </is>
      </c>
      <c r="C217" t="inlineStr">
        <is>
          <t>Föryngringsavverkning</t>
        </is>
      </c>
      <c r="D217" s="1" t="n">
        <v>45232</v>
      </c>
      <c r="E217" s="1" t="n">
        <v>46220</v>
      </c>
      <c r="F217" t="inlineStr">
        <is>
          <t>VÄSTERNORRLANDS LÄN</t>
        </is>
      </c>
      <c r="G217" t="inlineStr">
        <is>
          <t>KRAMFORS</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39622-2024</t>
        </is>
      </c>
      <c r="B218" t="inlineStr">
        <is>
          <t>avverkningsanmälan</t>
        </is>
      </c>
      <c r="C218" t="inlineStr">
        <is>
          <t>Föryngringsavverkning</t>
        </is>
      </c>
      <c r="D218" s="1" t="n">
        <v>45552</v>
      </c>
      <c r="E218" s="1" t="n">
        <v>46220</v>
      </c>
      <c r="F218" t="inlineStr">
        <is>
          <t>VÄSTERNORRLANDS LÄN</t>
        </is>
      </c>
      <c r="G218" t="inlineStr">
        <is>
          <t>KRAMFORS</t>
        </is>
      </c>
      <c r="I218" t="n">
        <v>1.9</v>
      </c>
      <c r="J218" t="n">
        <v>0</v>
      </c>
      <c r="K218" t="n">
        <v>0</v>
      </c>
      <c r="L218" t="n">
        <v>0</v>
      </c>
      <c r="M218" t="n">
        <v>0</v>
      </c>
      <c r="N218" t="n">
        <v>0</v>
      </c>
      <c r="O218" t="n">
        <v>0</v>
      </c>
      <c r="P218" t="n">
        <v>0</v>
      </c>
      <c r="Q218" t="n">
        <v>0</v>
      </c>
      <c r="R218" t="n">
        <v>0</v>
      </c>
      <c r="S218" t="n">
        <v>0</v>
      </c>
      <c r="T218" t="n">
        <v>0</v>
      </c>
      <c r="U218" s="2" t="inlineStr"/>
    </row>
    <row r="219" ht="15" customHeight="1">
      <c r="A219" t="inlineStr">
        <is>
          <t>A 24409-2025</t>
        </is>
      </c>
      <c r="B219" t="inlineStr">
        <is>
          <t>avverkningsanmälan</t>
        </is>
      </c>
      <c r="C219" t="inlineStr">
        <is>
          <t>Föryngringsavverkning</t>
        </is>
      </c>
      <c r="D219" s="1" t="n">
        <v>45797</v>
      </c>
      <c r="E219" s="1" t="n">
        <v>46220</v>
      </c>
      <c r="F219" t="inlineStr">
        <is>
          <t>VÄSTERNORRLANDS LÄN</t>
        </is>
      </c>
      <c r="G219" t="inlineStr">
        <is>
          <t>KRAMFORS</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24698-2025</t>
        </is>
      </c>
      <c r="B220" t="inlineStr">
        <is>
          <t>avverkningsanmälan</t>
        </is>
      </c>
      <c r="C220" t="inlineStr">
        <is>
          <t>Föryngringsavverkning</t>
        </is>
      </c>
      <c r="D220" s="1" t="n">
        <v>45798</v>
      </c>
      <c r="E220" s="1" t="n">
        <v>46220</v>
      </c>
      <c r="F220" t="inlineStr">
        <is>
          <t>VÄSTERNORRLANDS LÄN</t>
        </is>
      </c>
      <c r="G220" t="inlineStr">
        <is>
          <t>KRAMFORS</t>
        </is>
      </c>
      <c r="H220" t="inlineStr">
        <is>
          <t>SCA</t>
        </is>
      </c>
      <c r="I220" t="n">
        <v>2.5</v>
      </c>
      <c r="J220" t="n">
        <v>0</v>
      </c>
      <c r="K220" t="n">
        <v>0</v>
      </c>
      <c r="L220" t="n">
        <v>0</v>
      </c>
      <c r="M220" t="n">
        <v>0</v>
      </c>
      <c r="N220" t="n">
        <v>0</v>
      </c>
      <c r="O220" t="n">
        <v>0</v>
      </c>
      <c r="P220" t="n">
        <v>0</v>
      </c>
      <c r="Q220" t="n">
        <v>0</v>
      </c>
      <c r="R220" t="n">
        <v>0</v>
      </c>
      <c r="S220" t="n">
        <v>0</v>
      </c>
      <c r="T220" t="n">
        <v>0</v>
      </c>
      <c r="U220" s="2" t="inlineStr"/>
    </row>
    <row r="221" ht="15" customHeight="1">
      <c r="A221" t="inlineStr">
        <is>
          <t>A 64153-2025</t>
        </is>
      </c>
      <c r="B221" t="inlineStr">
        <is>
          <t>avverkningsanmälan</t>
        </is>
      </c>
      <c r="C221" t="inlineStr">
        <is>
          <t>Föryngringsavverkning</t>
        </is>
      </c>
      <c r="D221" s="1" t="n">
        <v>46022</v>
      </c>
      <c r="E221" s="1" t="n">
        <v>46220</v>
      </c>
      <c r="F221" t="inlineStr">
        <is>
          <t>VÄSTERNORRLANDS LÄN</t>
        </is>
      </c>
      <c r="G221" t="inlineStr">
        <is>
          <t>KRAMFORS</t>
        </is>
      </c>
      <c r="I221" t="n">
        <v>4.6</v>
      </c>
      <c r="J221" t="n">
        <v>0</v>
      </c>
      <c r="K221" t="n">
        <v>0</v>
      </c>
      <c r="L221" t="n">
        <v>0</v>
      </c>
      <c r="M221" t="n">
        <v>0</v>
      </c>
      <c r="N221" t="n">
        <v>0</v>
      </c>
      <c r="O221" t="n">
        <v>0</v>
      </c>
      <c r="P221" t="n">
        <v>0</v>
      </c>
      <c r="Q221" t="n">
        <v>0</v>
      </c>
      <c r="R221" t="n">
        <v>0</v>
      </c>
      <c r="S221" t="n">
        <v>0</v>
      </c>
      <c r="T221" t="n">
        <v>0</v>
      </c>
      <c r="U221" s="2" t="inlineStr"/>
    </row>
    <row r="222" ht="15" customHeight="1">
      <c r="A222" t="inlineStr">
        <is>
          <t>A 24993-2025</t>
        </is>
      </c>
      <c r="B222" t="inlineStr">
        <is>
          <t>avverkningsanmälan</t>
        </is>
      </c>
      <c r="C222" t="inlineStr">
        <is>
          <t>Föryngringsavverkning</t>
        </is>
      </c>
      <c r="D222" s="1" t="n">
        <v>45799</v>
      </c>
      <c r="E222" s="1" t="n">
        <v>46220</v>
      </c>
      <c r="F222" t="inlineStr">
        <is>
          <t>VÄSTERNORRLANDS LÄN</t>
        </is>
      </c>
      <c r="G222" t="inlineStr">
        <is>
          <t>KRAMFORS</t>
        </is>
      </c>
      <c r="H222" t="inlineStr">
        <is>
          <t>SCA</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91-2026</t>
        </is>
      </c>
      <c r="B223" t="inlineStr">
        <is>
          <t>avverkningsanmälan</t>
        </is>
      </c>
      <c r="C223" t="inlineStr">
        <is>
          <t>Föryngringsavverkning</t>
        </is>
      </c>
      <c r="D223" s="1" t="n">
        <v>46024</v>
      </c>
      <c r="E223" s="1" t="n">
        <v>46220</v>
      </c>
      <c r="F223" t="inlineStr">
        <is>
          <t>VÄSTERNORRLANDS LÄN</t>
        </is>
      </c>
      <c r="G223" t="inlineStr">
        <is>
          <t>KRAMFORS</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92-2026</t>
        </is>
      </c>
      <c r="B224" t="inlineStr">
        <is>
          <t>avverkningsanmälan</t>
        </is>
      </c>
      <c r="C224" t="inlineStr">
        <is>
          <t>Föryngringsavverkning</t>
        </is>
      </c>
      <c r="D224" s="1" t="n">
        <v>46024</v>
      </c>
      <c r="E224" s="1" t="n">
        <v>46220</v>
      </c>
      <c r="F224" t="inlineStr">
        <is>
          <t>VÄSTERNORRLANDS LÄN</t>
        </is>
      </c>
      <c r="G224" t="inlineStr">
        <is>
          <t>KRAMFORS</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25039-2025</t>
        </is>
      </c>
      <c r="B225" t="inlineStr">
        <is>
          <t>avverkningsanmälan</t>
        </is>
      </c>
      <c r="C225" t="inlineStr">
        <is>
          <t>Föryngringsavverkning</t>
        </is>
      </c>
      <c r="D225" s="1" t="n">
        <v>45799</v>
      </c>
      <c r="E225" s="1" t="n">
        <v>46220</v>
      </c>
      <c r="F225" t="inlineStr">
        <is>
          <t>VÄSTERNORRLANDS LÄN</t>
        </is>
      </c>
      <c r="G225" t="inlineStr">
        <is>
          <t>KRAMFORS</t>
        </is>
      </c>
      <c r="H225" t="inlineStr">
        <is>
          <t>SCA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81-2026</t>
        </is>
      </c>
      <c r="B226" t="inlineStr">
        <is>
          <t>avverkningsanmälan</t>
        </is>
      </c>
      <c r="C226" t="inlineStr">
        <is>
          <t>Föryngringsavverkning</t>
        </is>
      </c>
      <c r="D226" s="1" t="n">
        <v>46024</v>
      </c>
      <c r="E226" s="1" t="n">
        <v>46220</v>
      </c>
      <c r="F226" t="inlineStr">
        <is>
          <t>VÄSTERNORRLANDS LÄN</t>
        </is>
      </c>
      <c r="G226" t="inlineStr">
        <is>
          <t>KRAMFORS</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74-2026</t>
        </is>
      </c>
      <c r="B227" t="inlineStr">
        <is>
          <t>avverkningsanmälan</t>
        </is>
      </c>
      <c r="C227" t="inlineStr">
        <is>
          <t>Föryngringsavverkning</t>
        </is>
      </c>
      <c r="D227" s="1" t="n">
        <v>46024</v>
      </c>
      <c r="E227" s="1" t="n">
        <v>46220</v>
      </c>
      <c r="F227" t="inlineStr">
        <is>
          <t>VÄSTERNORRLANDS LÄN</t>
        </is>
      </c>
      <c r="G227" t="inlineStr">
        <is>
          <t>KRAMFORS</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60314-2022</t>
        </is>
      </c>
      <c r="B228" t="inlineStr">
        <is>
          <t>avverkningsanmälan</t>
        </is>
      </c>
      <c r="C228" t="inlineStr">
        <is>
          <t>Föryngringsavverkning</t>
        </is>
      </c>
      <c r="D228" s="1" t="n">
        <v>44903</v>
      </c>
      <c r="E228" s="1" t="n">
        <v>46220</v>
      </c>
      <c r="F228" t="inlineStr">
        <is>
          <t>VÄSTERNORRLANDS LÄN</t>
        </is>
      </c>
      <c r="G228" t="inlineStr">
        <is>
          <t>KRAMFORS</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24976-2025</t>
        </is>
      </c>
      <c r="B229" t="inlineStr">
        <is>
          <t>avverkningsanmälan</t>
        </is>
      </c>
      <c r="C229" t="inlineStr">
        <is>
          <t>Föryngringsavverkning</t>
        </is>
      </c>
      <c r="D229" s="1" t="n">
        <v>45799</v>
      </c>
      <c r="E229" s="1" t="n">
        <v>46220</v>
      </c>
      <c r="F229" t="inlineStr">
        <is>
          <t>VÄSTERNORRLANDS LÄN</t>
        </is>
      </c>
      <c r="G229" t="inlineStr">
        <is>
          <t>KRAMFORS</t>
        </is>
      </c>
      <c r="I229" t="n">
        <v>9.6</v>
      </c>
      <c r="J229" t="n">
        <v>0</v>
      </c>
      <c r="K229" t="n">
        <v>0</v>
      </c>
      <c r="L229" t="n">
        <v>0</v>
      </c>
      <c r="M229" t="n">
        <v>0</v>
      </c>
      <c r="N229" t="n">
        <v>0</v>
      </c>
      <c r="O229" t="n">
        <v>0</v>
      </c>
      <c r="P229" t="n">
        <v>0</v>
      </c>
      <c r="Q229" t="n">
        <v>0</v>
      </c>
      <c r="R229" t="n">
        <v>0</v>
      </c>
      <c r="S229" t="n">
        <v>0</v>
      </c>
      <c r="T229" t="n">
        <v>0</v>
      </c>
      <c r="U229" s="2" t="inlineStr"/>
    </row>
    <row r="230" ht="15" customHeight="1">
      <c r="A230" t="inlineStr">
        <is>
          <t>A 5150-2023</t>
        </is>
      </c>
      <c r="B230" t="inlineStr">
        <is>
          <t>avverkningsanmälan</t>
        </is>
      </c>
      <c r="C230" t="inlineStr">
        <is>
          <t>Föryngringsavverkning</t>
        </is>
      </c>
      <c r="D230" s="1" t="n">
        <v>44958</v>
      </c>
      <c r="E230" s="1" t="n">
        <v>46220</v>
      </c>
      <c r="F230" t="inlineStr">
        <is>
          <t>VÄSTERNORRLANDS LÄN</t>
        </is>
      </c>
      <c r="G230" t="inlineStr">
        <is>
          <t>KRAMFORS</t>
        </is>
      </c>
      <c r="I230" t="n">
        <v>12.8</v>
      </c>
      <c r="J230" t="n">
        <v>0</v>
      </c>
      <c r="K230" t="n">
        <v>0</v>
      </c>
      <c r="L230" t="n">
        <v>0</v>
      </c>
      <c r="M230" t="n">
        <v>0</v>
      </c>
      <c r="N230" t="n">
        <v>0</v>
      </c>
      <c r="O230" t="n">
        <v>0</v>
      </c>
      <c r="P230" t="n">
        <v>0</v>
      </c>
      <c r="Q230" t="n">
        <v>0</v>
      </c>
      <c r="R230" t="n">
        <v>0</v>
      </c>
      <c r="S230" t="n">
        <v>0</v>
      </c>
      <c r="T230" t="n">
        <v>0</v>
      </c>
      <c r="U230" s="2" t="inlineStr"/>
    </row>
    <row r="231" ht="15" customHeight="1">
      <c r="A231" t="inlineStr">
        <is>
          <t>A 531-2026</t>
        </is>
      </c>
      <c r="B231" t="inlineStr">
        <is>
          <t>avverkningsanmälan</t>
        </is>
      </c>
      <c r="C231" t="inlineStr">
        <is>
          <t>Föryngringsavverkning</t>
        </is>
      </c>
      <c r="D231" s="1" t="n">
        <v>46029</v>
      </c>
      <c r="E231" s="1" t="n">
        <v>46220</v>
      </c>
      <c r="F231" t="inlineStr">
        <is>
          <t>VÄSTERNORRLANDS LÄN</t>
        </is>
      </c>
      <c r="G231" t="inlineStr">
        <is>
          <t>KRAMFORS</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1180-2026</t>
        </is>
      </c>
      <c r="B232" t="inlineStr">
        <is>
          <t>avverkningsanmälan</t>
        </is>
      </c>
      <c r="C232" t="inlineStr">
        <is>
          <t>Föryngringsavverkning</t>
        </is>
      </c>
      <c r="D232" s="1" t="n">
        <v>46031</v>
      </c>
      <c r="E232" s="1" t="n">
        <v>46220</v>
      </c>
      <c r="F232" t="inlineStr">
        <is>
          <t>VÄSTERNORRLANDS LÄN</t>
        </is>
      </c>
      <c r="G232" t="inlineStr">
        <is>
          <t>KRAMFORS</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1176-2026</t>
        </is>
      </c>
      <c r="B233" t="inlineStr">
        <is>
          <t>avverkningsanmälan</t>
        </is>
      </c>
      <c r="C233" t="inlineStr">
        <is>
          <t>Föryngringsavverkning</t>
        </is>
      </c>
      <c r="D233" s="1" t="n">
        <v>46031</v>
      </c>
      <c r="E233" s="1" t="n">
        <v>46220</v>
      </c>
      <c r="F233" t="inlineStr">
        <is>
          <t>VÄSTERNORRLANDS LÄN</t>
        </is>
      </c>
      <c r="G233" t="inlineStr">
        <is>
          <t>KRAMFORS</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29240-2024</t>
        </is>
      </c>
      <c r="B234" t="inlineStr">
        <is>
          <t>avverkningsanmälan</t>
        </is>
      </c>
      <c r="C234" t="inlineStr">
        <is>
          <t>Föryngringsavverkning</t>
        </is>
      </c>
      <c r="D234" s="1" t="n">
        <v>45482</v>
      </c>
      <c r="E234" s="1" t="n">
        <v>46220</v>
      </c>
      <c r="F234" t="inlineStr">
        <is>
          <t>VÄSTERNORRLANDS LÄN</t>
        </is>
      </c>
      <c r="G234" t="inlineStr">
        <is>
          <t>KRAMFORS</t>
        </is>
      </c>
      <c r="H234" t="inlineStr">
        <is>
          <t>SCA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25574-2025</t>
        </is>
      </c>
      <c r="B235" t="inlineStr">
        <is>
          <t>avverkningsanmälan</t>
        </is>
      </c>
      <c r="C235" t="inlineStr">
        <is>
          <t>Föryngringsavverkning</t>
        </is>
      </c>
      <c r="D235" s="1" t="n">
        <v>45803</v>
      </c>
      <c r="E235" s="1" t="n">
        <v>46220</v>
      </c>
      <c r="F235" t="inlineStr">
        <is>
          <t>VÄSTERNORRLANDS LÄN</t>
        </is>
      </c>
      <c r="G235" t="inlineStr">
        <is>
          <t>KRAMFORS</t>
        </is>
      </c>
      <c r="I235" t="n">
        <v>2.9</v>
      </c>
      <c r="J235" t="n">
        <v>0</v>
      </c>
      <c r="K235" t="n">
        <v>0</v>
      </c>
      <c r="L235" t="n">
        <v>0</v>
      </c>
      <c r="M235" t="n">
        <v>0</v>
      </c>
      <c r="N235" t="n">
        <v>0</v>
      </c>
      <c r="O235" t="n">
        <v>0</v>
      </c>
      <c r="P235" t="n">
        <v>0</v>
      </c>
      <c r="Q235" t="n">
        <v>0</v>
      </c>
      <c r="R235" t="n">
        <v>0</v>
      </c>
      <c r="S235" t="n">
        <v>0</v>
      </c>
      <c r="T235" t="n">
        <v>0</v>
      </c>
      <c r="U235" s="2" t="inlineStr"/>
    </row>
    <row r="236" ht="15" customHeight="1">
      <c r="A236" t="inlineStr">
        <is>
          <t>A 27709-2024</t>
        </is>
      </c>
      <c r="B236" t="inlineStr">
        <is>
          <t>avverkningsanmälan</t>
        </is>
      </c>
      <c r="C236" t="inlineStr">
        <is>
          <t>Föryngringsavverkning</t>
        </is>
      </c>
      <c r="D236" s="1" t="n">
        <v>45475</v>
      </c>
      <c r="E236" s="1" t="n">
        <v>46220</v>
      </c>
      <c r="F236" t="inlineStr">
        <is>
          <t>VÄSTERNORRLANDS LÄN</t>
        </is>
      </c>
      <c r="G236" t="inlineStr">
        <is>
          <t>KRAMFORS</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43440-2022</t>
        </is>
      </c>
      <c r="B237" t="inlineStr">
        <is>
          <t>avverkningsanmälan</t>
        </is>
      </c>
      <c r="C237" t="inlineStr">
        <is>
          <t>Föryngringsavverkning</t>
        </is>
      </c>
      <c r="D237" s="1" t="n">
        <v>44834</v>
      </c>
      <c r="E237" s="1" t="n">
        <v>46220</v>
      </c>
      <c r="F237" t="inlineStr">
        <is>
          <t>VÄSTERNORRLANDS LÄN</t>
        </is>
      </c>
      <c r="G237" t="inlineStr">
        <is>
          <t>KRAMFORS</t>
        </is>
      </c>
      <c r="H237" t="inlineStr">
        <is>
          <t>SCA</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17461-2023</t>
        </is>
      </c>
      <c r="B238" t="inlineStr">
        <is>
          <t>avverkningsanmälan</t>
        </is>
      </c>
      <c r="C238" t="inlineStr">
        <is>
          <t>Föryngringsavverkning</t>
        </is>
      </c>
      <c r="D238" s="1" t="n">
        <v>45036</v>
      </c>
      <c r="E238" s="1" t="n">
        <v>46220</v>
      </c>
      <c r="F238" t="inlineStr">
        <is>
          <t>VÄSTERNORRLANDS LÄN</t>
        </is>
      </c>
      <c r="G238" t="inlineStr">
        <is>
          <t>KRAMFORS</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8227-2024</t>
        </is>
      </c>
      <c r="B239" t="inlineStr">
        <is>
          <t>avverkningsanmälan</t>
        </is>
      </c>
      <c r="C239" t="inlineStr">
        <is>
          <t>Föryngringsavverkning</t>
        </is>
      </c>
      <c r="D239" s="1" t="n">
        <v>45351</v>
      </c>
      <c r="E239" s="1" t="n">
        <v>46220</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61252-2022</t>
        </is>
      </c>
      <c r="B240" t="inlineStr">
        <is>
          <t>avverkningsanmälan</t>
        </is>
      </c>
      <c r="C240" t="inlineStr">
        <is>
          <t>Föryngringsavverkning</t>
        </is>
      </c>
      <c r="D240" s="1" t="n">
        <v>44909</v>
      </c>
      <c r="E240" s="1" t="n">
        <v>46220</v>
      </c>
      <c r="F240" t="inlineStr">
        <is>
          <t>VÄSTERNORRLANDS LÄN</t>
        </is>
      </c>
      <c r="G240" t="inlineStr">
        <is>
          <t>KRAMFORS</t>
        </is>
      </c>
      <c r="I240" t="n">
        <v>4.2</v>
      </c>
      <c r="J240" t="n">
        <v>0</v>
      </c>
      <c r="K240" t="n">
        <v>0</v>
      </c>
      <c r="L240" t="n">
        <v>0</v>
      </c>
      <c r="M240" t="n">
        <v>0</v>
      </c>
      <c r="N240" t="n">
        <v>0</v>
      </c>
      <c r="O240" t="n">
        <v>0</v>
      </c>
      <c r="P240" t="n">
        <v>0</v>
      </c>
      <c r="Q240" t="n">
        <v>0</v>
      </c>
      <c r="R240" t="n">
        <v>0</v>
      </c>
      <c r="S240" t="n">
        <v>0</v>
      </c>
      <c r="T240" t="n">
        <v>0</v>
      </c>
      <c r="U240" s="2" t="inlineStr"/>
    </row>
    <row r="241" ht="15" customHeight="1">
      <c r="A241" t="inlineStr">
        <is>
          <t>A 44258-2021</t>
        </is>
      </c>
      <c r="B241" t="inlineStr">
        <is>
          <t>avverkningsanmälan</t>
        </is>
      </c>
      <c r="C241" t="inlineStr">
        <is>
          <t>Föryngringsavverkning</t>
        </is>
      </c>
      <c r="D241" s="1" t="n">
        <v>44434</v>
      </c>
      <c r="E241" s="1" t="n">
        <v>46220</v>
      </c>
      <c r="F241" t="inlineStr">
        <is>
          <t>VÄSTERNORRLANDS LÄN</t>
        </is>
      </c>
      <c r="G241" t="inlineStr">
        <is>
          <t>KRAMFORS</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26134-2025</t>
        </is>
      </c>
      <c r="B242" t="inlineStr">
        <is>
          <t>avverkningsanmälan</t>
        </is>
      </c>
      <c r="C242" t="inlineStr">
        <is>
          <t>Föryngringsavverkning</t>
        </is>
      </c>
      <c r="D242" s="1" t="n">
        <v>45805</v>
      </c>
      <c r="E242" s="1" t="n">
        <v>46220</v>
      </c>
      <c r="F242" t="inlineStr">
        <is>
          <t>VÄSTERNORRLANDS LÄN</t>
        </is>
      </c>
      <c r="G242" t="inlineStr">
        <is>
          <t>KRAMFORS</t>
        </is>
      </c>
      <c r="I242" t="n">
        <v>15.3</v>
      </c>
      <c r="J242" t="n">
        <v>0</v>
      </c>
      <c r="K242" t="n">
        <v>0</v>
      </c>
      <c r="L242" t="n">
        <v>0</v>
      </c>
      <c r="M242" t="n">
        <v>0</v>
      </c>
      <c r="N242" t="n">
        <v>0</v>
      </c>
      <c r="O242" t="n">
        <v>0</v>
      </c>
      <c r="P242" t="n">
        <v>0</v>
      </c>
      <c r="Q242" t="n">
        <v>0</v>
      </c>
      <c r="R242" t="n">
        <v>0</v>
      </c>
      <c r="S242" t="n">
        <v>0</v>
      </c>
      <c r="T242" t="n">
        <v>0</v>
      </c>
      <c r="U242" s="2" t="inlineStr"/>
    </row>
    <row r="243" ht="15" customHeight="1">
      <c r="A243" t="inlineStr">
        <is>
          <t>A 26137-2025</t>
        </is>
      </c>
      <c r="B243" t="inlineStr">
        <is>
          <t>avverkningsanmälan</t>
        </is>
      </c>
      <c r="C243" t="inlineStr">
        <is>
          <t>Föryngringsavverkning</t>
        </is>
      </c>
      <c r="D243" s="1" t="n">
        <v>45805</v>
      </c>
      <c r="E243" s="1" t="n">
        <v>46220</v>
      </c>
      <c r="F243" t="inlineStr">
        <is>
          <t>VÄSTERNORRLANDS LÄN</t>
        </is>
      </c>
      <c r="G243" t="inlineStr">
        <is>
          <t>KRAMFORS</t>
        </is>
      </c>
      <c r="I243" t="n">
        <v>2.9</v>
      </c>
      <c r="J243" t="n">
        <v>0</v>
      </c>
      <c r="K243" t="n">
        <v>0</v>
      </c>
      <c r="L243" t="n">
        <v>0</v>
      </c>
      <c r="M243" t="n">
        <v>0</v>
      </c>
      <c r="N243" t="n">
        <v>0</v>
      </c>
      <c r="O243" t="n">
        <v>0</v>
      </c>
      <c r="P243" t="n">
        <v>0</v>
      </c>
      <c r="Q243" t="n">
        <v>0</v>
      </c>
      <c r="R243" t="n">
        <v>0</v>
      </c>
      <c r="S243" t="n">
        <v>0</v>
      </c>
      <c r="T243" t="n">
        <v>0</v>
      </c>
      <c r="U243" s="2" t="inlineStr"/>
    </row>
    <row r="244" ht="15" customHeight="1">
      <c r="A244" t="inlineStr">
        <is>
          <t>A 54045-2024</t>
        </is>
      </c>
      <c r="B244" t="inlineStr">
        <is>
          <t>avverkningsanmälan</t>
        </is>
      </c>
      <c r="C244" t="inlineStr">
        <is>
          <t>Föryngringsavverkning</t>
        </is>
      </c>
      <c r="D244" s="1" t="n">
        <v>45616</v>
      </c>
      <c r="E244" s="1" t="n">
        <v>46220</v>
      </c>
      <c r="F244" t="inlineStr">
        <is>
          <t>VÄSTERNORRLANDS LÄN</t>
        </is>
      </c>
      <c r="G244" t="inlineStr">
        <is>
          <t>KRAMFORS</t>
        </is>
      </c>
      <c r="I244" t="n">
        <v>3.3</v>
      </c>
      <c r="J244" t="n">
        <v>0</v>
      </c>
      <c r="K244" t="n">
        <v>0</v>
      </c>
      <c r="L244" t="n">
        <v>0</v>
      </c>
      <c r="M244" t="n">
        <v>0</v>
      </c>
      <c r="N244" t="n">
        <v>0</v>
      </c>
      <c r="O244" t="n">
        <v>0</v>
      </c>
      <c r="P244" t="n">
        <v>0</v>
      </c>
      <c r="Q244" t="n">
        <v>0</v>
      </c>
      <c r="R244" t="n">
        <v>0</v>
      </c>
      <c r="S244" t="n">
        <v>0</v>
      </c>
      <c r="T244" t="n">
        <v>0</v>
      </c>
      <c r="U244" s="2" t="inlineStr"/>
    </row>
    <row r="245" ht="15" customHeight="1">
      <c r="A245" t="inlineStr">
        <is>
          <t>A 2418-2026</t>
        </is>
      </c>
      <c r="B245" t="inlineStr">
        <is>
          <t>avverkningsanmälan</t>
        </is>
      </c>
      <c r="C245" t="inlineStr">
        <is>
          <t>Föryngringsavverkning</t>
        </is>
      </c>
      <c r="D245" s="1" t="n">
        <v>46034</v>
      </c>
      <c r="E245" s="1" t="n">
        <v>46220</v>
      </c>
      <c r="F245" t="inlineStr">
        <is>
          <t>VÄSTERNORRLANDS LÄN</t>
        </is>
      </c>
      <c r="G245" t="inlineStr">
        <is>
          <t>KRAMFORS</t>
        </is>
      </c>
      <c r="I245" t="n">
        <v>9.199999999999999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60424-2024</t>
        </is>
      </c>
      <c r="B246" t="inlineStr">
        <is>
          <t>avverkningsanmälan</t>
        </is>
      </c>
      <c r="C246" t="inlineStr">
        <is>
          <t>Föryngringsavverkning</t>
        </is>
      </c>
      <c r="D246" s="1" t="n">
        <v>45643</v>
      </c>
      <c r="E246" s="1" t="n">
        <v>46220</v>
      </c>
      <c r="F246" t="inlineStr">
        <is>
          <t>VÄSTERNORRLANDS LÄN</t>
        </is>
      </c>
      <c r="G246" t="inlineStr">
        <is>
          <t>KRAMFORS</t>
        </is>
      </c>
      <c r="I246" t="n">
        <v>6.2</v>
      </c>
      <c r="J246" t="n">
        <v>0</v>
      </c>
      <c r="K246" t="n">
        <v>0</v>
      </c>
      <c r="L246" t="n">
        <v>0</v>
      </c>
      <c r="M246" t="n">
        <v>0</v>
      </c>
      <c r="N246" t="n">
        <v>0</v>
      </c>
      <c r="O246" t="n">
        <v>0</v>
      </c>
      <c r="P246" t="n">
        <v>0</v>
      </c>
      <c r="Q246" t="n">
        <v>0</v>
      </c>
      <c r="R246" t="n">
        <v>0</v>
      </c>
      <c r="S246" t="n">
        <v>0</v>
      </c>
      <c r="T246" t="n">
        <v>0</v>
      </c>
      <c r="U246" s="2" t="inlineStr"/>
    </row>
    <row r="247" ht="15" customHeight="1">
      <c r="A247" t="inlineStr">
        <is>
          <t>A 34330-2022</t>
        </is>
      </c>
      <c r="B247" t="inlineStr">
        <is>
          <t>avverkningsanmälan</t>
        </is>
      </c>
      <c r="C247" t="inlineStr">
        <is>
          <t>Föryngringsavverkning</t>
        </is>
      </c>
      <c r="D247" s="1" t="n">
        <v>44792</v>
      </c>
      <c r="E247" s="1" t="n">
        <v>46220</v>
      </c>
      <c r="F247" t="inlineStr">
        <is>
          <t>VÄSTERNORRLANDS LÄN</t>
        </is>
      </c>
      <c r="G247" t="inlineStr">
        <is>
          <t>KRAMFORS</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26553-2025</t>
        </is>
      </c>
      <c r="B248" t="inlineStr">
        <is>
          <t>avverkningsanmälan</t>
        </is>
      </c>
      <c r="C248" t="inlineStr">
        <is>
          <t>Föryngringsavverkning</t>
        </is>
      </c>
      <c r="D248" s="1" t="n">
        <v>45807</v>
      </c>
      <c r="E248" s="1" t="n">
        <v>46220</v>
      </c>
      <c r="F248" t="inlineStr">
        <is>
          <t>VÄSTERNORRLANDS LÄN</t>
        </is>
      </c>
      <c r="G248" t="inlineStr">
        <is>
          <t>KRAMFORS</t>
        </is>
      </c>
      <c r="H248" t="inlineStr">
        <is>
          <t>SCA</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38989-2025</t>
        </is>
      </c>
      <c r="B249" t="inlineStr">
        <is>
          <t>avverkningsanmälan</t>
        </is>
      </c>
      <c r="C249" t="inlineStr">
        <is>
          <t>Föryngringsavverkning</t>
        </is>
      </c>
      <c r="D249" s="1" t="n">
        <v>45888</v>
      </c>
      <c r="E249" s="1" t="n">
        <v>46220</v>
      </c>
      <c r="F249" t="inlineStr">
        <is>
          <t>VÄSTERNORRLANDS LÄN</t>
        </is>
      </c>
      <c r="G249" t="inlineStr">
        <is>
          <t>KRAMFORS</t>
        </is>
      </c>
      <c r="I249" t="n">
        <v>4.4</v>
      </c>
      <c r="J249" t="n">
        <v>0</v>
      </c>
      <c r="K249" t="n">
        <v>0</v>
      </c>
      <c r="L249" t="n">
        <v>0</v>
      </c>
      <c r="M249" t="n">
        <v>0</v>
      </c>
      <c r="N249" t="n">
        <v>0</v>
      </c>
      <c r="O249" t="n">
        <v>0</v>
      </c>
      <c r="P249" t="n">
        <v>0</v>
      </c>
      <c r="Q249" t="n">
        <v>0</v>
      </c>
      <c r="R249" t="n">
        <v>0</v>
      </c>
      <c r="S249" t="n">
        <v>0</v>
      </c>
      <c r="T249" t="n">
        <v>0</v>
      </c>
      <c r="U249" s="2" t="inlineStr"/>
    </row>
    <row r="250" ht="15" customHeight="1">
      <c r="A250" t="inlineStr">
        <is>
          <t>A 11231-2025</t>
        </is>
      </c>
      <c r="B250" t="inlineStr">
        <is>
          <t>avverkningsanmälan</t>
        </is>
      </c>
      <c r="C250" t="inlineStr">
        <is>
          <t>Avverkning för annat ändamål</t>
        </is>
      </c>
      <c r="D250" s="1" t="n">
        <v>45726</v>
      </c>
      <c r="E250" s="1" t="n">
        <v>46220</v>
      </c>
      <c r="F250" t="inlineStr">
        <is>
          <t>VÄSTERNORRLANDS LÄN</t>
        </is>
      </c>
      <c r="G250" t="inlineStr">
        <is>
          <t>KRAMFORS</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12951-2025</t>
        </is>
      </c>
      <c r="B251" t="inlineStr">
        <is>
          <t>avverkningsanmälan</t>
        </is>
      </c>
      <c r="C251" t="inlineStr">
        <is>
          <t>Föryngringsavverkning</t>
        </is>
      </c>
      <c r="D251" s="1" t="n">
        <v>45734</v>
      </c>
      <c r="E251" s="1" t="n">
        <v>46220</v>
      </c>
      <c r="F251" t="inlineStr">
        <is>
          <t>VÄSTERNORRLANDS LÄN</t>
        </is>
      </c>
      <c r="G251" t="inlineStr">
        <is>
          <t>KRAMFORS</t>
        </is>
      </c>
      <c r="I251" t="n">
        <v>4.2</v>
      </c>
      <c r="J251" t="n">
        <v>0</v>
      </c>
      <c r="K251" t="n">
        <v>0</v>
      </c>
      <c r="L251" t="n">
        <v>0</v>
      </c>
      <c r="M251" t="n">
        <v>0</v>
      </c>
      <c r="N251" t="n">
        <v>0</v>
      </c>
      <c r="O251" t="n">
        <v>0</v>
      </c>
      <c r="P251" t="n">
        <v>0</v>
      </c>
      <c r="Q251" t="n">
        <v>0</v>
      </c>
      <c r="R251" t="n">
        <v>0</v>
      </c>
      <c r="S251" t="n">
        <v>0</v>
      </c>
      <c r="T251" t="n">
        <v>0</v>
      </c>
      <c r="U251" s="2" t="inlineStr"/>
    </row>
    <row r="252" ht="15" customHeight="1">
      <c r="A252" t="inlineStr">
        <is>
          <t>A 62003-2024</t>
        </is>
      </c>
      <c r="B252" t="inlineStr">
        <is>
          <t>avverkningsanmälan</t>
        </is>
      </c>
      <c r="C252" t="inlineStr">
        <is>
          <t>Föryngringsavverkning</t>
        </is>
      </c>
      <c r="D252" s="1" t="n">
        <v>45654</v>
      </c>
      <c r="E252" s="1" t="n">
        <v>46220</v>
      </c>
      <c r="F252" t="inlineStr">
        <is>
          <t>VÄSTERNORRLANDS LÄN</t>
        </is>
      </c>
      <c r="G252" t="inlineStr">
        <is>
          <t>KRAMFORS</t>
        </is>
      </c>
      <c r="I252" t="n">
        <v>7</v>
      </c>
      <c r="J252" t="n">
        <v>0</v>
      </c>
      <c r="K252" t="n">
        <v>0</v>
      </c>
      <c r="L252" t="n">
        <v>0</v>
      </c>
      <c r="M252" t="n">
        <v>0</v>
      </c>
      <c r="N252" t="n">
        <v>0</v>
      </c>
      <c r="O252" t="n">
        <v>0</v>
      </c>
      <c r="P252" t="n">
        <v>0</v>
      </c>
      <c r="Q252" t="n">
        <v>0</v>
      </c>
      <c r="R252" t="n">
        <v>0</v>
      </c>
      <c r="S252" t="n">
        <v>0</v>
      </c>
      <c r="T252" t="n">
        <v>0</v>
      </c>
      <c r="U252" s="2" t="inlineStr"/>
    </row>
    <row r="253" ht="15" customHeight="1">
      <c r="A253" t="inlineStr">
        <is>
          <t>A 8727-2025</t>
        </is>
      </c>
      <c r="B253" t="inlineStr">
        <is>
          <t>avverkningsanmälan</t>
        </is>
      </c>
      <c r="C253" t="inlineStr">
        <is>
          <t>Föryngringsavverkning</t>
        </is>
      </c>
      <c r="D253" s="1" t="n">
        <v>45712</v>
      </c>
      <c r="E253" s="1" t="n">
        <v>46220</v>
      </c>
      <c r="F253" t="inlineStr">
        <is>
          <t>VÄSTERNORRLANDS LÄN</t>
        </is>
      </c>
      <c r="G253" t="inlineStr">
        <is>
          <t>KRAMFORS</t>
        </is>
      </c>
      <c r="I253" t="n">
        <v>4.5</v>
      </c>
      <c r="J253" t="n">
        <v>0</v>
      </c>
      <c r="K253" t="n">
        <v>0</v>
      </c>
      <c r="L253" t="n">
        <v>0</v>
      </c>
      <c r="M253" t="n">
        <v>0</v>
      </c>
      <c r="N253" t="n">
        <v>0</v>
      </c>
      <c r="O253" t="n">
        <v>0</v>
      </c>
      <c r="P253" t="n">
        <v>0</v>
      </c>
      <c r="Q253" t="n">
        <v>0</v>
      </c>
      <c r="R253" t="n">
        <v>0</v>
      </c>
      <c r="S253" t="n">
        <v>0</v>
      </c>
      <c r="T253" t="n">
        <v>0</v>
      </c>
      <c r="U253" s="2" t="inlineStr"/>
    </row>
    <row r="254" ht="15" customHeight="1">
      <c r="A254" t="inlineStr">
        <is>
          <t>A 32446-2024</t>
        </is>
      </c>
      <c r="B254" t="inlineStr">
        <is>
          <t>avverkningsanmälan</t>
        </is>
      </c>
      <c r="C254" t="inlineStr">
        <is>
          <t>Föryngringsavverkning</t>
        </is>
      </c>
      <c r="D254" s="1" t="n">
        <v>45512</v>
      </c>
      <c r="E254" s="1" t="n">
        <v>46220</v>
      </c>
      <c r="F254" t="inlineStr">
        <is>
          <t>VÄSTERNORRLANDS LÄN</t>
        </is>
      </c>
      <c r="G254" t="inlineStr">
        <is>
          <t>KRAMFORS</t>
        </is>
      </c>
      <c r="H254" t="inlineStr">
        <is>
          <t>SCA</t>
        </is>
      </c>
      <c r="I254" t="n">
        <v>6.5</v>
      </c>
      <c r="J254" t="n">
        <v>0</v>
      </c>
      <c r="K254" t="n">
        <v>0</v>
      </c>
      <c r="L254" t="n">
        <v>0</v>
      </c>
      <c r="M254" t="n">
        <v>0</v>
      </c>
      <c r="N254" t="n">
        <v>0</v>
      </c>
      <c r="O254" t="n">
        <v>0</v>
      </c>
      <c r="P254" t="n">
        <v>0</v>
      </c>
      <c r="Q254" t="n">
        <v>0</v>
      </c>
      <c r="R254" t="n">
        <v>0</v>
      </c>
      <c r="S254" t="n">
        <v>0</v>
      </c>
      <c r="T254" t="n">
        <v>0</v>
      </c>
      <c r="U254" s="2" t="inlineStr"/>
    </row>
    <row r="255" ht="15" customHeight="1">
      <c r="A255" t="inlineStr">
        <is>
          <t>A 3083-2025</t>
        </is>
      </c>
      <c r="B255" t="inlineStr">
        <is>
          <t>avverkningsanmälan</t>
        </is>
      </c>
      <c r="C255" t="inlineStr">
        <is>
          <t>Föryngringsavverkning</t>
        </is>
      </c>
      <c r="D255" s="1" t="n">
        <v>45678</v>
      </c>
      <c r="E255" s="1" t="n">
        <v>46220</v>
      </c>
      <c r="F255" t="inlineStr">
        <is>
          <t>VÄSTERNORRLANDS LÄN</t>
        </is>
      </c>
      <c r="G255" t="inlineStr">
        <is>
          <t>KRAMFORS</t>
        </is>
      </c>
      <c r="I255" t="n">
        <v>9.6</v>
      </c>
      <c r="J255" t="n">
        <v>0</v>
      </c>
      <c r="K255" t="n">
        <v>0</v>
      </c>
      <c r="L255" t="n">
        <v>0</v>
      </c>
      <c r="M255" t="n">
        <v>0</v>
      </c>
      <c r="N255" t="n">
        <v>0</v>
      </c>
      <c r="O255" t="n">
        <v>0</v>
      </c>
      <c r="P255" t="n">
        <v>0</v>
      </c>
      <c r="Q255" t="n">
        <v>0</v>
      </c>
      <c r="R255" t="n">
        <v>0</v>
      </c>
      <c r="S255" t="n">
        <v>0</v>
      </c>
      <c r="T255" t="n">
        <v>0</v>
      </c>
      <c r="U255" s="2" t="inlineStr"/>
    </row>
    <row r="256" ht="15" customHeight="1">
      <c r="A256" t="inlineStr">
        <is>
          <t>A 39579-2025</t>
        </is>
      </c>
      <c r="B256" t="inlineStr">
        <is>
          <t>avverkningsanmälan</t>
        </is>
      </c>
      <c r="C256" t="inlineStr">
        <is>
          <t>Föryngringsavverkning</t>
        </is>
      </c>
      <c r="D256" s="1" t="n">
        <v>45890</v>
      </c>
      <c r="E256" s="1" t="n">
        <v>46220</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1590-2026</t>
        </is>
      </c>
      <c r="B257" t="inlineStr">
        <is>
          <t>avverkningsanmälan</t>
        </is>
      </c>
      <c r="C257" t="inlineStr">
        <is>
          <t>Föryngringsavverkning</t>
        </is>
      </c>
      <c r="D257" s="1" t="n">
        <v>46034</v>
      </c>
      <c r="E257" s="1" t="n">
        <v>46220</v>
      </c>
      <c r="F257" t="inlineStr">
        <is>
          <t>VÄSTERNORRLANDS LÄN</t>
        </is>
      </c>
      <c r="G257" t="inlineStr">
        <is>
          <t>KRAMFORS</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39581-2025</t>
        </is>
      </c>
      <c r="B258" t="inlineStr">
        <is>
          <t>avverkningsanmälan</t>
        </is>
      </c>
      <c r="C258" t="inlineStr">
        <is>
          <t>Föryngringsavverkning</t>
        </is>
      </c>
      <c r="D258" s="1" t="n">
        <v>45890</v>
      </c>
      <c r="E258" s="1" t="n">
        <v>46220</v>
      </c>
      <c r="F258" t="inlineStr">
        <is>
          <t>VÄSTERNORRLANDS LÄN</t>
        </is>
      </c>
      <c r="G258" t="inlineStr">
        <is>
          <t>KRAMFORS</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39577-2025</t>
        </is>
      </c>
      <c r="B259" t="inlineStr">
        <is>
          <t>avverkningsanmälan</t>
        </is>
      </c>
      <c r="C259" t="inlineStr">
        <is>
          <t>Föryngringsavverkning</t>
        </is>
      </c>
      <c r="D259" s="1" t="n">
        <v>45890</v>
      </c>
      <c r="E259" s="1" t="n">
        <v>46220</v>
      </c>
      <c r="F259" t="inlineStr">
        <is>
          <t>VÄSTERNORRLANDS LÄN</t>
        </is>
      </c>
      <c r="G259" t="inlineStr">
        <is>
          <t>KRAMFORS</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2410-2025</t>
        </is>
      </c>
      <c r="B260" t="inlineStr">
        <is>
          <t>avverkningsanmälan</t>
        </is>
      </c>
      <c r="C260" t="inlineStr">
        <is>
          <t>Föryngringsavverkning</t>
        </is>
      </c>
      <c r="D260" s="1" t="n">
        <v>45674</v>
      </c>
      <c r="E260" s="1" t="n">
        <v>46220</v>
      </c>
      <c r="F260" t="inlineStr">
        <is>
          <t>VÄSTERNORRLANDS LÄN</t>
        </is>
      </c>
      <c r="G260" t="inlineStr">
        <is>
          <t>KRAMFORS</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48824-2024</t>
        </is>
      </c>
      <c r="B261" t="inlineStr">
        <is>
          <t>avverkningsanmälan</t>
        </is>
      </c>
      <c r="C261" t="inlineStr">
        <is>
          <t>Föryngringsavverkning</t>
        </is>
      </c>
      <c r="D261" s="1" t="n">
        <v>45593</v>
      </c>
      <c r="E261" s="1" t="n">
        <v>46220</v>
      </c>
      <c r="F261" t="inlineStr">
        <is>
          <t>VÄSTERNORRLANDS LÄN</t>
        </is>
      </c>
      <c r="G261" t="inlineStr">
        <is>
          <t>KRAMFORS</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30456-2024</t>
        </is>
      </c>
      <c r="B262" t="inlineStr">
        <is>
          <t>avverkningsanmälan</t>
        </is>
      </c>
      <c r="C262" t="inlineStr">
        <is>
          <t>Föryngringsavverkning</t>
        </is>
      </c>
      <c r="D262" s="1" t="n">
        <v>45491</v>
      </c>
      <c r="E262" s="1" t="n">
        <v>46220</v>
      </c>
      <c r="F262" t="inlineStr">
        <is>
          <t>VÄSTERNORRLANDS LÄN</t>
        </is>
      </c>
      <c r="G262" t="inlineStr">
        <is>
          <t>KRAMFORS</t>
        </is>
      </c>
      <c r="H262" t="inlineStr">
        <is>
          <t>SCA</t>
        </is>
      </c>
      <c r="I262" t="n">
        <v>13.4</v>
      </c>
      <c r="J262" t="n">
        <v>0</v>
      </c>
      <c r="K262" t="n">
        <v>0</v>
      </c>
      <c r="L262" t="n">
        <v>0</v>
      </c>
      <c r="M262" t="n">
        <v>0</v>
      </c>
      <c r="N262" t="n">
        <v>0</v>
      </c>
      <c r="O262" t="n">
        <v>0</v>
      </c>
      <c r="P262" t="n">
        <v>0</v>
      </c>
      <c r="Q262" t="n">
        <v>0</v>
      </c>
      <c r="R262" t="n">
        <v>0</v>
      </c>
      <c r="S262" t="n">
        <v>0</v>
      </c>
      <c r="T262" t="n">
        <v>0</v>
      </c>
      <c r="U262" s="2" t="inlineStr"/>
    </row>
    <row r="263" ht="15" customHeight="1">
      <c r="A263" t="inlineStr">
        <is>
          <t>A 27551-2025</t>
        </is>
      </c>
      <c r="B263" t="inlineStr">
        <is>
          <t>avverkningsanmälan</t>
        </is>
      </c>
      <c r="C263" t="inlineStr">
        <is>
          <t>Föryngringsavverkning</t>
        </is>
      </c>
      <c r="D263" s="1" t="n">
        <v>45813</v>
      </c>
      <c r="E263" s="1" t="n">
        <v>46220</v>
      </c>
      <c r="F263" t="inlineStr">
        <is>
          <t>VÄSTERNORRLANDS LÄN</t>
        </is>
      </c>
      <c r="G263" t="inlineStr">
        <is>
          <t>KRAMFORS</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21434-2025</t>
        </is>
      </c>
      <c r="B264" t="inlineStr">
        <is>
          <t>avverkningsanmälan</t>
        </is>
      </c>
      <c r="C264" t="inlineStr">
        <is>
          <t>Föryngringsavverkning</t>
        </is>
      </c>
      <c r="D264" s="1" t="n">
        <v>45782</v>
      </c>
      <c r="E264" s="1" t="n">
        <v>46220</v>
      </c>
      <c r="F264" t="inlineStr">
        <is>
          <t>VÄSTERNORRLANDS LÄN</t>
        </is>
      </c>
      <c r="G264" t="inlineStr">
        <is>
          <t>KRAMFORS</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27550-2025</t>
        </is>
      </c>
      <c r="B265" t="inlineStr">
        <is>
          <t>avverkningsanmälan</t>
        </is>
      </c>
      <c r="C265" t="inlineStr">
        <is>
          <t>Föryngringsavverkning</t>
        </is>
      </c>
      <c r="D265" s="1" t="n">
        <v>45813</v>
      </c>
      <c r="E265" s="1" t="n">
        <v>46220</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61984-2024</t>
        </is>
      </c>
      <c r="B266" t="inlineStr">
        <is>
          <t>avverkningsanmälan</t>
        </is>
      </c>
      <c r="C266" t="inlineStr">
        <is>
          <t>Avverkning för annat ändamål</t>
        </is>
      </c>
      <c r="D266" s="1" t="n">
        <v>45653</v>
      </c>
      <c r="E266" s="1" t="n">
        <v>46220</v>
      </c>
      <c r="F266" t="inlineStr">
        <is>
          <t>VÄSTERNORRLANDS LÄN</t>
        </is>
      </c>
      <c r="G266" t="inlineStr">
        <is>
          <t>KRAMFORS</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48558-2023</t>
        </is>
      </c>
      <c r="B267" t="inlineStr">
        <is>
          <t>avverkningsanmälan</t>
        </is>
      </c>
      <c r="C267" t="inlineStr">
        <is>
          <t>Föryngringsavverkning</t>
        </is>
      </c>
      <c r="D267" s="1" t="n">
        <v>45202</v>
      </c>
      <c r="E267" s="1" t="n">
        <v>46220</v>
      </c>
      <c r="F267" t="inlineStr">
        <is>
          <t>VÄSTERNORRLANDS LÄN</t>
        </is>
      </c>
      <c r="G267" t="inlineStr">
        <is>
          <t>KRAMFORS</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53576-2021</t>
        </is>
      </c>
      <c r="B268" t="inlineStr">
        <is>
          <t>avverkningsanmälan</t>
        </is>
      </c>
      <c r="C268" t="inlineStr">
        <is>
          <t>Föryngringsavverkning</t>
        </is>
      </c>
      <c r="D268" s="1" t="n">
        <v>44469</v>
      </c>
      <c r="E268" s="1" t="n">
        <v>46220</v>
      </c>
      <c r="F268" t="inlineStr">
        <is>
          <t>VÄSTERNORRLANDS LÄN</t>
        </is>
      </c>
      <c r="G268" t="inlineStr">
        <is>
          <t>KRAMFORS</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41121-2025</t>
        </is>
      </c>
      <c r="B269" t="inlineStr">
        <is>
          <t>avverkningsanmälan</t>
        </is>
      </c>
      <c r="C269" t="inlineStr">
        <is>
          <t>Föryngringsavverkning</t>
        </is>
      </c>
      <c r="D269" s="1" t="n">
        <v>45898</v>
      </c>
      <c r="E269" s="1" t="n">
        <v>46220</v>
      </c>
      <c r="F269" t="inlineStr">
        <is>
          <t>VÄSTERNORRLANDS LÄN</t>
        </is>
      </c>
      <c r="G269" t="inlineStr">
        <is>
          <t>KRAMFORS</t>
        </is>
      </c>
      <c r="H269" t="inlineStr">
        <is>
          <t>SCA</t>
        </is>
      </c>
      <c r="I269" t="n">
        <v>7.8</v>
      </c>
      <c r="J269" t="n">
        <v>0</v>
      </c>
      <c r="K269" t="n">
        <v>0</v>
      </c>
      <c r="L269" t="n">
        <v>0</v>
      </c>
      <c r="M269" t="n">
        <v>0</v>
      </c>
      <c r="N269" t="n">
        <v>0</v>
      </c>
      <c r="O269" t="n">
        <v>0</v>
      </c>
      <c r="P269" t="n">
        <v>0</v>
      </c>
      <c r="Q269" t="n">
        <v>0</v>
      </c>
      <c r="R269" t="n">
        <v>0</v>
      </c>
      <c r="S269" t="n">
        <v>0</v>
      </c>
      <c r="T269" t="n">
        <v>0</v>
      </c>
      <c r="U269" s="2" t="inlineStr"/>
    </row>
    <row r="270" ht="15" customHeight="1">
      <c r="A270" t="inlineStr">
        <is>
          <t>A 16599-2025</t>
        </is>
      </c>
      <c r="B270" t="inlineStr">
        <is>
          <t>avverkningsanmälan</t>
        </is>
      </c>
      <c r="C270" t="inlineStr">
        <is>
          <t>Föryngringsavverkning</t>
        </is>
      </c>
      <c r="D270" s="1" t="n">
        <v>45753</v>
      </c>
      <c r="E270" s="1" t="n">
        <v>46220</v>
      </c>
      <c r="F270" t="inlineStr">
        <is>
          <t>VÄSTERNORRLANDS LÄN</t>
        </is>
      </c>
      <c r="G270" t="inlineStr">
        <is>
          <t>KRAMFORS</t>
        </is>
      </c>
      <c r="I270" t="n">
        <v>5.7</v>
      </c>
      <c r="J270" t="n">
        <v>0</v>
      </c>
      <c r="K270" t="n">
        <v>0</v>
      </c>
      <c r="L270" t="n">
        <v>0</v>
      </c>
      <c r="M270" t="n">
        <v>0</v>
      </c>
      <c r="N270" t="n">
        <v>0</v>
      </c>
      <c r="O270" t="n">
        <v>0</v>
      </c>
      <c r="P270" t="n">
        <v>0</v>
      </c>
      <c r="Q270" t="n">
        <v>0</v>
      </c>
      <c r="R270" t="n">
        <v>0</v>
      </c>
      <c r="S270" t="n">
        <v>0</v>
      </c>
      <c r="T270" t="n">
        <v>0</v>
      </c>
      <c r="U270" s="2" t="inlineStr"/>
    </row>
    <row r="271" ht="15" customHeight="1">
      <c r="A271" t="inlineStr">
        <is>
          <t>A 41561-2025</t>
        </is>
      </c>
      <c r="B271" t="inlineStr">
        <is>
          <t>avverkningsanmälan</t>
        </is>
      </c>
      <c r="C271" t="inlineStr">
        <is>
          <t>Föryngringsavverkning</t>
        </is>
      </c>
      <c r="D271" s="1" t="n">
        <v>45901</v>
      </c>
      <c r="E271" s="1" t="n">
        <v>46220</v>
      </c>
      <c r="F271" t="inlineStr">
        <is>
          <t>VÄSTERNORRLANDS LÄN</t>
        </is>
      </c>
      <c r="G271" t="inlineStr">
        <is>
          <t>KRAMFORS</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41315-2025</t>
        </is>
      </c>
      <c r="B272" t="inlineStr">
        <is>
          <t>avverkningsanmälan</t>
        </is>
      </c>
      <c r="C272" t="inlineStr">
        <is>
          <t>Föryngringsavverkning</t>
        </is>
      </c>
      <c r="D272" s="1" t="n">
        <v>45898</v>
      </c>
      <c r="E272" s="1" t="n">
        <v>46220</v>
      </c>
      <c r="F272" t="inlineStr">
        <is>
          <t>VÄSTERNORRLANDS LÄN</t>
        </is>
      </c>
      <c r="G272" t="inlineStr">
        <is>
          <t>KRAMFORS</t>
        </is>
      </c>
      <c r="I272" t="n">
        <v>1.5</v>
      </c>
      <c r="J272" t="n">
        <v>0</v>
      </c>
      <c r="K272" t="n">
        <v>0</v>
      </c>
      <c r="L272" t="n">
        <v>0</v>
      </c>
      <c r="M272" t="n">
        <v>0</v>
      </c>
      <c r="N272" t="n">
        <v>0</v>
      </c>
      <c r="O272" t="n">
        <v>0</v>
      </c>
      <c r="P272" t="n">
        <v>0</v>
      </c>
      <c r="Q272" t="n">
        <v>0</v>
      </c>
      <c r="R272" t="n">
        <v>0</v>
      </c>
      <c r="S272" t="n">
        <v>0</v>
      </c>
      <c r="T272" t="n">
        <v>0</v>
      </c>
      <c r="U272" s="2" t="inlineStr"/>
    </row>
    <row r="273" ht="15" customHeight="1">
      <c r="A273" t="inlineStr">
        <is>
          <t>A 41317-2025</t>
        </is>
      </c>
      <c r="B273" t="inlineStr">
        <is>
          <t>avverkningsanmälan</t>
        </is>
      </c>
      <c r="C273" t="inlineStr">
        <is>
          <t>Föryngringsavverkning</t>
        </is>
      </c>
      <c r="D273" s="1" t="n">
        <v>45898</v>
      </c>
      <c r="E273" s="1" t="n">
        <v>46220</v>
      </c>
      <c r="F273" t="inlineStr">
        <is>
          <t>VÄSTERNORRLANDS LÄN</t>
        </is>
      </c>
      <c r="G273" t="inlineStr">
        <is>
          <t>KRAMFORS</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41012-2025</t>
        </is>
      </c>
      <c r="B274" t="inlineStr">
        <is>
          <t>avverkningsanmälan</t>
        </is>
      </c>
      <c r="C274" t="inlineStr">
        <is>
          <t>Föryngringsavverkning</t>
        </is>
      </c>
      <c r="D274" s="1" t="n">
        <v>45898</v>
      </c>
      <c r="E274" s="1" t="n">
        <v>46220</v>
      </c>
      <c r="F274" t="inlineStr">
        <is>
          <t>VÄSTERNORRLANDS LÄN</t>
        </is>
      </c>
      <c r="G274" t="inlineStr">
        <is>
          <t>KRAMFORS</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54178-2023</t>
        </is>
      </c>
      <c r="B275" t="inlineStr">
        <is>
          <t>avverkningsanmälan</t>
        </is>
      </c>
      <c r="C275" t="inlineStr">
        <is>
          <t>Föryngringsavverkning</t>
        </is>
      </c>
      <c r="D275" s="1" t="n">
        <v>45225</v>
      </c>
      <c r="E275" s="1" t="n">
        <v>46220</v>
      </c>
      <c r="F275" t="inlineStr">
        <is>
          <t>VÄSTERNORRLANDS LÄN</t>
        </is>
      </c>
      <c r="G275" t="inlineStr">
        <is>
          <t>KRAMFORS</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41556-2025</t>
        </is>
      </c>
      <c r="B276" t="inlineStr">
        <is>
          <t>avverkningsanmälan</t>
        </is>
      </c>
      <c r="C276" t="inlineStr">
        <is>
          <t>Föryngringsavverkning</t>
        </is>
      </c>
      <c r="D276" s="1" t="n">
        <v>45901</v>
      </c>
      <c r="E276" s="1" t="n">
        <v>46220</v>
      </c>
      <c r="F276" t="inlineStr">
        <is>
          <t>VÄSTERNORRLANDS LÄN</t>
        </is>
      </c>
      <c r="G276" t="inlineStr">
        <is>
          <t>KRAMFORS</t>
        </is>
      </c>
      <c r="I276" t="n">
        <v>8.699999999999999</v>
      </c>
      <c r="J276" t="n">
        <v>0</v>
      </c>
      <c r="K276" t="n">
        <v>0</v>
      </c>
      <c r="L276" t="n">
        <v>0</v>
      </c>
      <c r="M276" t="n">
        <v>0</v>
      </c>
      <c r="N276" t="n">
        <v>0</v>
      </c>
      <c r="O276" t="n">
        <v>0</v>
      </c>
      <c r="P276" t="n">
        <v>0</v>
      </c>
      <c r="Q276" t="n">
        <v>0</v>
      </c>
      <c r="R276" t="n">
        <v>0</v>
      </c>
      <c r="S276" t="n">
        <v>0</v>
      </c>
      <c r="T276" t="n">
        <v>0</v>
      </c>
      <c r="U276" s="2" t="inlineStr"/>
    </row>
    <row r="277" ht="15" customHeight="1">
      <c r="A277" t="inlineStr">
        <is>
          <t>A 41318-2025</t>
        </is>
      </c>
      <c r="B277" t="inlineStr">
        <is>
          <t>avverkningsanmälan</t>
        </is>
      </c>
      <c r="C277" t="inlineStr">
        <is>
          <t>Föryngringsavverkning</t>
        </is>
      </c>
      <c r="D277" s="1" t="n">
        <v>45898</v>
      </c>
      <c r="E277" s="1" t="n">
        <v>46220</v>
      </c>
      <c r="F277" t="inlineStr">
        <is>
          <t>VÄSTERNORRLANDS LÄN</t>
        </is>
      </c>
      <c r="G277" t="inlineStr">
        <is>
          <t>KRAMFORS</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41557-2025</t>
        </is>
      </c>
      <c r="B278" t="inlineStr">
        <is>
          <t>avverkningsanmälan</t>
        </is>
      </c>
      <c r="C278" t="inlineStr">
        <is>
          <t>Föryngringsavverkning</t>
        </is>
      </c>
      <c r="D278" s="1" t="n">
        <v>45901</v>
      </c>
      <c r="E278" s="1" t="n">
        <v>46220</v>
      </c>
      <c r="F278" t="inlineStr">
        <is>
          <t>VÄSTERNORRLANDS LÄN</t>
        </is>
      </c>
      <c r="G278" t="inlineStr">
        <is>
          <t>KRAMFORS</t>
        </is>
      </c>
      <c r="I278" t="n">
        <v>5.8</v>
      </c>
      <c r="J278" t="n">
        <v>0</v>
      </c>
      <c r="K278" t="n">
        <v>0</v>
      </c>
      <c r="L278" t="n">
        <v>0</v>
      </c>
      <c r="M278" t="n">
        <v>0</v>
      </c>
      <c r="N278" t="n">
        <v>0</v>
      </c>
      <c r="O278" t="n">
        <v>0</v>
      </c>
      <c r="P278" t="n">
        <v>0</v>
      </c>
      <c r="Q278" t="n">
        <v>0</v>
      </c>
      <c r="R278" t="n">
        <v>0</v>
      </c>
      <c r="S278" t="n">
        <v>0</v>
      </c>
      <c r="T278" t="n">
        <v>0</v>
      </c>
      <c r="U278" s="2" t="inlineStr"/>
    </row>
    <row r="279" ht="15" customHeight="1">
      <c r="A279" t="inlineStr">
        <is>
          <t>A 19124-2025</t>
        </is>
      </c>
      <c r="B279" t="inlineStr">
        <is>
          <t>avverkningsanmälan</t>
        </is>
      </c>
      <c r="C279" t="inlineStr">
        <is>
          <t>Föryngringsavverkning</t>
        </is>
      </c>
      <c r="D279" s="1" t="n">
        <v>45768</v>
      </c>
      <c r="E279" s="1" t="n">
        <v>46220</v>
      </c>
      <c r="F279" t="inlineStr">
        <is>
          <t>VÄSTERNORRLANDS LÄN</t>
        </is>
      </c>
      <c r="G279" t="inlineStr">
        <is>
          <t>KRAMFORS</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41033-2025</t>
        </is>
      </c>
      <c r="B280" t="inlineStr">
        <is>
          <t>avverkningsanmälan</t>
        </is>
      </c>
      <c r="C280" t="inlineStr">
        <is>
          <t>Föryngringsavverkning</t>
        </is>
      </c>
      <c r="D280" s="1" t="n">
        <v>45898</v>
      </c>
      <c r="E280" s="1" t="n">
        <v>46220</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41045-2025</t>
        </is>
      </c>
      <c r="B281" t="inlineStr">
        <is>
          <t>avverkningsanmälan</t>
        </is>
      </c>
      <c r="C281" t="inlineStr">
        <is>
          <t>Föryngringsavverkning</t>
        </is>
      </c>
      <c r="D281" s="1" t="n">
        <v>45898</v>
      </c>
      <c r="E281" s="1" t="n">
        <v>46220</v>
      </c>
      <c r="F281" t="inlineStr">
        <is>
          <t>VÄSTERNORRLANDS LÄN</t>
        </is>
      </c>
      <c r="G281" t="inlineStr">
        <is>
          <t>KRAMFORS</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41062-2025</t>
        </is>
      </c>
      <c r="B282" t="inlineStr">
        <is>
          <t>avverkningsanmälan</t>
        </is>
      </c>
      <c r="C282" t="inlineStr">
        <is>
          <t>Föryngringsavverkning</t>
        </is>
      </c>
      <c r="D282" s="1" t="n">
        <v>45898</v>
      </c>
      <c r="E282" s="1" t="n">
        <v>46220</v>
      </c>
      <c r="F282" t="inlineStr">
        <is>
          <t>VÄSTERNORRLANDS LÄN</t>
        </is>
      </c>
      <c r="G282" t="inlineStr">
        <is>
          <t>KRAMFORS</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41314-2025</t>
        </is>
      </c>
      <c r="B283" t="inlineStr">
        <is>
          <t>avverkningsanmälan</t>
        </is>
      </c>
      <c r="C283" t="inlineStr">
        <is>
          <t>Föryngringsavverkning</t>
        </is>
      </c>
      <c r="D283" s="1" t="n">
        <v>45898</v>
      </c>
      <c r="E283" s="1" t="n">
        <v>46220</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41316-2025</t>
        </is>
      </c>
      <c r="B284" t="inlineStr">
        <is>
          <t>avverkningsanmälan</t>
        </is>
      </c>
      <c r="C284" t="inlineStr">
        <is>
          <t>Föryngringsavverkning</t>
        </is>
      </c>
      <c r="D284" s="1" t="n">
        <v>45898</v>
      </c>
      <c r="E284" s="1" t="n">
        <v>46220</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28160-2025</t>
        </is>
      </c>
      <c r="B285" t="inlineStr">
        <is>
          <t>avverkningsanmälan</t>
        </is>
      </c>
      <c r="C285" t="inlineStr">
        <is>
          <t>Föryngringsavverkning</t>
        </is>
      </c>
      <c r="D285" s="1" t="n">
        <v>45818</v>
      </c>
      <c r="E285" s="1" t="n">
        <v>46220</v>
      </c>
      <c r="F285" t="inlineStr">
        <is>
          <t>VÄSTERNORRLANDS LÄN</t>
        </is>
      </c>
      <c r="G285" t="inlineStr">
        <is>
          <t>KRAMFORS</t>
        </is>
      </c>
      <c r="H285" t="inlineStr">
        <is>
          <t>SCA</t>
        </is>
      </c>
      <c r="I285" t="n">
        <v>5.4</v>
      </c>
      <c r="J285" t="n">
        <v>0</v>
      </c>
      <c r="K285" t="n">
        <v>0</v>
      </c>
      <c r="L285" t="n">
        <v>0</v>
      </c>
      <c r="M285" t="n">
        <v>0</v>
      </c>
      <c r="N285" t="n">
        <v>0</v>
      </c>
      <c r="O285" t="n">
        <v>0</v>
      </c>
      <c r="P285" t="n">
        <v>0</v>
      </c>
      <c r="Q285" t="n">
        <v>0</v>
      </c>
      <c r="R285" t="n">
        <v>0</v>
      </c>
      <c r="S285" t="n">
        <v>0</v>
      </c>
      <c r="T285" t="n">
        <v>0</v>
      </c>
      <c r="U285" s="2" t="inlineStr"/>
    </row>
    <row r="286" ht="15" customHeight="1">
      <c r="A286" t="inlineStr">
        <is>
          <t>A 28423-2025</t>
        </is>
      </c>
      <c r="B286" t="inlineStr">
        <is>
          <t>avverkningsanmälan</t>
        </is>
      </c>
      <c r="C286" t="inlineStr">
        <is>
          <t>Föryngringsavverkning</t>
        </is>
      </c>
      <c r="D286" s="1" t="n">
        <v>45819</v>
      </c>
      <c r="E286" s="1" t="n">
        <v>46220</v>
      </c>
      <c r="F286" t="inlineStr">
        <is>
          <t>VÄSTERNORRLANDS LÄN</t>
        </is>
      </c>
      <c r="G286" t="inlineStr">
        <is>
          <t>KRAMFORS</t>
        </is>
      </c>
      <c r="I286" t="n">
        <v>9.5</v>
      </c>
      <c r="J286" t="n">
        <v>0</v>
      </c>
      <c r="K286" t="n">
        <v>0</v>
      </c>
      <c r="L286" t="n">
        <v>0</v>
      </c>
      <c r="M286" t="n">
        <v>0</v>
      </c>
      <c r="N286" t="n">
        <v>0</v>
      </c>
      <c r="O286" t="n">
        <v>0</v>
      </c>
      <c r="P286" t="n">
        <v>0</v>
      </c>
      <c r="Q286" t="n">
        <v>0</v>
      </c>
      <c r="R286" t="n">
        <v>0</v>
      </c>
      <c r="S286" t="n">
        <v>0</v>
      </c>
      <c r="T286" t="n">
        <v>0</v>
      </c>
      <c r="U286" s="2" t="inlineStr"/>
    </row>
    <row r="287" ht="15" customHeight="1">
      <c r="A287" t="inlineStr">
        <is>
          <t>A 16763-2025</t>
        </is>
      </c>
      <c r="B287" t="inlineStr">
        <is>
          <t>avverkningsanmälan</t>
        </is>
      </c>
      <c r="C287" t="inlineStr">
        <is>
          <t>Föryngringsavverkning</t>
        </is>
      </c>
      <c r="D287" s="1" t="n">
        <v>45754</v>
      </c>
      <c r="E287" s="1" t="n">
        <v>46220</v>
      </c>
      <c r="F287" t="inlineStr">
        <is>
          <t>VÄSTERNORRLANDS LÄN</t>
        </is>
      </c>
      <c r="G287" t="inlineStr">
        <is>
          <t>KRAMFORS</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19463-2025</t>
        </is>
      </c>
      <c r="B288" t="inlineStr">
        <is>
          <t>avverkningsanmälan</t>
        </is>
      </c>
      <c r="C288" t="inlineStr">
        <is>
          <t>Föryngringsavverkning</t>
        </is>
      </c>
      <c r="D288" s="1" t="n">
        <v>45770</v>
      </c>
      <c r="E288" s="1" t="n">
        <v>46220</v>
      </c>
      <c r="F288" t="inlineStr">
        <is>
          <t>VÄSTERNORRLANDS LÄN</t>
        </is>
      </c>
      <c r="G288" t="inlineStr">
        <is>
          <t>KRAMFORS</t>
        </is>
      </c>
      <c r="H288" t="inlineStr">
        <is>
          <t>SCA</t>
        </is>
      </c>
      <c r="I288" t="n">
        <v>17.1</v>
      </c>
      <c r="J288" t="n">
        <v>0</v>
      </c>
      <c r="K288" t="n">
        <v>0</v>
      </c>
      <c r="L288" t="n">
        <v>0</v>
      </c>
      <c r="M288" t="n">
        <v>0</v>
      </c>
      <c r="N288" t="n">
        <v>0</v>
      </c>
      <c r="O288" t="n">
        <v>0</v>
      </c>
      <c r="P288" t="n">
        <v>0</v>
      </c>
      <c r="Q288" t="n">
        <v>0</v>
      </c>
      <c r="R288" t="n">
        <v>0</v>
      </c>
      <c r="S288" t="n">
        <v>0</v>
      </c>
      <c r="T288" t="n">
        <v>0</v>
      </c>
      <c r="U288" s="2" t="inlineStr"/>
    </row>
    <row r="289" ht="15" customHeight="1">
      <c r="A289" t="inlineStr">
        <is>
          <t>A 4001-2024</t>
        </is>
      </c>
      <c r="B289" t="inlineStr">
        <is>
          <t>avverkningsanmälan</t>
        </is>
      </c>
      <c r="C289" t="inlineStr">
        <is>
          <t>Föryngringsavverkning</t>
        </is>
      </c>
      <c r="D289" s="1" t="n">
        <v>45323</v>
      </c>
      <c r="E289" s="1" t="n">
        <v>46220</v>
      </c>
      <c r="F289" t="inlineStr">
        <is>
          <t>VÄSTERNORRLANDS LÄN</t>
        </is>
      </c>
      <c r="G289" t="inlineStr">
        <is>
          <t>KRAMFORS</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29551-2025</t>
        </is>
      </c>
      <c r="B290" t="inlineStr">
        <is>
          <t>avverkningsanmälan</t>
        </is>
      </c>
      <c r="C290" t="inlineStr">
        <is>
          <t>Föryngringsavverkning</t>
        </is>
      </c>
      <c r="D290" s="1" t="n">
        <v>45825</v>
      </c>
      <c r="E290" s="1" t="n">
        <v>46220</v>
      </c>
      <c r="F290" t="inlineStr">
        <is>
          <t>VÄSTERNORRLANDS LÄN</t>
        </is>
      </c>
      <c r="G290" t="inlineStr">
        <is>
          <t>KRAMFORS</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29680-2025</t>
        </is>
      </c>
      <c r="B291" t="inlineStr">
        <is>
          <t>avverkningsanmälan</t>
        </is>
      </c>
      <c r="C291" t="inlineStr">
        <is>
          <t>Föryngringsavverkning</t>
        </is>
      </c>
      <c r="D291" s="1" t="n">
        <v>45825</v>
      </c>
      <c r="E291" s="1" t="n">
        <v>46220</v>
      </c>
      <c r="F291" t="inlineStr">
        <is>
          <t>VÄSTERNORRLANDS LÄN</t>
        </is>
      </c>
      <c r="G291" t="inlineStr">
        <is>
          <t>KRAMFORS</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29608-2025</t>
        </is>
      </c>
      <c r="B292" t="inlineStr">
        <is>
          <t>avverkningsanmälan</t>
        </is>
      </c>
      <c r="C292" t="inlineStr">
        <is>
          <t>Föryngringsavverkning</t>
        </is>
      </c>
      <c r="D292" s="1" t="n">
        <v>45825</v>
      </c>
      <c r="E292" s="1" t="n">
        <v>46220</v>
      </c>
      <c r="F292" t="inlineStr">
        <is>
          <t>VÄSTERNORRLANDS LÄN</t>
        </is>
      </c>
      <c r="G292" t="inlineStr">
        <is>
          <t>KRAMFORS</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42950-2025</t>
        </is>
      </c>
      <c r="B293" t="inlineStr">
        <is>
          <t>avverkningsanmälan</t>
        </is>
      </c>
      <c r="C293" t="inlineStr">
        <is>
          <t>Avverkning för annat ändamål</t>
        </is>
      </c>
      <c r="D293" s="1" t="n">
        <v>45909</v>
      </c>
      <c r="E293" s="1" t="n">
        <v>46220</v>
      </c>
      <c r="F293" t="inlineStr">
        <is>
          <t>VÄSTERNORRLANDS LÄN</t>
        </is>
      </c>
      <c r="G293" t="inlineStr">
        <is>
          <t>KRAMFORS</t>
        </is>
      </c>
      <c r="I293" t="n">
        <v>0.1</v>
      </c>
      <c r="J293" t="n">
        <v>0</v>
      </c>
      <c r="K293" t="n">
        <v>0</v>
      </c>
      <c r="L293" t="n">
        <v>0</v>
      </c>
      <c r="M293" t="n">
        <v>0</v>
      </c>
      <c r="N293" t="n">
        <v>0</v>
      </c>
      <c r="O293" t="n">
        <v>0</v>
      </c>
      <c r="P293" t="n">
        <v>0</v>
      </c>
      <c r="Q293" t="n">
        <v>0</v>
      </c>
      <c r="R293" t="n">
        <v>0</v>
      </c>
      <c r="S293" t="n">
        <v>0</v>
      </c>
      <c r="T293" t="n">
        <v>0</v>
      </c>
      <c r="U293" s="2" t="inlineStr"/>
    </row>
    <row r="294" ht="15" customHeight="1">
      <c r="A294" t="inlineStr">
        <is>
          <t>A 29567-2025</t>
        </is>
      </c>
      <c r="B294" t="inlineStr">
        <is>
          <t>avverkningsanmälan</t>
        </is>
      </c>
      <c r="C294" t="inlineStr">
        <is>
          <t>Föryngringsavverkning</t>
        </is>
      </c>
      <c r="D294" s="1" t="n">
        <v>45825</v>
      </c>
      <c r="E294" s="1" t="n">
        <v>46220</v>
      </c>
      <c r="F294" t="inlineStr">
        <is>
          <t>VÄSTERNORRLANDS LÄN</t>
        </is>
      </c>
      <c r="G294" t="inlineStr">
        <is>
          <t>KRAMFORS</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29552-2025</t>
        </is>
      </c>
      <c r="B295" t="inlineStr">
        <is>
          <t>avverkningsanmälan</t>
        </is>
      </c>
      <c r="C295" t="inlineStr">
        <is>
          <t>Föryngringsavverkning</t>
        </is>
      </c>
      <c r="D295" s="1" t="n">
        <v>45825</v>
      </c>
      <c r="E295" s="1" t="n">
        <v>46220</v>
      </c>
      <c r="F295" t="inlineStr">
        <is>
          <t>VÄSTERNORRLANDS LÄN</t>
        </is>
      </c>
      <c r="G295" t="inlineStr">
        <is>
          <t>KRAMFORS</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29603-2025</t>
        </is>
      </c>
      <c r="B296" t="inlineStr">
        <is>
          <t>avverkningsanmälan</t>
        </is>
      </c>
      <c r="C296" t="inlineStr">
        <is>
          <t>Föryngringsavverkning</t>
        </is>
      </c>
      <c r="D296" s="1" t="n">
        <v>45825</v>
      </c>
      <c r="E296" s="1" t="n">
        <v>46220</v>
      </c>
      <c r="F296" t="inlineStr">
        <is>
          <t>VÄSTERNORRLANDS LÄN</t>
        </is>
      </c>
      <c r="G296" t="inlineStr">
        <is>
          <t>KRAMFORS</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29609-2025</t>
        </is>
      </c>
      <c r="B297" t="inlineStr">
        <is>
          <t>avverkningsanmälan</t>
        </is>
      </c>
      <c r="C297" t="inlineStr">
        <is>
          <t>Föryngringsavverkning</t>
        </is>
      </c>
      <c r="D297" s="1" t="n">
        <v>45825</v>
      </c>
      <c r="E297" s="1" t="n">
        <v>46220</v>
      </c>
      <c r="F297" t="inlineStr">
        <is>
          <t>VÄSTERNORRLANDS LÄN</t>
        </is>
      </c>
      <c r="G297" t="inlineStr">
        <is>
          <t>KRAMFORS</t>
        </is>
      </c>
      <c r="I297" t="n">
        <v>2.4</v>
      </c>
      <c r="J297" t="n">
        <v>0</v>
      </c>
      <c r="K297" t="n">
        <v>0</v>
      </c>
      <c r="L297" t="n">
        <v>0</v>
      </c>
      <c r="M297" t="n">
        <v>0</v>
      </c>
      <c r="N297" t="n">
        <v>0</v>
      </c>
      <c r="O297" t="n">
        <v>0</v>
      </c>
      <c r="P297" t="n">
        <v>0</v>
      </c>
      <c r="Q297" t="n">
        <v>0</v>
      </c>
      <c r="R297" t="n">
        <v>0</v>
      </c>
      <c r="S297" t="n">
        <v>0</v>
      </c>
      <c r="T297" t="n">
        <v>0</v>
      </c>
      <c r="U297" s="2" t="inlineStr"/>
    </row>
    <row r="298" ht="15" customHeight="1">
      <c r="A298" t="inlineStr">
        <is>
          <t>A 29605-2025</t>
        </is>
      </c>
      <c r="B298" t="inlineStr">
        <is>
          <t>avverkningsanmälan</t>
        </is>
      </c>
      <c r="C298" t="inlineStr">
        <is>
          <t>Föryngringsavverkning</t>
        </is>
      </c>
      <c r="D298" s="1" t="n">
        <v>45825</v>
      </c>
      <c r="E298" s="1" t="n">
        <v>46220</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29607-2025</t>
        </is>
      </c>
      <c r="B299" t="inlineStr">
        <is>
          <t>avverkningsanmälan</t>
        </is>
      </c>
      <c r="C299" t="inlineStr">
        <is>
          <t>Föryngringsavverkning</t>
        </is>
      </c>
      <c r="D299" s="1" t="n">
        <v>45825</v>
      </c>
      <c r="E299" s="1" t="n">
        <v>46220</v>
      </c>
      <c r="F299" t="inlineStr">
        <is>
          <t>VÄSTERNORRLANDS LÄN</t>
        </is>
      </c>
      <c r="G299" t="inlineStr">
        <is>
          <t>KRAMFORS</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29679-2025</t>
        </is>
      </c>
      <c r="B300" t="inlineStr">
        <is>
          <t>avverkningsanmälan</t>
        </is>
      </c>
      <c r="C300" t="inlineStr">
        <is>
          <t>Föryngringsavverkning</t>
        </is>
      </c>
      <c r="D300" s="1" t="n">
        <v>45825</v>
      </c>
      <c r="E300" s="1" t="n">
        <v>46220</v>
      </c>
      <c r="F300" t="inlineStr">
        <is>
          <t>VÄSTERNORRLANDS LÄN</t>
        </is>
      </c>
      <c r="G300" t="inlineStr">
        <is>
          <t>KRAMFORS</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42951-2025</t>
        </is>
      </c>
      <c r="B301" t="inlineStr">
        <is>
          <t>avverkningsanmälan</t>
        </is>
      </c>
      <c r="C301" t="inlineStr">
        <is>
          <t>Avverkning för annat ändamål</t>
        </is>
      </c>
      <c r="D301" s="1" t="n">
        <v>45909</v>
      </c>
      <c r="E301" s="1" t="n">
        <v>46220</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42952-2025</t>
        </is>
      </c>
      <c r="B302" t="inlineStr">
        <is>
          <t>avverkningsanmälan</t>
        </is>
      </c>
      <c r="C302" t="inlineStr">
        <is>
          <t>Avverkning för annat ändamål</t>
        </is>
      </c>
      <c r="D302" s="1" t="n">
        <v>45909</v>
      </c>
      <c r="E302" s="1" t="n">
        <v>46220</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s="2" t="inlineStr"/>
    </row>
    <row r="303" ht="15" customHeight="1">
      <c r="A303" t="inlineStr">
        <is>
          <t>A 26524-2024</t>
        </is>
      </c>
      <c r="B303" t="inlineStr">
        <is>
          <t>avverkningsanmälan</t>
        </is>
      </c>
      <c r="C303" t="inlineStr">
        <is>
          <t>Avverkning för annat ändamål</t>
        </is>
      </c>
      <c r="D303" s="1" t="n">
        <v>45469</v>
      </c>
      <c r="E303" s="1" t="n">
        <v>46220</v>
      </c>
      <c r="F303" t="inlineStr">
        <is>
          <t>VÄSTERNORRLANDS LÄN</t>
        </is>
      </c>
      <c r="G303" t="inlineStr">
        <is>
          <t>KRAMFORS</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25032-2024</t>
        </is>
      </c>
      <c r="B304" t="inlineStr">
        <is>
          <t>avverkningsanmälan</t>
        </is>
      </c>
      <c r="C304" t="inlineStr">
        <is>
          <t>Föryngringsavverkning</t>
        </is>
      </c>
      <c r="D304" s="1" t="n">
        <v>45461</v>
      </c>
      <c r="E304" s="1" t="n">
        <v>46220</v>
      </c>
      <c r="F304" t="inlineStr">
        <is>
          <t>VÄSTERNORRLANDS LÄN</t>
        </is>
      </c>
      <c r="G304" t="inlineStr">
        <is>
          <t>KRAMFORS</t>
        </is>
      </c>
      <c r="H304" t="inlineStr">
        <is>
          <t>SCA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43864-2025</t>
        </is>
      </c>
      <c r="B305" t="inlineStr">
        <is>
          <t>avverkningsanmälan</t>
        </is>
      </c>
      <c r="C305" t="inlineStr">
        <is>
          <t>Föryngringsavverkning</t>
        </is>
      </c>
      <c r="D305" s="1" t="n">
        <v>45912</v>
      </c>
      <c r="E305" s="1" t="n">
        <v>46220</v>
      </c>
      <c r="F305" t="inlineStr">
        <is>
          <t>VÄSTERNORRLANDS LÄN</t>
        </is>
      </c>
      <c r="G305" t="inlineStr">
        <is>
          <t>KRAMFORS</t>
        </is>
      </c>
      <c r="H305" t="inlineStr">
        <is>
          <t>SCA</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30534-2025</t>
        </is>
      </c>
      <c r="B306" t="inlineStr">
        <is>
          <t>avverkningsanmälan</t>
        </is>
      </c>
      <c r="C306" t="inlineStr">
        <is>
          <t>Föryngringsavverkning</t>
        </is>
      </c>
      <c r="D306" s="1" t="n">
        <v>45831</v>
      </c>
      <c r="E306" s="1" t="n">
        <v>46220</v>
      </c>
      <c r="F306" t="inlineStr">
        <is>
          <t>VÄSTERNORRLANDS LÄN</t>
        </is>
      </c>
      <c r="G306" t="inlineStr">
        <is>
          <t>KRAMFORS</t>
        </is>
      </c>
      <c r="H306" t="inlineStr">
        <is>
          <t>SCA</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31341-2025</t>
        </is>
      </c>
      <c r="B307" t="inlineStr">
        <is>
          <t>avverkningsanmälan</t>
        </is>
      </c>
      <c r="C307" t="inlineStr">
        <is>
          <t>Föryngringsavverkning</t>
        </is>
      </c>
      <c r="D307" s="1" t="n">
        <v>45833</v>
      </c>
      <c r="E307" s="1" t="n">
        <v>46220</v>
      </c>
      <c r="F307" t="inlineStr">
        <is>
          <t>VÄSTERNORRLANDS LÄN</t>
        </is>
      </c>
      <c r="G307" t="inlineStr">
        <is>
          <t>KRAMFORS</t>
        </is>
      </c>
      <c r="H307" t="inlineStr">
        <is>
          <t>SCA</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30896-2025</t>
        </is>
      </c>
      <c r="B308" t="inlineStr">
        <is>
          <t>avverkningsanmälan</t>
        </is>
      </c>
      <c r="C308" t="inlineStr">
        <is>
          <t>Föryngringsavverkning</t>
        </is>
      </c>
      <c r="D308" s="1" t="n">
        <v>45832</v>
      </c>
      <c r="E308" s="1" t="n">
        <v>46220</v>
      </c>
      <c r="F308" t="inlineStr">
        <is>
          <t>VÄSTERNORRLANDS LÄN</t>
        </is>
      </c>
      <c r="G308" t="inlineStr">
        <is>
          <t>KRAMFORS</t>
        </is>
      </c>
      <c r="I308" t="n">
        <v>4.8</v>
      </c>
      <c r="J308" t="n">
        <v>0</v>
      </c>
      <c r="K308" t="n">
        <v>0</v>
      </c>
      <c r="L308" t="n">
        <v>0</v>
      </c>
      <c r="M308" t="n">
        <v>0</v>
      </c>
      <c r="N308" t="n">
        <v>0</v>
      </c>
      <c r="O308" t="n">
        <v>0</v>
      </c>
      <c r="P308" t="n">
        <v>0</v>
      </c>
      <c r="Q308" t="n">
        <v>0</v>
      </c>
      <c r="R308" t="n">
        <v>0</v>
      </c>
      <c r="S308" t="n">
        <v>0</v>
      </c>
      <c r="T308" t="n">
        <v>0</v>
      </c>
      <c r="U308" s="2" t="inlineStr"/>
    </row>
    <row r="309" ht="15" customHeight="1">
      <c r="A309" t="inlineStr">
        <is>
          <t>A 31356-2025</t>
        </is>
      </c>
      <c r="B309" t="inlineStr">
        <is>
          <t>avverkningsanmälan</t>
        </is>
      </c>
      <c r="C309" t="inlineStr">
        <is>
          <t>Föryngringsavverkning</t>
        </is>
      </c>
      <c r="D309" s="1" t="n">
        <v>45833</v>
      </c>
      <c r="E309" s="1" t="n">
        <v>46220</v>
      </c>
      <c r="F309" t="inlineStr">
        <is>
          <t>VÄSTERNORRLANDS LÄN</t>
        </is>
      </c>
      <c r="G309" t="inlineStr">
        <is>
          <t>KRAMFORS</t>
        </is>
      </c>
      <c r="I309" t="n">
        <v>6.9</v>
      </c>
      <c r="J309" t="n">
        <v>0</v>
      </c>
      <c r="K309" t="n">
        <v>0</v>
      </c>
      <c r="L309" t="n">
        <v>0</v>
      </c>
      <c r="M309" t="n">
        <v>0</v>
      </c>
      <c r="N309" t="n">
        <v>0</v>
      </c>
      <c r="O309" t="n">
        <v>0</v>
      </c>
      <c r="P309" t="n">
        <v>0</v>
      </c>
      <c r="Q309" t="n">
        <v>0</v>
      </c>
      <c r="R309" t="n">
        <v>0</v>
      </c>
      <c r="S309" t="n">
        <v>0</v>
      </c>
      <c r="T309" t="n">
        <v>0</v>
      </c>
      <c r="U309" s="2" t="inlineStr"/>
    </row>
    <row r="310" ht="15" customHeight="1">
      <c r="A310" t="inlineStr">
        <is>
          <t>A 55760-2024</t>
        </is>
      </c>
      <c r="B310" t="inlineStr">
        <is>
          <t>avverkningsanmälan</t>
        </is>
      </c>
      <c r="C310" t="inlineStr">
        <is>
          <t>Föryngringsavverkning</t>
        </is>
      </c>
      <c r="D310" s="1" t="n">
        <v>45623</v>
      </c>
      <c r="E310" s="1" t="n">
        <v>46220</v>
      </c>
      <c r="F310" t="inlineStr">
        <is>
          <t>VÄSTERNORRLANDS LÄN</t>
        </is>
      </c>
      <c r="G310" t="inlineStr">
        <is>
          <t>KRAMFORS</t>
        </is>
      </c>
      <c r="H310" t="inlineStr">
        <is>
          <t>SCA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55787-2024</t>
        </is>
      </c>
      <c r="B311" t="inlineStr">
        <is>
          <t>avverkningsanmälan</t>
        </is>
      </c>
      <c r="C311" t="inlineStr">
        <is>
          <t>Föryngringsavverkning</t>
        </is>
      </c>
      <c r="D311" s="1" t="n">
        <v>45623</v>
      </c>
      <c r="E311" s="1" t="n">
        <v>46220</v>
      </c>
      <c r="F311" t="inlineStr">
        <is>
          <t>VÄSTERNORRLANDS LÄN</t>
        </is>
      </c>
      <c r="G311" t="inlineStr">
        <is>
          <t>KRAMFORS</t>
        </is>
      </c>
      <c r="I311" t="n">
        <v>5.7</v>
      </c>
      <c r="J311" t="n">
        <v>0</v>
      </c>
      <c r="K311" t="n">
        <v>0</v>
      </c>
      <c r="L311" t="n">
        <v>0</v>
      </c>
      <c r="M311" t="n">
        <v>0</v>
      </c>
      <c r="N311" t="n">
        <v>0</v>
      </c>
      <c r="O311" t="n">
        <v>0</v>
      </c>
      <c r="P311" t="n">
        <v>0</v>
      </c>
      <c r="Q311" t="n">
        <v>0</v>
      </c>
      <c r="R311" t="n">
        <v>0</v>
      </c>
      <c r="S311" t="n">
        <v>0</v>
      </c>
      <c r="T311" t="n">
        <v>0</v>
      </c>
      <c r="U311" s="2" t="inlineStr"/>
    </row>
    <row r="312" ht="15" customHeight="1">
      <c r="A312" t="inlineStr">
        <is>
          <t>A 31697-2025</t>
        </is>
      </c>
      <c r="B312" t="inlineStr">
        <is>
          <t>avverkningsanmälan</t>
        </is>
      </c>
      <c r="C312" t="inlineStr">
        <is>
          <t>Föryngringsavverkning</t>
        </is>
      </c>
      <c r="D312" s="1" t="n">
        <v>45834</v>
      </c>
      <c r="E312" s="1" t="n">
        <v>46220</v>
      </c>
      <c r="F312" t="inlineStr">
        <is>
          <t>VÄSTERNORRLANDS LÄN</t>
        </is>
      </c>
      <c r="G312" t="inlineStr">
        <is>
          <t>KRAMFORS</t>
        </is>
      </c>
      <c r="H312" t="inlineStr">
        <is>
          <t>SCA</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44829-2025</t>
        </is>
      </c>
      <c r="B313" t="inlineStr">
        <is>
          <t>avverkningsanmälan</t>
        </is>
      </c>
      <c r="C313" t="inlineStr">
        <is>
          <t>Föryngringsavverkning</t>
        </is>
      </c>
      <c r="D313" s="1" t="n">
        <v>45918</v>
      </c>
      <c r="E313" s="1" t="n">
        <v>46220</v>
      </c>
      <c r="F313" t="inlineStr">
        <is>
          <t>VÄSTERNORRLANDS LÄN</t>
        </is>
      </c>
      <c r="G313" t="inlineStr">
        <is>
          <t>KRAMFORS</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53385-2022</t>
        </is>
      </c>
      <c r="B314" t="inlineStr">
        <is>
          <t>avverkningsanmälan</t>
        </is>
      </c>
      <c r="C314" t="inlineStr">
        <is>
          <t>Föryngringsavverkning</t>
        </is>
      </c>
      <c r="D314" s="1" t="n">
        <v>44879</v>
      </c>
      <c r="E314" s="1" t="n">
        <v>46220</v>
      </c>
      <c r="F314" t="inlineStr">
        <is>
          <t>VÄSTERNORRLANDS LÄN</t>
        </is>
      </c>
      <c r="G314" t="inlineStr">
        <is>
          <t>KRAMFORS</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7466-2024</t>
        </is>
      </c>
      <c r="B315" t="inlineStr">
        <is>
          <t>avverkningsanmälan</t>
        </is>
      </c>
      <c r="C315" t="inlineStr">
        <is>
          <t>Avverkning för att bevara och utveckla /försöksver</t>
        </is>
      </c>
      <c r="D315" s="1" t="n">
        <v>45345</v>
      </c>
      <c r="E315" s="1" t="n">
        <v>46220</v>
      </c>
      <c r="F315" t="inlineStr">
        <is>
          <t>VÄSTERNORRLANDS LÄN</t>
        </is>
      </c>
      <c r="G315" t="inlineStr">
        <is>
          <t>KRAMFORS</t>
        </is>
      </c>
      <c r="H315" t="inlineStr">
        <is>
          <t>SCA</t>
        </is>
      </c>
      <c r="I315" t="n">
        <v>13.1</v>
      </c>
      <c r="J315" t="n">
        <v>0</v>
      </c>
      <c r="K315" t="n">
        <v>0</v>
      </c>
      <c r="L315" t="n">
        <v>0</v>
      </c>
      <c r="M315" t="n">
        <v>0</v>
      </c>
      <c r="N315" t="n">
        <v>0</v>
      </c>
      <c r="O315" t="n">
        <v>0</v>
      </c>
      <c r="P315" t="n">
        <v>0</v>
      </c>
      <c r="Q315" t="n">
        <v>0</v>
      </c>
      <c r="R315" t="n">
        <v>0</v>
      </c>
      <c r="S315" t="n">
        <v>0</v>
      </c>
      <c r="T315" t="n">
        <v>0</v>
      </c>
      <c r="U315" s="2" t="inlineStr"/>
    </row>
    <row r="316" ht="15" customHeight="1">
      <c r="A316" t="inlineStr">
        <is>
          <t>A 32543-2025</t>
        </is>
      </c>
      <c r="B316" t="inlineStr">
        <is>
          <t>avverkningsanmälan</t>
        </is>
      </c>
      <c r="C316" t="inlineStr">
        <is>
          <t>Föryngringsavverkning</t>
        </is>
      </c>
      <c r="D316" s="1" t="n">
        <v>45838</v>
      </c>
      <c r="E316" s="1" t="n">
        <v>46220</v>
      </c>
      <c r="F316" t="inlineStr">
        <is>
          <t>VÄSTERNORRLANDS LÄN</t>
        </is>
      </c>
      <c r="G316" t="inlineStr">
        <is>
          <t>KRAMFORS</t>
        </is>
      </c>
      <c r="I316" t="n">
        <v>5.3</v>
      </c>
      <c r="J316" t="n">
        <v>0</v>
      </c>
      <c r="K316" t="n">
        <v>0</v>
      </c>
      <c r="L316" t="n">
        <v>0</v>
      </c>
      <c r="M316" t="n">
        <v>0</v>
      </c>
      <c r="N316" t="n">
        <v>0</v>
      </c>
      <c r="O316" t="n">
        <v>0</v>
      </c>
      <c r="P316" t="n">
        <v>0</v>
      </c>
      <c r="Q316" t="n">
        <v>0</v>
      </c>
      <c r="R316" t="n">
        <v>0</v>
      </c>
      <c r="S316" t="n">
        <v>0</v>
      </c>
      <c r="T316" t="n">
        <v>0</v>
      </c>
      <c r="U316" s="2" t="inlineStr"/>
    </row>
    <row r="317" ht="15" customHeight="1">
      <c r="A317" t="inlineStr">
        <is>
          <t>A 32441-2025</t>
        </is>
      </c>
      <c r="B317" t="inlineStr">
        <is>
          <t>avverkningsanmälan</t>
        </is>
      </c>
      <c r="C317" t="inlineStr">
        <is>
          <t>Avverkning för annat ändamål</t>
        </is>
      </c>
      <c r="D317" s="1" t="n">
        <v>45838</v>
      </c>
      <c r="E317" s="1" t="n">
        <v>46220</v>
      </c>
      <c r="F317" t="inlineStr">
        <is>
          <t>VÄSTERNORRLANDS LÄN</t>
        </is>
      </c>
      <c r="G317" t="inlineStr">
        <is>
          <t>KRAMFORS</t>
        </is>
      </c>
      <c r="H317" t="inlineStr">
        <is>
          <t>SCA</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3196-2026</t>
        </is>
      </c>
      <c r="B318" t="inlineStr">
        <is>
          <t>avverkningsanmälan</t>
        </is>
      </c>
      <c r="C318" t="inlineStr">
        <is>
          <t>Föryngringsavverkning</t>
        </is>
      </c>
      <c r="D318" s="1" t="n">
        <v>46041</v>
      </c>
      <c r="E318" s="1" t="n">
        <v>46220</v>
      </c>
      <c r="F318" t="inlineStr">
        <is>
          <t>VÄSTERNORRLANDS LÄN</t>
        </is>
      </c>
      <c r="G318" t="inlineStr">
        <is>
          <t>KRAMFORS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3205-2026</t>
        </is>
      </c>
      <c r="B319" t="inlineStr">
        <is>
          <t>avverkningsanmälan</t>
        </is>
      </c>
      <c r="C319" t="inlineStr">
        <is>
          <t>Föryngringsavverkning</t>
        </is>
      </c>
      <c r="D319" s="1" t="n">
        <v>46041</v>
      </c>
      <c r="E319" s="1" t="n">
        <v>46220</v>
      </c>
      <c r="F319" t="inlineStr">
        <is>
          <t>VÄSTERNORRLANDS LÄN</t>
        </is>
      </c>
      <c r="G319" t="inlineStr">
        <is>
          <t>KRAMFORS</t>
        </is>
      </c>
      <c r="I319" t="n">
        <v>3.2</v>
      </c>
      <c r="J319" t="n">
        <v>0</v>
      </c>
      <c r="K319" t="n">
        <v>0</v>
      </c>
      <c r="L319" t="n">
        <v>0</v>
      </c>
      <c r="M319" t="n">
        <v>0</v>
      </c>
      <c r="N319" t="n">
        <v>0</v>
      </c>
      <c r="O319" t="n">
        <v>0</v>
      </c>
      <c r="P319" t="n">
        <v>0</v>
      </c>
      <c r="Q319" t="n">
        <v>0</v>
      </c>
      <c r="R319" t="n">
        <v>0</v>
      </c>
      <c r="S319" t="n">
        <v>0</v>
      </c>
      <c r="T319" t="n">
        <v>0</v>
      </c>
      <c r="U319" s="2" t="inlineStr"/>
    </row>
    <row r="320" ht="15" customHeight="1">
      <c r="A320" t="inlineStr">
        <is>
          <t>A 33323-2025</t>
        </is>
      </c>
      <c r="B320" t="inlineStr">
        <is>
          <t>avverkningsanmälan</t>
        </is>
      </c>
      <c r="C320" t="inlineStr">
        <is>
          <t>Föryngringsavverkning</t>
        </is>
      </c>
      <c r="D320" s="1" t="n">
        <v>45841</v>
      </c>
      <c r="E320" s="1" t="n">
        <v>46220</v>
      </c>
      <c r="F320" t="inlineStr">
        <is>
          <t>VÄSTERNORRLANDS LÄN</t>
        </is>
      </c>
      <c r="G320" t="inlineStr">
        <is>
          <t>KRAMFORS</t>
        </is>
      </c>
      <c r="H320" t="inlineStr">
        <is>
          <t>SCA</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7367-2022</t>
        </is>
      </c>
      <c r="B321" t="inlineStr">
        <is>
          <t>avverkningsanmälan</t>
        </is>
      </c>
      <c r="C321" t="inlineStr">
        <is>
          <t>Föryngringsavverkning</t>
        </is>
      </c>
      <c r="D321" s="1" t="n">
        <v>44606</v>
      </c>
      <c r="E321" s="1" t="n">
        <v>46220</v>
      </c>
      <c r="F321" t="inlineStr">
        <is>
          <t>VÄSTERNORRLANDS LÄN</t>
        </is>
      </c>
      <c r="G321" t="inlineStr">
        <is>
          <t>KRAMFORS</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33164-2025</t>
        </is>
      </c>
      <c r="B322" t="inlineStr">
        <is>
          <t>avverkningsanmälan</t>
        </is>
      </c>
      <c r="C322" t="inlineStr">
        <is>
          <t>Avverkning för annat ändamål</t>
        </is>
      </c>
      <c r="D322" s="1" t="n">
        <v>45840</v>
      </c>
      <c r="E322" s="1" t="n">
        <v>46220</v>
      </c>
      <c r="F322" t="inlineStr">
        <is>
          <t>VÄSTERNORRLANDS LÄN</t>
        </is>
      </c>
      <c r="G322" t="inlineStr">
        <is>
          <t>KRAMFORS</t>
        </is>
      </c>
      <c r="H322" t="inlineStr">
        <is>
          <t>SCA</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33553-2025</t>
        </is>
      </c>
      <c r="B323" t="inlineStr">
        <is>
          <t>avverkningsanmälan</t>
        </is>
      </c>
      <c r="C323" t="inlineStr">
        <is>
          <t>Föryngringsavverkning</t>
        </is>
      </c>
      <c r="D323" s="1" t="n">
        <v>45841</v>
      </c>
      <c r="E323" s="1" t="n">
        <v>46220</v>
      </c>
      <c r="F323" t="inlineStr">
        <is>
          <t>VÄSTERNORRLANDS LÄN</t>
        </is>
      </c>
      <c r="G323" t="inlineStr">
        <is>
          <t>KRAMFORS</t>
        </is>
      </c>
      <c r="H323" t="inlineStr">
        <is>
          <t>SCA</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33119-2025</t>
        </is>
      </c>
      <c r="B324" t="inlineStr">
        <is>
          <t>avverkningsanmälan</t>
        </is>
      </c>
      <c r="C324" t="inlineStr">
        <is>
          <t>Föryngringsavverkning</t>
        </is>
      </c>
      <c r="D324" s="1" t="n">
        <v>45840</v>
      </c>
      <c r="E324" s="1" t="n">
        <v>46220</v>
      </c>
      <c r="F324" t="inlineStr">
        <is>
          <t>VÄSTERNORRLANDS LÄN</t>
        </is>
      </c>
      <c r="G324" t="inlineStr">
        <is>
          <t>KRAMFORS</t>
        </is>
      </c>
      <c r="I324" t="n">
        <v>2.7</v>
      </c>
      <c r="J324" t="n">
        <v>0</v>
      </c>
      <c r="K324" t="n">
        <v>0</v>
      </c>
      <c r="L324" t="n">
        <v>0</v>
      </c>
      <c r="M324" t="n">
        <v>0</v>
      </c>
      <c r="N324" t="n">
        <v>0</v>
      </c>
      <c r="O324" t="n">
        <v>0</v>
      </c>
      <c r="P324" t="n">
        <v>0</v>
      </c>
      <c r="Q324" t="n">
        <v>0</v>
      </c>
      <c r="R324" t="n">
        <v>0</v>
      </c>
      <c r="S324" t="n">
        <v>0</v>
      </c>
      <c r="T324" t="n">
        <v>0</v>
      </c>
      <c r="U324" s="2" t="inlineStr"/>
    </row>
    <row r="325" ht="15" customHeight="1">
      <c r="A325" t="inlineStr">
        <is>
          <t>A 124-2024</t>
        </is>
      </c>
      <c r="B325" t="inlineStr">
        <is>
          <t>avverkningsanmälan</t>
        </is>
      </c>
      <c r="C325" t="inlineStr">
        <is>
          <t>Föryngringsavverkning</t>
        </is>
      </c>
      <c r="D325" s="1" t="n">
        <v>45294</v>
      </c>
      <c r="E325" s="1" t="n">
        <v>46220</v>
      </c>
      <c r="F325" t="inlineStr">
        <is>
          <t>VÄSTERNORRLANDS LÄN</t>
        </is>
      </c>
      <c r="G325" t="inlineStr">
        <is>
          <t>KRAMFORS</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33135-2025</t>
        </is>
      </c>
      <c r="B326" t="inlineStr">
        <is>
          <t>avverkningsanmälan</t>
        </is>
      </c>
      <c r="C326" t="inlineStr">
        <is>
          <t>Avverkning för annat ändamål</t>
        </is>
      </c>
      <c r="D326" s="1" t="n">
        <v>45840</v>
      </c>
      <c r="E326" s="1" t="n">
        <v>46220</v>
      </c>
      <c r="F326" t="inlineStr">
        <is>
          <t>VÄSTERNORRLANDS LÄN</t>
        </is>
      </c>
      <c r="G326" t="inlineStr">
        <is>
          <t>KRAMFORS</t>
        </is>
      </c>
      <c r="H326" t="inlineStr">
        <is>
          <t>SCA</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33509-2025</t>
        </is>
      </c>
      <c r="B327" t="inlineStr">
        <is>
          <t>avverkningsanmälan</t>
        </is>
      </c>
      <c r="C327" t="inlineStr">
        <is>
          <t>Föryngringsavverkning</t>
        </is>
      </c>
      <c r="D327" s="1" t="n">
        <v>45841</v>
      </c>
      <c r="E327" s="1" t="n">
        <v>46220</v>
      </c>
      <c r="F327" t="inlineStr">
        <is>
          <t>VÄSTERNORRLANDS LÄN</t>
        </is>
      </c>
      <c r="G327" t="inlineStr">
        <is>
          <t>KRAMFORS</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33479-2025</t>
        </is>
      </c>
      <c r="B328" t="inlineStr">
        <is>
          <t>avverkningsanmälan</t>
        </is>
      </c>
      <c r="C328" t="inlineStr">
        <is>
          <t>Föryngringsavverkning</t>
        </is>
      </c>
      <c r="D328" s="1" t="n">
        <v>45841</v>
      </c>
      <c r="E328" s="1" t="n">
        <v>46220</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5349-2023</t>
        </is>
      </c>
      <c r="B329" t="inlineStr">
        <is>
          <t>avverkningsanmälan</t>
        </is>
      </c>
      <c r="C329" t="inlineStr">
        <is>
          <t>Föryngringsavverkning</t>
        </is>
      </c>
      <c r="D329" s="1" t="n">
        <v>44956</v>
      </c>
      <c r="E329" s="1" t="n">
        <v>46220</v>
      </c>
      <c r="F329" t="inlineStr">
        <is>
          <t>VÄSTERNORRLANDS LÄN</t>
        </is>
      </c>
      <c r="G329" t="inlineStr">
        <is>
          <t>KRAMFORS</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33859-2025</t>
        </is>
      </c>
      <c r="B330" t="inlineStr">
        <is>
          <t>avverkningsanmälan</t>
        </is>
      </c>
      <c r="C330" t="inlineStr">
        <is>
          <t>Föryngringsavverkning</t>
        </is>
      </c>
      <c r="D330" s="1" t="n">
        <v>45842</v>
      </c>
      <c r="E330" s="1" t="n">
        <v>46220</v>
      </c>
      <c r="F330" t="inlineStr">
        <is>
          <t>VÄSTERNORRLANDS LÄN</t>
        </is>
      </c>
      <c r="G330" t="inlineStr">
        <is>
          <t>KRAMFORS</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3425-2023</t>
        </is>
      </c>
      <c r="B331" t="inlineStr">
        <is>
          <t>avverkningsanmälan</t>
        </is>
      </c>
      <c r="C331" t="inlineStr">
        <is>
          <t>Föryngringsavverkning</t>
        </is>
      </c>
      <c r="D331" s="1" t="n">
        <v>44946</v>
      </c>
      <c r="E331" s="1" t="n">
        <v>46220</v>
      </c>
      <c r="F331" t="inlineStr">
        <is>
          <t>VÄSTERNORRLANDS LÄN</t>
        </is>
      </c>
      <c r="G331" t="inlineStr">
        <is>
          <t>KRAMFORS</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19835-2024</t>
        </is>
      </c>
      <c r="B332" t="inlineStr">
        <is>
          <t>avverkningsanmälan</t>
        </is>
      </c>
      <c r="C332" t="inlineStr">
        <is>
          <t>Föryngringsavverkning</t>
        </is>
      </c>
      <c r="D332" s="1" t="n">
        <v>45433</v>
      </c>
      <c r="E332" s="1" t="n">
        <v>46220</v>
      </c>
      <c r="F332" t="inlineStr">
        <is>
          <t>VÄSTERNORRLANDS LÄN</t>
        </is>
      </c>
      <c r="G332" t="inlineStr">
        <is>
          <t>KRAMFORS</t>
        </is>
      </c>
      <c r="I332" t="n">
        <v>6.3</v>
      </c>
      <c r="J332" t="n">
        <v>0</v>
      </c>
      <c r="K332" t="n">
        <v>0</v>
      </c>
      <c r="L332" t="n">
        <v>0</v>
      </c>
      <c r="M332" t="n">
        <v>0</v>
      </c>
      <c r="N332" t="n">
        <v>0</v>
      </c>
      <c r="O332" t="n">
        <v>0</v>
      </c>
      <c r="P332" t="n">
        <v>0</v>
      </c>
      <c r="Q332" t="n">
        <v>0</v>
      </c>
      <c r="R332" t="n">
        <v>0</v>
      </c>
      <c r="S332" t="n">
        <v>0</v>
      </c>
      <c r="T332" t="n">
        <v>0</v>
      </c>
      <c r="U332" s="2" t="inlineStr"/>
    </row>
    <row r="333" ht="15" customHeight="1">
      <c r="A333" t="inlineStr">
        <is>
          <t>A 50314-2021</t>
        </is>
      </c>
      <c r="B333" t="inlineStr">
        <is>
          <t>avverkningsanmälan</t>
        </is>
      </c>
      <c r="C333" t="inlineStr">
        <is>
          <t>Föryngringsavverkning</t>
        </is>
      </c>
      <c r="D333" s="1" t="n">
        <v>44456</v>
      </c>
      <c r="E333" s="1" t="n">
        <v>46220</v>
      </c>
      <c r="F333" t="inlineStr">
        <is>
          <t>VÄSTERNORRLANDS LÄN</t>
        </is>
      </c>
      <c r="G333" t="inlineStr">
        <is>
          <t>KRAMFORS</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46556-2025</t>
        </is>
      </c>
      <c r="B334" t="inlineStr">
        <is>
          <t>avverkningsanmälan</t>
        </is>
      </c>
      <c r="C334" t="inlineStr">
        <is>
          <t>Föryngringsavverkning</t>
        </is>
      </c>
      <c r="D334" s="1" t="n">
        <v>45926</v>
      </c>
      <c r="E334" s="1" t="n">
        <v>46220</v>
      </c>
      <c r="F334" t="inlineStr">
        <is>
          <t>VÄSTERNORRLANDS LÄN</t>
        </is>
      </c>
      <c r="G334" t="inlineStr">
        <is>
          <t>KRAMFORS</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46568-2025</t>
        </is>
      </c>
      <c r="B335" t="inlineStr">
        <is>
          <t>avverkningsanmälan</t>
        </is>
      </c>
      <c r="C335" t="inlineStr">
        <is>
          <t>Föryngringsavverkning</t>
        </is>
      </c>
      <c r="D335" s="1" t="n">
        <v>45926</v>
      </c>
      <c r="E335" s="1" t="n">
        <v>46220</v>
      </c>
      <c r="F335" t="inlineStr">
        <is>
          <t>VÄSTERNORRLANDS LÄN</t>
        </is>
      </c>
      <c r="G335" t="inlineStr">
        <is>
          <t>KRAMFORS</t>
        </is>
      </c>
      <c r="I335" t="n">
        <v>16.4</v>
      </c>
      <c r="J335" t="n">
        <v>0</v>
      </c>
      <c r="K335" t="n">
        <v>0</v>
      </c>
      <c r="L335" t="n">
        <v>0</v>
      </c>
      <c r="M335" t="n">
        <v>0</v>
      </c>
      <c r="N335" t="n">
        <v>0</v>
      </c>
      <c r="O335" t="n">
        <v>0</v>
      </c>
      <c r="P335" t="n">
        <v>0</v>
      </c>
      <c r="Q335" t="n">
        <v>0</v>
      </c>
      <c r="R335" t="n">
        <v>0</v>
      </c>
      <c r="S335" t="n">
        <v>0</v>
      </c>
      <c r="T335" t="n">
        <v>0</v>
      </c>
      <c r="U335" s="2" t="inlineStr"/>
    </row>
    <row r="336" ht="15" customHeight="1">
      <c r="A336" t="inlineStr">
        <is>
          <t>A 3103-2026</t>
        </is>
      </c>
      <c r="B336" t="inlineStr">
        <is>
          <t>avverkningsanmälan</t>
        </is>
      </c>
      <c r="C336" t="inlineStr">
        <is>
          <t>Föryngringsavverkning</t>
        </is>
      </c>
      <c r="D336" s="1" t="n">
        <v>46041</v>
      </c>
      <c r="E336" s="1" t="n">
        <v>46220</v>
      </c>
      <c r="F336" t="inlineStr">
        <is>
          <t>VÄSTERNORRLANDS LÄN</t>
        </is>
      </c>
      <c r="G336" t="inlineStr">
        <is>
          <t>KRAMFORS</t>
        </is>
      </c>
      <c r="I336" t="n">
        <v>3.7</v>
      </c>
      <c r="J336" t="n">
        <v>0</v>
      </c>
      <c r="K336" t="n">
        <v>0</v>
      </c>
      <c r="L336" t="n">
        <v>0</v>
      </c>
      <c r="M336" t="n">
        <v>0</v>
      </c>
      <c r="N336" t="n">
        <v>0</v>
      </c>
      <c r="O336" t="n">
        <v>0</v>
      </c>
      <c r="P336" t="n">
        <v>0</v>
      </c>
      <c r="Q336" t="n">
        <v>0</v>
      </c>
      <c r="R336" t="n">
        <v>0</v>
      </c>
      <c r="S336" t="n">
        <v>0</v>
      </c>
      <c r="T336" t="n">
        <v>0</v>
      </c>
      <c r="U336" s="2" t="inlineStr"/>
    </row>
    <row r="337" ht="15" customHeight="1">
      <c r="A337" t="inlineStr">
        <is>
          <t>A 72825-2021</t>
        </is>
      </c>
      <c r="B337" t="inlineStr">
        <is>
          <t>avverkningsanmälan</t>
        </is>
      </c>
      <c r="C337" t="inlineStr">
        <is>
          <t>Föryngringsavverkning</t>
        </is>
      </c>
      <c r="D337" s="1" t="n">
        <v>44546</v>
      </c>
      <c r="E337" s="1" t="n">
        <v>46220</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63492-2023</t>
        </is>
      </c>
      <c r="B338" t="inlineStr">
        <is>
          <t>avverkningsanmälan</t>
        </is>
      </c>
      <c r="C338" t="inlineStr">
        <is>
          <t>Föryngringsavverkning</t>
        </is>
      </c>
      <c r="D338" s="1" t="n">
        <v>45273</v>
      </c>
      <c r="E338" s="1" t="n">
        <v>46220</v>
      </c>
      <c r="F338" t="inlineStr">
        <is>
          <t>VÄSTERNORRLANDS LÄN</t>
        </is>
      </c>
      <c r="G338" t="inlineStr">
        <is>
          <t>KRAMFORS</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12371-2023</t>
        </is>
      </c>
      <c r="B339" t="inlineStr">
        <is>
          <t>avverkningsanmälan</t>
        </is>
      </c>
      <c r="C339" t="inlineStr">
        <is>
          <t>Föryngringsavverkning</t>
        </is>
      </c>
      <c r="D339" s="1" t="n">
        <v>44998</v>
      </c>
      <c r="E339" s="1" t="n">
        <v>46220</v>
      </c>
      <c r="F339" t="inlineStr">
        <is>
          <t>VÄSTERNORRLANDS LÄN</t>
        </is>
      </c>
      <c r="G339" t="inlineStr">
        <is>
          <t>KRAMFORS</t>
        </is>
      </c>
      <c r="I339" t="n">
        <v>4.4</v>
      </c>
      <c r="J339" t="n">
        <v>0</v>
      </c>
      <c r="K339" t="n">
        <v>0</v>
      </c>
      <c r="L339" t="n">
        <v>0</v>
      </c>
      <c r="M339" t="n">
        <v>0</v>
      </c>
      <c r="N339" t="n">
        <v>0</v>
      </c>
      <c r="O339" t="n">
        <v>0</v>
      </c>
      <c r="P339" t="n">
        <v>0</v>
      </c>
      <c r="Q339" t="n">
        <v>0</v>
      </c>
      <c r="R339" t="n">
        <v>0</v>
      </c>
      <c r="S339" t="n">
        <v>0</v>
      </c>
      <c r="T339" t="n">
        <v>0</v>
      </c>
      <c r="U339" s="2" t="inlineStr"/>
    </row>
    <row r="340" ht="15" customHeight="1">
      <c r="A340" t="inlineStr">
        <is>
          <t>A 35044-2025</t>
        </is>
      </c>
      <c r="B340" t="inlineStr">
        <is>
          <t>avverkningsanmälan</t>
        </is>
      </c>
      <c r="C340" t="inlineStr">
        <is>
          <t>Avverkning för annat ändamål</t>
        </is>
      </c>
      <c r="D340" s="1" t="n">
        <v>45852</v>
      </c>
      <c r="E340" s="1" t="n">
        <v>46220</v>
      </c>
      <c r="F340" t="inlineStr">
        <is>
          <t>VÄSTERNORRLANDS LÄN</t>
        </is>
      </c>
      <c r="G340" t="inlineStr">
        <is>
          <t>KRAMFORS</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17058-2023</t>
        </is>
      </c>
      <c r="B341" t="inlineStr">
        <is>
          <t>avverkningsanmälan</t>
        </is>
      </c>
      <c r="C341" t="inlineStr">
        <is>
          <t>Föryngringsavverkning</t>
        </is>
      </c>
      <c r="D341" s="1" t="n">
        <v>45034</v>
      </c>
      <c r="E341" s="1" t="n">
        <v>46220</v>
      </c>
      <c r="F341" t="inlineStr">
        <is>
          <t>VÄSTERNORRLANDS LÄN</t>
        </is>
      </c>
      <c r="G341" t="inlineStr">
        <is>
          <t>KRAMFORS</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35394-2025</t>
        </is>
      </c>
      <c r="B342" t="inlineStr">
        <is>
          <t>avverkningsanmälan</t>
        </is>
      </c>
      <c r="C342" t="inlineStr">
        <is>
          <t>Föryngringsavverkning</t>
        </is>
      </c>
      <c r="D342" s="1" t="n">
        <v>45855</v>
      </c>
      <c r="E342" s="1" t="n">
        <v>46220</v>
      </c>
      <c r="F342" t="inlineStr">
        <is>
          <t>VÄSTERNORRLANDS LÄN</t>
        </is>
      </c>
      <c r="G342" t="inlineStr">
        <is>
          <t>KRAMFORS</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25781-2023</t>
        </is>
      </c>
      <c r="B343" t="inlineStr">
        <is>
          <t>avverkningsanmälan</t>
        </is>
      </c>
      <c r="C343" t="inlineStr">
        <is>
          <t>Föryngringsavverkning</t>
        </is>
      </c>
      <c r="D343" s="1" t="n">
        <v>45085</v>
      </c>
      <c r="E343" s="1" t="n">
        <v>46220</v>
      </c>
      <c r="F343" t="inlineStr">
        <is>
          <t>VÄSTERNORRLANDS LÄN</t>
        </is>
      </c>
      <c r="G343" t="inlineStr">
        <is>
          <t>KRAMFORS</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24843-2025</t>
        </is>
      </c>
      <c r="B344" t="inlineStr">
        <is>
          <t>avverkningsanmälan</t>
        </is>
      </c>
      <c r="C344" t="inlineStr">
        <is>
          <t>Föryngringsavverkning</t>
        </is>
      </c>
      <c r="D344" s="1" t="n">
        <v>45799</v>
      </c>
      <c r="E344" s="1" t="n">
        <v>46220</v>
      </c>
      <c r="F344" t="inlineStr">
        <is>
          <t>VÄSTERNORRLANDS LÄN</t>
        </is>
      </c>
      <c r="G344" t="inlineStr">
        <is>
          <t>KRAMFORS</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35645-2025</t>
        </is>
      </c>
      <c r="B345" t="inlineStr">
        <is>
          <t>avverkningsanmälan</t>
        </is>
      </c>
      <c r="C345" t="inlineStr">
        <is>
          <t>Föryngringsavverkning</t>
        </is>
      </c>
      <c r="D345" s="1" t="n">
        <v>45859</v>
      </c>
      <c r="E345" s="1" t="n">
        <v>46220</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1825-2022</t>
        </is>
      </c>
      <c r="B346" t="inlineStr">
        <is>
          <t>avverkningsanmälan</t>
        </is>
      </c>
      <c r="C346" t="inlineStr">
        <is>
          <t>Föryngringsavverkning</t>
        </is>
      </c>
      <c r="D346" s="1" t="n">
        <v>44574</v>
      </c>
      <c r="E346" s="1" t="n">
        <v>46220</v>
      </c>
      <c r="F346" t="inlineStr">
        <is>
          <t>VÄSTERNORRLANDS LÄN</t>
        </is>
      </c>
      <c r="G346" t="inlineStr">
        <is>
          <t>KRAMFORS</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17580-2025</t>
        </is>
      </c>
      <c r="B347" t="inlineStr">
        <is>
          <t>avverkningsanmälan</t>
        </is>
      </c>
      <c r="C347" t="inlineStr">
        <is>
          <t>Föryngringsavverkning</t>
        </is>
      </c>
      <c r="D347" s="1" t="n">
        <v>45757</v>
      </c>
      <c r="E347" s="1" t="n">
        <v>46220</v>
      </c>
      <c r="F347" t="inlineStr">
        <is>
          <t>VÄSTERNORRLANDS LÄN</t>
        </is>
      </c>
      <c r="G347" t="inlineStr">
        <is>
          <t>KRAMFORS</t>
        </is>
      </c>
      <c r="H347" t="inlineStr">
        <is>
          <t>SCA</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35758-2025</t>
        </is>
      </c>
      <c r="B348" t="inlineStr">
        <is>
          <t>avverkningsanmälan</t>
        </is>
      </c>
      <c r="C348" t="inlineStr">
        <is>
          <t>Föryngringsavverkning</t>
        </is>
      </c>
      <c r="D348" s="1" t="n">
        <v>45860</v>
      </c>
      <c r="E348" s="1" t="n">
        <v>46220</v>
      </c>
      <c r="F348" t="inlineStr">
        <is>
          <t>VÄSTERNORRLANDS LÄN</t>
        </is>
      </c>
      <c r="G348" t="inlineStr">
        <is>
          <t>KRAMFORS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24957-2025</t>
        </is>
      </c>
      <c r="B349" t="inlineStr">
        <is>
          <t>avverkningsanmälan</t>
        </is>
      </c>
      <c r="C349" t="inlineStr">
        <is>
          <t>Föryngringsavverkning</t>
        </is>
      </c>
      <c r="D349" s="1" t="n">
        <v>45799</v>
      </c>
      <c r="E349" s="1" t="n">
        <v>46220</v>
      </c>
      <c r="F349" t="inlineStr">
        <is>
          <t>VÄSTERNORRLANDS LÄN</t>
        </is>
      </c>
      <c r="G349" t="inlineStr">
        <is>
          <t>KRAMFORS</t>
        </is>
      </c>
      <c r="I349" t="n">
        <v>2.6</v>
      </c>
      <c r="J349" t="n">
        <v>0</v>
      </c>
      <c r="K349" t="n">
        <v>0</v>
      </c>
      <c r="L349" t="n">
        <v>0</v>
      </c>
      <c r="M349" t="n">
        <v>0</v>
      </c>
      <c r="N349" t="n">
        <v>0</v>
      </c>
      <c r="O349" t="n">
        <v>0</v>
      </c>
      <c r="P349" t="n">
        <v>0</v>
      </c>
      <c r="Q349" t="n">
        <v>0</v>
      </c>
      <c r="R349" t="n">
        <v>0</v>
      </c>
      <c r="S349" t="n">
        <v>0</v>
      </c>
      <c r="T349" t="n">
        <v>0</v>
      </c>
      <c r="U349" s="2" t="inlineStr"/>
    </row>
    <row r="350" ht="15" customHeight="1">
      <c r="A350" t="inlineStr">
        <is>
          <t>A 16057-2025</t>
        </is>
      </c>
      <c r="B350" t="inlineStr">
        <is>
          <t>avverkningsanmälan</t>
        </is>
      </c>
      <c r="C350" t="inlineStr">
        <is>
          <t>Föryngringsavverkning</t>
        </is>
      </c>
      <c r="D350" s="1" t="n">
        <v>45749</v>
      </c>
      <c r="E350" s="1" t="n">
        <v>46220</v>
      </c>
      <c r="F350" t="inlineStr">
        <is>
          <t>VÄSTERNORRLANDS LÄN</t>
        </is>
      </c>
      <c r="G350" t="inlineStr">
        <is>
          <t>KRAMFORS</t>
        </is>
      </c>
      <c r="I350" t="n">
        <v>9.6</v>
      </c>
      <c r="J350" t="n">
        <v>0</v>
      </c>
      <c r="K350" t="n">
        <v>0</v>
      </c>
      <c r="L350" t="n">
        <v>0</v>
      </c>
      <c r="M350" t="n">
        <v>0</v>
      </c>
      <c r="N350" t="n">
        <v>0</v>
      </c>
      <c r="O350" t="n">
        <v>0</v>
      </c>
      <c r="P350" t="n">
        <v>0</v>
      </c>
      <c r="Q350" t="n">
        <v>0</v>
      </c>
      <c r="R350" t="n">
        <v>0</v>
      </c>
      <c r="S350" t="n">
        <v>0</v>
      </c>
      <c r="T350" t="n">
        <v>0</v>
      </c>
      <c r="U350" s="2" t="inlineStr"/>
    </row>
    <row r="351" ht="15" customHeight="1">
      <c r="A351" t="inlineStr">
        <is>
          <t>A 29584-2025</t>
        </is>
      </c>
      <c r="B351" t="inlineStr">
        <is>
          <t>avverkningsanmälan</t>
        </is>
      </c>
      <c r="C351" t="inlineStr">
        <is>
          <t>Föryngringsavverkning</t>
        </is>
      </c>
      <c r="D351" s="1" t="n">
        <v>45825</v>
      </c>
      <c r="E351" s="1" t="n">
        <v>46220</v>
      </c>
      <c r="F351" t="inlineStr">
        <is>
          <t>VÄSTERNORRLANDS LÄN</t>
        </is>
      </c>
      <c r="G351" t="inlineStr">
        <is>
          <t>KRAMFORS</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41381-2022</t>
        </is>
      </c>
      <c r="B352" t="inlineStr">
        <is>
          <t>avverkningsanmälan</t>
        </is>
      </c>
      <c r="C352" t="inlineStr">
        <is>
          <t>Föryngringsavverkning</t>
        </is>
      </c>
      <c r="D352" s="1" t="n">
        <v>44826</v>
      </c>
      <c r="E352" s="1" t="n">
        <v>46220</v>
      </c>
      <c r="F352" t="inlineStr">
        <is>
          <t>VÄSTERNORRLANDS LÄN</t>
        </is>
      </c>
      <c r="G352" t="inlineStr">
        <is>
          <t>KRAMFORS</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47949-2025</t>
        </is>
      </c>
      <c r="B353" t="inlineStr">
        <is>
          <t>avverkningsanmälan</t>
        </is>
      </c>
      <c r="C353" t="inlineStr">
        <is>
          <t>Föryngringsavverkning</t>
        </is>
      </c>
      <c r="D353" s="1" t="n">
        <v>45932</v>
      </c>
      <c r="E353" s="1" t="n">
        <v>46220</v>
      </c>
      <c r="F353" t="inlineStr">
        <is>
          <t>VÄSTERNORRLANDS LÄN</t>
        </is>
      </c>
      <c r="G353" t="inlineStr">
        <is>
          <t>KRAMFORS</t>
        </is>
      </c>
      <c r="H353" t="inlineStr">
        <is>
          <t>SCA</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48441-2025</t>
        </is>
      </c>
      <c r="B354" t="inlineStr">
        <is>
          <t>avverkningsanmälan</t>
        </is>
      </c>
      <c r="C354" t="inlineStr">
        <is>
          <t>Föryngringsavverkning</t>
        </is>
      </c>
      <c r="D354" s="1" t="n">
        <v>45935</v>
      </c>
      <c r="E354" s="1" t="n">
        <v>46220</v>
      </c>
      <c r="F354" t="inlineStr">
        <is>
          <t>VÄSTERNORRLANDS LÄN</t>
        </is>
      </c>
      <c r="G354" t="inlineStr">
        <is>
          <t>KRAMFORS</t>
        </is>
      </c>
      <c r="H354" t="inlineStr">
        <is>
          <t>SCA</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48583-2025</t>
        </is>
      </c>
      <c r="B355" t="inlineStr">
        <is>
          <t>avverkningsanmälan</t>
        </is>
      </c>
      <c r="C355" t="inlineStr">
        <is>
          <t>Föryngringsavverkning</t>
        </is>
      </c>
      <c r="D355" s="1" t="n">
        <v>45936</v>
      </c>
      <c r="E355" s="1" t="n">
        <v>46220</v>
      </c>
      <c r="F355" t="inlineStr">
        <is>
          <t>VÄSTERNORRLANDS LÄN</t>
        </is>
      </c>
      <c r="G355" t="inlineStr">
        <is>
          <t>KRAMFORS</t>
        </is>
      </c>
      <c r="I355" t="n">
        <v>5.9</v>
      </c>
      <c r="J355" t="n">
        <v>0</v>
      </c>
      <c r="K355" t="n">
        <v>0</v>
      </c>
      <c r="L355" t="n">
        <v>0</v>
      </c>
      <c r="M355" t="n">
        <v>0</v>
      </c>
      <c r="N355" t="n">
        <v>0</v>
      </c>
      <c r="O355" t="n">
        <v>0</v>
      </c>
      <c r="P355" t="n">
        <v>0</v>
      </c>
      <c r="Q355" t="n">
        <v>0</v>
      </c>
      <c r="R355" t="n">
        <v>0</v>
      </c>
      <c r="S355" t="n">
        <v>0</v>
      </c>
      <c r="T355" t="n">
        <v>0</v>
      </c>
      <c r="U355" s="2" t="inlineStr"/>
    </row>
    <row r="356" ht="15" customHeight="1">
      <c r="A356" t="inlineStr">
        <is>
          <t>A 48588-2025</t>
        </is>
      </c>
      <c r="B356" t="inlineStr">
        <is>
          <t>avverkningsanmälan</t>
        </is>
      </c>
      <c r="C356" t="inlineStr">
        <is>
          <t>Föryngringsavverkning</t>
        </is>
      </c>
      <c r="D356" s="1" t="n">
        <v>45936</v>
      </c>
      <c r="E356" s="1" t="n">
        <v>46220</v>
      </c>
      <c r="F356" t="inlineStr">
        <is>
          <t>VÄSTERNORRLANDS LÄN</t>
        </is>
      </c>
      <c r="G356" t="inlineStr">
        <is>
          <t>KRAMFORS</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49071-2025</t>
        </is>
      </c>
      <c r="B357" t="inlineStr">
        <is>
          <t>avverkningsanmälan</t>
        </is>
      </c>
      <c r="C357" t="inlineStr">
        <is>
          <t>Föryngringsavverkning</t>
        </is>
      </c>
      <c r="D357" s="1" t="n">
        <v>45937</v>
      </c>
      <c r="E357" s="1" t="n">
        <v>46220</v>
      </c>
      <c r="F357" t="inlineStr">
        <is>
          <t>VÄSTERNORRLANDS LÄN</t>
        </is>
      </c>
      <c r="G357" t="inlineStr">
        <is>
          <t>KRAMFORS</t>
        </is>
      </c>
      <c r="I357" t="n">
        <v>4.3</v>
      </c>
      <c r="J357" t="n">
        <v>0</v>
      </c>
      <c r="K357" t="n">
        <v>0</v>
      </c>
      <c r="L357" t="n">
        <v>0</v>
      </c>
      <c r="M357" t="n">
        <v>0</v>
      </c>
      <c r="N357" t="n">
        <v>0</v>
      </c>
      <c r="O357" t="n">
        <v>0</v>
      </c>
      <c r="P357" t="n">
        <v>0</v>
      </c>
      <c r="Q357" t="n">
        <v>0</v>
      </c>
      <c r="R357" t="n">
        <v>0</v>
      </c>
      <c r="S357" t="n">
        <v>0</v>
      </c>
      <c r="T357" t="n">
        <v>0</v>
      </c>
      <c r="U357" s="2" t="inlineStr"/>
    </row>
    <row r="358" ht="15" customHeight="1">
      <c r="A358" t="inlineStr">
        <is>
          <t>A 12754-2023</t>
        </is>
      </c>
      <c r="B358" t="inlineStr">
        <is>
          <t>avverkningsanmälan</t>
        </is>
      </c>
      <c r="C358" t="inlineStr">
        <is>
          <t>Föryngringsavverkning</t>
        </is>
      </c>
      <c r="D358" s="1" t="n">
        <v>45000</v>
      </c>
      <c r="E358" s="1" t="n">
        <v>46220</v>
      </c>
      <c r="F358" t="inlineStr">
        <is>
          <t>VÄSTERNORRLANDS LÄN</t>
        </is>
      </c>
      <c r="G358" t="inlineStr">
        <is>
          <t>KRAMFORS</t>
        </is>
      </c>
      <c r="H358" t="inlineStr">
        <is>
          <t>SCA</t>
        </is>
      </c>
      <c r="I358" t="n">
        <v>6.1</v>
      </c>
      <c r="J358" t="n">
        <v>0</v>
      </c>
      <c r="K358" t="n">
        <v>0</v>
      </c>
      <c r="L358" t="n">
        <v>0</v>
      </c>
      <c r="M358" t="n">
        <v>0</v>
      </c>
      <c r="N358" t="n">
        <v>0</v>
      </c>
      <c r="O358" t="n">
        <v>0</v>
      </c>
      <c r="P358" t="n">
        <v>0</v>
      </c>
      <c r="Q358" t="n">
        <v>0</v>
      </c>
      <c r="R358" t="n">
        <v>0</v>
      </c>
      <c r="S358" t="n">
        <v>0</v>
      </c>
      <c r="T358" t="n">
        <v>0</v>
      </c>
      <c r="U358" s="2" t="inlineStr"/>
    </row>
    <row r="359" ht="15" customHeight="1">
      <c r="A359" t="inlineStr">
        <is>
          <t>A 36805-2025</t>
        </is>
      </c>
      <c r="B359" t="inlineStr">
        <is>
          <t>avverkningsanmälan</t>
        </is>
      </c>
      <c r="C359" t="inlineStr">
        <is>
          <t>Föryngringsavverkning</t>
        </is>
      </c>
      <c r="D359" s="1" t="n">
        <v>45873</v>
      </c>
      <c r="E359" s="1" t="n">
        <v>46220</v>
      </c>
      <c r="F359" t="inlineStr">
        <is>
          <t>VÄSTERNORRLANDS LÄN</t>
        </is>
      </c>
      <c r="G359" t="inlineStr">
        <is>
          <t>KRAMFORS</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48768-2025</t>
        </is>
      </c>
      <c r="B360" t="inlineStr">
        <is>
          <t>avverkningsanmälan</t>
        </is>
      </c>
      <c r="C360" t="inlineStr">
        <is>
          <t>Föryngringsavverkning</t>
        </is>
      </c>
      <c r="D360" s="1" t="n">
        <v>45936</v>
      </c>
      <c r="E360" s="1" t="n">
        <v>46220</v>
      </c>
      <c r="F360" t="inlineStr">
        <is>
          <t>VÄSTERNORRLANDS LÄN</t>
        </is>
      </c>
      <c r="G360" t="inlineStr">
        <is>
          <t>KRAMFORS</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36523-2023</t>
        </is>
      </c>
      <c r="B361" t="inlineStr">
        <is>
          <t>avverkningsanmälan</t>
        </is>
      </c>
      <c r="C361" t="inlineStr">
        <is>
          <t>Avverkning för annat ändamål</t>
        </is>
      </c>
      <c r="D361" s="1" t="n">
        <v>45153</v>
      </c>
      <c r="E361" s="1" t="n">
        <v>46220</v>
      </c>
      <c r="F361" t="inlineStr">
        <is>
          <t>VÄSTERNORRLANDS LÄN</t>
        </is>
      </c>
      <c r="G361" t="inlineStr">
        <is>
          <t>KRAMFORS</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36546-2023</t>
        </is>
      </c>
      <c r="B362" t="inlineStr">
        <is>
          <t>avverkningsanmälan</t>
        </is>
      </c>
      <c r="C362" t="inlineStr">
        <is>
          <t>Föryngringsavverkning</t>
        </is>
      </c>
      <c r="D362" s="1" t="n">
        <v>45153</v>
      </c>
      <c r="E362" s="1" t="n">
        <v>46220</v>
      </c>
      <c r="F362" t="inlineStr">
        <is>
          <t>VÄSTERNORRLANDS LÄN</t>
        </is>
      </c>
      <c r="G362" t="inlineStr">
        <is>
          <t>KRAMFORS</t>
        </is>
      </c>
      <c r="I362" t="n">
        <v>3.1</v>
      </c>
      <c r="J362" t="n">
        <v>0</v>
      </c>
      <c r="K362" t="n">
        <v>0</v>
      </c>
      <c r="L362" t="n">
        <v>0</v>
      </c>
      <c r="M362" t="n">
        <v>0</v>
      </c>
      <c r="N362" t="n">
        <v>0</v>
      </c>
      <c r="O362" t="n">
        <v>0</v>
      </c>
      <c r="P362" t="n">
        <v>0</v>
      </c>
      <c r="Q362" t="n">
        <v>0</v>
      </c>
      <c r="R362" t="n">
        <v>0</v>
      </c>
      <c r="S362" t="n">
        <v>0</v>
      </c>
      <c r="T362" t="n">
        <v>0</v>
      </c>
      <c r="U362" s="2" t="inlineStr"/>
    </row>
    <row r="363" ht="15" customHeight="1">
      <c r="A363" t="inlineStr">
        <is>
          <t>A 3684-2026</t>
        </is>
      </c>
      <c r="B363" t="inlineStr">
        <is>
          <t>avverkningsanmälan</t>
        </is>
      </c>
      <c r="C363" t="inlineStr">
        <is>
          <t>Föryngringsavverkning</t>
        </is>
      </c>
      <c r="D363" s="1" t="n">
        <v>46043</v>
      </c>
      <c r="E363" s="1" t="n">
        <v>46220</v>
      </c>
      <c r="F363" t="inlineStr">
        <is>
          <t>VÄSTERNORRLANDS LÄN</t>
        </is>
      </c>
      <c r="G363" t="inlineStr">
        <is>
          <t>KRAMFORS</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49074-2025</t>
        </is>
      </c>
      <c r="B364" t="inlineStr">
        <is>
          <t>avverkningsanmälan</t>
        </is>
      </c>
      <c r="C364" t="inlineStr">
        <is>
          <t>Föryngringsavverkning</t>
        </is>
      </c>
      <c r="D364" s="1" t="n">
        <v>45937</v>
      </c>
      <c r="E364" s="1" t="n">
        <v>46220</v>
      </c>
      <c r="F364" t="inlineStr">
        <is>
          <t>VÄSTERNORRLANDS LÄN</t>
        </is>
      </c>
      <c r="G364" t="inlineStr">
        <is>
          <t>KRAMFORS</t>
        </is>
      </c>
      <c r="I364" t="n">
        <v>7.2</v>
      </c>
      <c r="J364" t="n">
        <v>0</v>
      </c>
      <c r="K364" t="n">
        <v>0</v>
      </c>
      <c r="L364" t="n">
        <v>0</v>
      </c>
      <c r="M364" t="n">
        <v>0</v>
      </c>
      <c r="N364" t="n">
        <v>0</v>
      </c>
      <c r="O364" t="n">
        <v>0</v>
      </c>
      <c r="P364" t="n">
        <v>0</v>
      </c>
      <c r="Q364" t="n">
        <v>0</v>
      </c>
      <c r="R364" t="n">
        <v>0</v>
      </c>
      <c r="S364" t="n">
        <v>0</v>
      </c>
      <c r="T364" t="n">
        <v>0</v>
      </c>
      <c r="U364" s="2" t="inlineStr"/>
    </row>
    <row r="365" ht="15" customHeight="1">
      <c r="A365" t="inlineStr">
        <is>
          <t>A 3718-2026</t>
        </is>
      </c>
      <c r="B365" t="inlineStr">
        <is>
          <t>avverkningsanmälan</t>
        </is>
      </c>
      <c r="C365" t="inlineStr">
        <is>
          <t>Föryngringsavverkning</t>
        </is>
      </c>
      <c r="D365" s="1" t="n">
        <v>46043</v>
      </c>
      <c r="E365" s="1" t="n">
        <v>46220</v>
      </c>
      <c r="F365" t="inlineStr">
        <is>
          <t>VÄSTERNORRLANDS LÄN</t>
        </is>
      </c>
      <c r="G365" t="inlineStr">
        <is>
          <t>KRAMFORS</t>
        </is>
      </c>
      <c r="I365" t="n">
        <v>3.3</v>
      </c>
      <c r="J365" t="n">
        <v>0</v>
      </c>
      <c r="K365" t="n">
        <v>0</v>
      </c>
      <c r="L365" t="n">
        <v>0</v>
      </c>
      <c r="M365" t="n">
        <v>0</v>
      </c>
      <c r="N365" t="n">
        <v>0</v>
      </c>
      <c r="O365" t="n">
        <v>0</v>
      </c>
      <c r="P365" t="n">
        <v>0</v>
      </c>
      <c r="Q365" t="n">
        <v>0</v>
      </c>
      <c r="R365" t="n">
        <v>0</v>
      </c>
      <c r="S365" t="n">
        <v>0</v>
      </c>
      <c r="T365" t="n">
        <v>0</v>
      </c>
      <c r="U365" s="2" t="inlineStr"/>
    </row>
    <row r="366" ht="15" customHeight="1">
      <c r="A366" t="inlineStr">
        <is>
          <t>A 3716-2026</t>
        </is>
      </c>
      <c r="B366" t="inlineStr">
        <is>
          <t>avverkningsanmälan</t>
        </is>
      </c>
      <c r="C366" t="inlineStr">
        <is>
          <t>Föryngringsavverkning</t>
        </is>
      </c>
      <c r="D366" s="1" t="n">
        <v>46043</v>
      </c>
      <c r="E366" s="1" t="n">
        <v>46220</v>
      </c>
      <c r="F366" t="inlineStr">
        <is>
          <t>VÄSTERNORRLANDS LÄN</t>
        </is>
      </c>
      <c r="G366" t="inlineStr">
        <is>
          <t>KRAMFORS</t>
        </is>
      </c>
      <c r="I366" t="n">
        <v>7.7</v>
      </c>
      <c r="J366" t="n">
        <v>0</v>
      </c>
      <c r="K366" t="n">
        <v>0</v>
      </c>
      <c r="L366" t="n">
        <v>0</v>
      </c>
      <c r="M366" t="n">
        <v>0</v>
      </c>
      <c r="N366" t="n">
        <v>0</v>
      </c>
      <c r="O366" t="n">
        <v>0</v>
      </c>
      <c r="P366" t="n">
        <v>0</v>
      </c>
      <c r="Q366" t="n">
        <v>0</v>
      </c>
      <c r="R366" t="n">
        <v>0</v>
      </c>
      <c r="S366" t="n">
        <v>0</v>
      </c>
      <c r="T366" t="n">
        <v>0</v>
      </c>
      <c r="U366" s="2" t="inlineStr"/>
    </row>
    <row r="367" ht="15" customHeight="1">
      <c r="A367" t="inlineStr">
        <is>
          <t>A 50155-2025</t>
        </is>
      </c>
      <c r="B367" t="inlineStr">
        <is>
          <t>avverkningsanmälan</t>
        </is>
      </c>
      <c r="C367" t="inlineStr">
        <is>
          <t>Föryngringsavverkning</t>
        </is>
      </c>
      <c r="D367" s="1" t="n">
        <v>45943</v>
      </c>
      <c r="E367" s="1" t="n">
        <v>46220</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s="2" t="inlineStr"/>
    </row>
    <row r="368" ht="15" customHeight="1">
      <c r="A368" t="inlineStr">
        <is>
          <t>A 63222-2023</t>
        </is>
      </c>
      <c r="B368" t="inlineStr">
        <is>
          <t>avverkningsanmälan</t>
        </is>
      </c>
      <c r="C368" t="inlineStr">
        <is>
          <t>Föryngringsavverkning</t>
        </is>
      </c>
      <c r="D368" s="1" t="n">
        <v>45273</v>
      </c>
      <c r="E368" s="1" t="n">
        <v>46220</v>
      </c>
      <c r="F368" t="inlineStr">
        <is>
          <t>VÄSTERNORRLANDS LÄN</t>
        </is>
      </c>
      <c r="G368" t="inlineStr">
        <is>
          <t>KRAMFORS</t>
        </is>
      </c>
      <c r="I368" t="n">
        <v>4.2</v>
      </c>
      <c r="J368" t="n">
        <v>0</v>
      </c>
      <c r="K368" t="n">
        <v>0</v>
      </c>
      <c r="L368" t="n">
        <v>0</v>
      </c>
      <c r="M368" t="n">
        <v>0</v>
      </c>
      <c r="N368" t="n">
        <v>0</v>
      </c>
      <c r="O368" t="n">
        <v>0</v>
      </c>
      <c r="P368" t="n">
        <v>0</v>
      </c>
      <c r="Q368" t="n">
        <v>0</v>
      </c>
      <c r="R368" t="n">
        <v>0</v>
      </c>
      <c r="S368" t="n">
        <v>0</v>
      </c>
      <c r="T368" t="n">
        <v>0</v>
      </c>
      <c r="U368" s="2" t="inlineStr"/>
    </row>
    <row r="369" ht="15" customHeight="1">
      <c r="A369" t="inlineStr">
        <is>
          <t>A 37167-2025</t>
        </is>
      </c>
      <c r="B369" t="inlineStr">
        <is>
          <t>avverkningsanmälan</t>
        </is>
      </c>
      <c r="C369" t="inlineStr">
        <is>
          <t>Föryngringsavverkning</t>
        </is>
      </c>
      <c r="D369" s="1" t="n">
        <v>45875</v>
      </c>
      <c r="E369" s="1" t="n">
        <v>46220</v>
      </c>
      <c r="F369" t="inlineStr">
        <is>
          <t>VÄSTERNORRLANDS LÄN</t>
        </is>
      </c>
      <c r="G369" t="inlineStr">
        <is>
          <t>KRAMFORS</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36933-2025</t>
        </is>
      </c>
      <c r="B370" t="inlineStr">
        <is>
          <t>avverkningsanmälan</t>
        </is>
      </c>
      <c r="C370" t="inlineStr">
        <is>
          <t>Föryngringsavverkning</t>
        </is>
      </c>
      <c r="D370" s="1" t="n">
        <v>45874</v>
      </c>
      <c r="E370" s="1" t="n">
        <v>46220</v>
      </c>
      <c r="F370" t="inlineStr">
        <is>
          <t>VÄSTERNORRLANDS LÄN</t>
        </is>
      </c>
      <c r="G370" t="inlineStr">
        <is>
          <t>KRAMFORS</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3681-2026</t>
        </is>
      </c>
      <c r="B371" t="inlineStr">
        <is>
          <t>avverkningsanmälan</t>
        </is>
      </c>
      <c r="C371" t="inlineStr">
        <is>
          <t>Föryngringsavverkning</t>
        </is>
      </c>
      <c r="D371" s="1" t="n">
        <v>46043</v>
      </c>
      <c r="E371" s="1" t="n">
        <v>46220</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36876-2025</t>
        </is>
      </c>
      <c r="B372" t="inlineStr">
        <is>
          <t>avverkningsanmälan</t>
        </is>
      </c>
      <c r="C372" t="inlineStr">
        <is>
          <t>Föryngringsavverkning</t>
        </is>
      </c>
      <c r="D372" s="1" t="n">
        <v>45874</v>
      </c>
      <c r="E372" s="1" t="n">
        <v>46220</v>
      </c>
      <c r="F372" t="inlineStr">
        <is>
          <t>VÄSTERNORRLANDS LÄN</t>
        </is>
      </c>
      <c r="G372" t="inlineStr">
        <is>
          <t>KRAMFORS</t>
        </is>
      </c>
      <c r="I372" t="n">
        <v>15.8</v>
      </c>
      <c r="J372" t="n">
        <v>0</v>
      </c>
      <c r="K372" t="n">
        <v>0</v>
      </c>
      <c r="L372" t="n">
        <v>0</v>
      </c>
      <c r="M372" t="n">
        <v>0</v>
      </c>
      <c r="N372" t="n">
        <v>0</v>
      </c>
      <c r="O372" t="n">
        <v>0</v>
      </c>
      <c r="P372" t="n">
        <v>0</v>
      </c>
      <c r="Q372" t="n">
        <v>0</v>
      </c>
      <c r="R372" t="n">
        <v>0</v>
      </c>
      <c r="S372" t="n">
        <v>0</v>
      </c>
      <c r="T372" t="n">
        <v>0</v>
      </c>
      <c r="U372" s="2" t="inlineStr"/>
    </row>
    <row r="373" ht="15" customHeight="1">
      <c r="A373" t="inlineStr">
        <is>
          <t>A 36936-2025</t>
        </is>
      </c>
      <c r="B373" t="inlineStr">
        <is>
          <t>avverkningsanmälan</t>
        </is>
      </c>
      <c r="C373" t="inlineStr">
        <is>
          <t>Föryngringsavverkning</t>
        </is>
      </c>
      <c r="D373" s="1" t="n">
        <v>45874</v>
      </c>
      <c r="E373" s="1" t="n">
        <v>46220</v>
      </c>
      <c r="F373" t="inlineStr">
        <is>
          <t>VÄSTERNORRLANDS LÄN</t>
        </is>
      </c>
      <c r="G373" t="inlineStr">
        <is>
          <t>KRAMFORS</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37417-2025</t>
        </is>
      </c>
      <c r="B374" t="inlineStr">
        <is>
          <t>avverkningsanmälan</t>
        </is>
      </c>
      <c r="C374" t="inlineStr">
        <is>
          <t>Föryngringsavverkning</t>
        </is>
      </c>
      <c r="D374" s="1" t="n">
        <v>45877</v>
      </c>
      <c r="E374" s="1" t="n">
        <v>46220</v>
      </c>
      <c r="F374" t="inlineStr">
        <is>
          <t>VÄSTERNORRLANDS LÄN</t>
        </is>
      </c>
      <c r="G374" t="inlineStr">
        <is>
          <t>KRAMFORS</t>
        </is>
      </c>
      <c r="I374" t="n">
        <v>19.9</v>
      </c>
      <c r="J374" t="n">
        <v>0</v>
      </c>
      <c r="K374" t="n">
        <v>0</v>
      </c>
      <c r="L374" t="n">
        <v>0</v>
      </c>
      <c r="M374" t="n">
        <v>0</v>
      </c>
      <c r="N374" t="n">
        <v>0</v>
      </c>
      <c r="O374" t="n">
        <v>0</v>
      </c>
      <c r="P374" t="n">
        <v>0</v>
      </c>
      <c r="Q374" t="n">
        <v>0</v>
      </c>
      <c r="R374" t="n">
        <v>0</v>
      </c>
      <c r="S374" t="n">
        <v>0</v>
      </c>
      <c r="T374" t="n">
        <v>0</v>
      </c>
      <c r="U374" s="2" t="inlineStr"/>
    </row>
    <row r="375" ht="15" customHeight="1">
      <c r="A375" t="inlineStr">
        <is>
          <t>A 3437-2026</t>
        </is>
      </c>
      <c r="B375" t="inlineStr">
        <is>
          <t>avverkningsanmälan</t>
        </is>
      </c>
      <c r="C375" t="inlineStr">
        <is>
          <t>Föryngringsavverkning</t>
        </is>
      </c>
      <c r="D375" s="1" t="n">
        <v>46042</v>
      </c>
      <c r="E375" s="1" t="n">
        <v>46220</v>
      </c>
      <c r="F375" t="inlineStr">
        <is>
          <t>VÄSTERNORRLANDS LÄN</t>
        </is>
      </c>
      <c r="G375" t="inlineStr">
        <is>
          <t>KRAMFORS</t>
        </is>
      </c>
      <c r="I375" t="n">
        <v>17.9</v>
      </c>
      <c r="J375" t="n">
        <v>0</v>
      </c>
      <c r="K375" t="n">
        <v>0</v>
      </c>
      <c r="L375" t="n">
        <v>0</v>
      </c>
      <c r="M375" t="n">
        <v>0</v>
      </c>
      <c r="N375" t="n">
        <v>0</v>
      </c>
      <c r="O375" t="n">
        <v>0</v>
      </c>
      <c r="P375" t="n">
        <v>0</v>
      </c>
      <c r="Q375" t="n">
        <v>0</v>
      </c>
      <c r="R375" t="n">
        <v>0</v>
      </c>
      <c r="S375" t="n">
        <v>0</v>
      </c>
      <c r="T375" t="n">
        <v>0</v>
      </c>
      <c r="U375" s="2" t="inlineStr"/>
    </row>
    <row r="376" ht="15" customHeight="1">
      <c r="A376" t="inlineStr">
        <is>
          <t>A 3678-2026</t>
        </is>
      </c>
      <c r="B376" t="inlineStr">
        <is>
          <t>avverkningsanmälan</t>
        </is>
      </c>
      <c r="C376" t="inlineStr">
        <is>
          <t>Föryngringsavverkning</t>
        </is>
      </c>
      <c r="D376" s="1" t="n">
        <v>46043</v>
      </c>
      <c r="E376" s="1" t="n">
        <v>46220</v>
      </c>
      <c r="F376" t="inlineStr">
        <is>
          <t>VÄSTERNORRLANDS LÄN</t>
        </is>
      </c>
      <c r="G376" t="inlineStr">
        <is>
          <t>KRAMFORS</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3501-2023</t>
        </is>
      </c>
      <c r="B377" t="inlineStr">
        <is>
          <t>avverkningsanmälan</t>
        </is>
      </c>
      <c r="C377" t="inlineStr">
        <is>
          <t>Föryngringsavverkning</t>
        </is>
      </c>
      <c r="D377" s="1" t="n">
        <v>44949</v>
      </c>
      <c r="E377" s="1" t="n">
        <v>46220</v>
      </c>
      <c r="F377" t="inlineStr">
        <is>
          <t>VÄSTERNORRLANDS LÄN</t>
        </is>
      </c>
      <c r="G377" t="inlineStr">
        <is>
          <t>KRAMFORS</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37256-2025</t>
        </is>
      </c>
      <c r="B378" t="inlineStr">
        <is>
          <t>avverkningsanmälan</t>
        </is>
      </c>
      <c r="C378" t="inlineStr">
        <is>
          <t>Avverkning för annat ändamål</t>
        </is>
      </c>
      <c r="D378" s="1" t="n">
        <v>45876</v>
      </c>
      <c r="E378" s="1" t="n">
        <v>46220</v>
      </c>
      <c r="F378" t="inlineStr">
        <is>
          <t>VÄSTERNORRLANDS LÄN</t>
        </is>
      </c>
      <c r="G378" t="inlineStr">
        <is>
          <t>KRAMFORS</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37407-2025</t>
        </is>
      </c>
      <c r="B379" t="inlineStr">
        <is>
          <t>avverkningsanmälan</t>
        </is>
      </c>
      <c r="C379" t="inlineStr">
        <is>
          <t>Föryngringsavverkning</t>
        </is>
      </c>
      <c r="D379" s="1" t="n">
        <v>45877</v>
      </c>
      <c r="E379" s="1" t="n">
        <v>46220</v>
      </c>
      <c r="F379" t="inlineStr">
        <is>
          <t>VÄSTERNORRLANDS LÄN</t>
        </is>
      </c>
      <c r="G379" t="inlineStr">
        <is>
          <t>KRAMFORS</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9241-2025</t>
        </is>
      </c>
      <c r="B380" t="inlineStr">
        <is>
          <t>avverkningsanmälan</t>
        </is>
      </c>
      <c r="C380" t="inlineStr">
        <is>
          <t>Föryngringsavverkning</t>
        </is>
      </c>
      <c r="D380" s="1" t="n">
        <v>45714</v>
      </c>
      <c r="E380" s="1" t="n">
        <v>46220</v>
      </c>
      <c r="F380" t="inlineStr">
        <is>
          <t>VÄSTERNORRLANDS LÄN</t>
        </is>
      </c>
      <c r="G380" t="inlineStr">
        <is>
          <t>KRAMFORS</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60916-2022</t>
        </is>
      </c>
      <c r="B381" t="inlineStr">
        <is>
          <t>avverkningsanmälan</t>
        </is>
      </c>
      <c r="C381" t="inlineStr">
        <is>
          <t>Föryngringsavverkning</t>
        </is>
      </c>
      <c r="D381" s="1" t="n">
        <v>44908</v>
      </c>
      <c r="E381" s="1" t="n">
        <v>46220</v>
      </c>
      <c r="F381" t="inlineStr">
        <is>
          <t>VÄSTERNORRLANDS LÄN</t>
        </is>
      </c>
      <c r="G381" t="inlineStr">
        <is>
          <t>KRAMFORS</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37949-2025</t>
        </is>
      </c>
      <c r="B382" t="inlineStr">
        <is>
          <t>avverkningsanmälan</t>
        </is>
      </c>
      <c r="C382" t="inlineStr">
        <is>
          <t>Föryngringsavverkning</t>
        </is>
      </c>
      <c r="D382" s="1" t="n">
        <v>45881</v>
      </c>
      <c r="E382" s="1" t="n">
        <v>46220</v>
      </c>
      <c r="F382" t="inlineStr">
        <is>
          <t>VÄSTERNORRLANDS LÄN</t>
        </is>
      </c>
      <c r="G382" t="inlineStr">
        <is>
          <t>KRAMFORS</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37953-2025</t>
        </is>
      </c>
      <c r="B383" t="inlineStr">
        <is>
          <t>avverkningsanmälan</t>
        </is>
      </c>
      <c r="C383" t="inlineStr">
        <is>
          <t>Föryngringsavverkning</t>
        </is>
      </c>
      <c r="D383" s="1" t="n">
        <v>45881</v>
      </c>
      <c r="E383" s="1" t="n">
        <v>46220</v>
      </c>
      <c r="F383" t="inlineStr">
        <is>
          <t>VÄSTERNORRLANDS LÄN</t>
        </is>
      </c>
      <c r="G383" t="inlineStr">
        <is>
          <t>KRAMFORS</t>
        </is>
      </c>
      <c r="I383" t="n">
        <v>4.1</v>
      </c>
      <c r="J383" t="n">
        <v>0</v>
      </c>
      <c r="K383" t="n">
        <v>0</v>
      </c>
      <c r="L383" t="n">
        <v>0</v>
      </c>
      <c r="M383" t="n">
        <v>0</v>
      </c>
      <c r="N383" t="n">
        <v>0</v>
      </c>
      <c r="O383" t="n">
        <v>0</v>
      </c>
      <c r="P383" t="n">
        <v>0</v>
      </c>
      <c r="Q383" t="n">
        <v>0</v>
      </c>
      <c r="R383" t="n">
        <v>0</v>
      </c>
      <c r="S383" t="n">
        <v>0</v>
      </c>
      <c r="T383" t="n">
        <v>0</v>
      </c>
      <c r="U383" s="2" t="inlineStr"/>
    </row>
    <row r="384" ht="15" customHeight="1">
      <c r="A384" t="inlineStr">
        <is>
          <t>A 13926-2023</t>
        </is>
      </c>
      <c r="B384" t="inlineStr">
        <is>
          <t>avverkningsanmälan</t>
        </is>
      </c>
      <c r="C384" t="inlineStr">
        <is>
          <t>Föryngringsavverkning</t>
        </is>
      </c>
      <c r="D384" s="1" t="n">
        <v>45008</v>
      </c>
      <c r="E384" s="1" t="n">
        <v>46220</v>
      </c>
      <c r="F384" t="inlineStr">
        <is>
          <t>VÄSTERNORRLANDS LÄN</t>
        </is>
      </c>
      <c r="G384" t="inlineStr">
        <is>
          <t>KRAMFORS</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62243-2021</t>
        </is>
      </c>
      <c r="B385" t="inlineStr">
        <is>
          <t>avverkningsanmälan</t>
        </is>
      </c>
      <c r="C385" t="inlineStr">
        <is>
          <t>Föryngringsavverkning</t>
        </is>
      </c>
      <c r="D385" s="1" t="n">
        <v>44503</v>
      </c>
      <c r="E385" s="1" t="n">
        <v>46220</v>
      </c>
      <c r="F385" t="inlineStr">
        <is>
          <t>VÄSTERNORRLANDS LÄN</t>
        </is>
      </c>
      <c r="G385" t="inlineStr">
        <is>
          <t>KRAMFORS</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2428-2025</t>
        </is>
      </c>
      <c r="B386" t="inlineStr">
        <is>
          <t>avverkningsanmälan</t>
        </is>
      </c>
      <c r="C386" t="inlineStr">
        <is>
          <t>Föryngringsavverkning</t>
        </is>
      </c>
      <c r="D386" s="1" t="n">
        <v>45674</v>
      </c>
      <c r="E386" s="1" t="n">
        <v>46220</v>
      </c>
      <c r="F386" t="inlineStr">
        <is>
          <t>VÄSTERNORRLANDS LÄN</t>
        </is>
      </c>
      <c r="G386" t="inlineStr">
        <is>
          <t>KRAMFORS</t>
        </is>
      </c>
      <c r="I386" t="n">
        <v>12.3</v>
      </c>
      <c r="J386" t="n">
        <v>0</v>
      </c>
      <c r="K386" t="n">
        <v>0</v>
      </c>
      <c r="L386" t="n">
        <v>0</v>
      </c>
      <c r="M386" t="n">
        <v>0</v>
      </c>
      <c r="N386" t="n">
        <v>0</v>
      </c>
      <c r="O386" t="n">
        <v>0</v>
      </c>
      <c r="P386" t="n">
        <v>0</v>
      </c>
      <c r="Q386" t="n">
        <v>0</v>
      </c>
      <c r="R386" t="n">
        <v>0</v>
      </c>
      <c r="S386" t="n">
        <v>0</v>
      </c>
      <c r="T386" t="n">
        <v>0</v>
      </c>
      <c r="U386" s="2" t="inlineStr"/>
    </row>
    <row r="387" ht="15" customHeight="1">
      <c r="A387" t="inlineStr">
        <is>
          <t>A 38219-2025</t>
        </is>
      </c>
      <c r="B387" t="inlineStr">
        <is>
          <t>avverkningsanmälan</t>
        </is>
      </c>
      <c r="C387" t="inlineStr">
        <is>
          <t>Föryngringsavverkning</t>
        </is>
      </c>
      <c r="D387" s="1" t="n">
        <v>45883</v>
      </c>
      <c r="E387" s="1" t="n">
        <v>46220</v>
      </c>
      <c r="F387" t="inlineStr">
        <is>
          <t>VÄSTERNORRLANDS LÄN</t>
        </is>
      </c>
      <c r="G387" t="inlineStr">
        <is>
          <t>KRAMFORS</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38256-2025</t>
        </is>
      </c>
      <c r="B388" t="inlineStr">
        <is>
          <t>avverkningsanmälan</t>
        </is>
      </c>
      <c r="C388" t="inlineStr">
        <is>
          <t>Föryngringsavverkning</t>
        </is>
      </c>
      <c r="D388" s="1" t="n">
        <v>45883</v>
      </c>
      <c r="E388" s="1" t="n">
        <v>46220</v>
      </c>
      <c r="F388" t="inlineStr">
        <is>
          <t>VÄSTERNORRLANDS LÄN</t>
        </is>
      </c>
      <c r="G388" t="inlineStr">
        <is>
          <t>KRAMFORS</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4159-2025</t>
        </is>
      </c>
      <c r="B389" t="inlineStr">
        <is>
          <t>avverkningsanmälan</t>
        </is>
      </c>
      <c r="C389" t="inlineStr">
        <is>
          <t>Föryngringsavverkning</t>
        </is>
      </c>
      <c r="D389" s="1" t="n">
        <v>45685</v>
      </c>
      <c r="E389" s="1" t="n">
        <v>46220</v>
      </c>
      <c r="F389" t="inlineStr">
        <is>
          <t>VÄSTERNORRLANDS LÄN</t>
        </is>
      </c>
      <c r="G389" t="inlineStr">
        <is>
          <t>KRAMFORS</t>
        </is>
      </c>
      <c r="I389" t="n">
        <v>8.4</v>
      </c>
      <c r="J389" t="n">
        <v>0</v>
      </c>
      <c r="K389" t="n">
        <v>0</v>
      </c>
      <c r="L389" t="n">
        <v>0</v>
      </c>
      <c r="M389" t="n">
        <v>0</v>
      </c>
      <c r="N389" t="n">
        <v>0</v>
      </c>
      <c r="O389" t="n">
        <v>0</v>
      </c>
      <c r="P389" t="n">
        <v>0</v>
      </c>
      <c r="Q389" t="n">
        <v>0</v>
      </c>
      <c r="R389" t="n">
        <v>0</v>
      </c>
      <c r="S389" t="n">
        <v>0</v>
      </c>
      <c r="T389" t="n">
        <v>0</v>
      </c>
      <c r="U389" s="2" t="inlineStr"/>
    </row>
    <row r="390" ht="15" customHeight="1">
      <c r="A390" t="inlineStr">
        <is>
          <t>A 4160-2025</t>
        </is>
      </c>
      <c r="B390" t="inlineStr">
        <is>
          <t>avverkningsanmälan</t>
        </is>
      </c>
      <c r="C390" t="inlineStr">
        <is>
          <t>Föryngringsavverkning</t>
        </is>
      </c>
      <c r="D390" s="1" t="n">
        <v>45685</v>
      </c>
      <c r="E390" s="1" t="n">
        <v>46220</v>
      </c>
      <c r="F390" t="inlineStr">
        <is>
          <t>VÄSTERNORRLANDS LÄN</t>
        </is>
      </c>
      <c r="G390" t="inlineStr">
        <is>
          <t>KRAMFORS</t>
        </is>
      </c>
      <c r="I390" t="n">
        <v>5.4</v>
      </c>
      <c r="J390" t="n">
        <v>0</v>
      </c>
      <c r="K390" t="n">
        <v>0</v>
      </c>
      <c r="L390" t="n">
        <v>0</v>
      </c>
      <c r="M390" t="n">
        <v>0</v>
      </c>
      <c r="N390" t="n">
        <v>0</v>
      </c>
      <c r="O390" t="n">
        <v>0</v>
      </c>
      <c r="P390" t="n">
        <v>0</v>
      </c>
      <c r="Q390" t="n">
        <v>0</v>
      </c>
      <c r="R390" t="n">
        <v>0</v>
      </c>
      <c r="S390" t="n">
        <v>0</v>
      </c>
      <c r="T390" t="n">
        <v>0</v>
      </c>
      <c r="U390" s="2" t="inlineStr"/>
    </row>
    <row r="391" ht="15" customHeight="1">
      <c r="A391" t="inlineStr">
        <is>
          <t>A 38265-2025</t>
        </is>
      </c>
      <c r="B391" t="inlineStr">
        <is>
          <t>avverkningsanmälan</t>
        </is>
      </c>
      <c r="C391" t="inlineStr">
        <is>
          <t>Föryngringsavverkning</t>
        </is>
      </c>
      <c r="D391" s="1" t="n">
        <v>45883</v>
      </c>
      <c r="E391" s="1" t="n">
        <v>46220</v>
      </c>
      <c r="F391" t="inlineStr">
        <is>
          <t>VÄSTERNORRLANDS LÄN</t>
        </is>
      </c>
      <c r="G391" t="inlineStr">
        <is>
          <t>KRAMFORS</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38281-2025</t>
        </is>
      </c>
      <c r="B392" t="inlineStr">
        <is>
          <t>avverkningsanmälan</t>
        </is>
      </c>
      <c r="C392" t="inlineStr">
        <is>
          <t>Föryngringsavverkning</t>
        </is>
      </c>
      <c r="D392" s="1" t="n">
        <v>45883</v>
      </c>
      <c r="E392" s="1" t="n">
        <v>46220</v>
      </c>
      <c r="F392" t="inlineStr">
        <is>
          <t>VÄSTERNORRLANDS LÄN</t>
        </is>
      </c>
      <c r="G392" t="inlineStr">
        <is>
          <t>KRAMFORS</t>
        </is>
      </c>
      <c r="I392" t="n">
        <v>6.3</v>
      </c>
      <c r="J392" t="n">
        <v>0</v>
      </c>
      <c r="K392" t="n">
        <v>0</v>
      </c>
      <c r="L392" t="n">
        <v>0</v>
      </c>
      <c r="M392" t="n">
        <v>0</v>
      </c>
      <c r="N392" t="n">
        <v>0</v>
      </c>
      <c r="O392" t="n">
        <v>0</v>
      </c>
      <c r="P392" t="n">
        <v>0</v>
      </c>
      <c r="Q392" t="n">
        <v>0</v>
      </c>
      <c r="R392" t="n">
        <v>0</v>
      </c>
      <c r="S392" t="n">
        <v>0</v>
      </c>
      <c r="T392" t="n">
        <v>0</v>
      </c>
      <c r="U392" s="2" t="inlineStr"/>
    </row>
    <row r="393" ht="15" customHeight="1">
      <c r="A393" t="inlineStr">
        <is>
          <t>A 50846-2025</t>
        </is>
      </c>
      <c r="B393" t="inlineStr">
        <is>
          <t>avverkningsanmälan</t>
        </is>
      </c>
      <c r="C393" t="inlineStr">
        <is>
          <t>Föryngringsavverkning</t>
        </is>
      </c>
      <c r="D393" s="1" t="n">
        <v>45946</v>
      </c>
      <c r="E393" s="1" t="n">
        <v>46220</v>
      </c>
      <c r="F393" t="inlineStr">
        <is>
          <t>VÄSTERNORRLANDS LÄN</t>
        </is>
      </c>
      <c r="G393" t="inlineStr">
        <is>
          <t>KRAMFORS</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51192-2025</t>
        </is>
      </c>
      <c r="B394" t="inlineStr">
        <is>
          <t>avverkningsanmälan</t>
        </is>
      </c>
      <c r="C394" t="inlineStr">
        <is>
          <t>Föryngringsavverkning</t>
        </is>
      </c>
      <c r="D394" s="1" t="n">
        <v>45947</v>
      </c>
      <c r="E394" s="1" t="n">
        <v>46220</v>
      </c>
      <c r="F394" t="inlineStr">
        <is>
          <t>VÄSTERNORRLANDS LÄN</t>
        </is>
      </c>
      <c r="G394" t="inlineStr">
        <is>
          <t>KRAMFORS</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4038-2026</t>
        </is>
      </c>
      <c r="B395" t="inlineStr">
        <is>
          <t>avverkningsanmälan</t>
        </is>
      </c>
      <c r="C395" t="inlineStr">
        <is>
          <t>Föryngringsavverkning</t>
        </is>
      </c>
      <c r="D395" s="1" t="n">
        <v>46044</v>
      </c>
      <c r="E395" s="1" t="n">
        <v>46220</v>
      </c>
      <c r="F395" t="inlineStr">
        <is>
          <t>VÄSTERNORRLANDS LÄN</t>
        </is>
      </c>
      <c r="G395" t="inlineStr">
        <is>
          <t>KRAMFORS</t>
        </is>
      </c>
      <c r="H395" t="inlineStr">
        <is>
          <t>Kyrkan</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17540-2023</t>
        </is>
      </c>
      <c r="B396" t="inlineStr">
        <is>
          <t>avverkningsanmälan</t>
        </is>
      </c>
      <c r="C396" t="inlineStr">
        <is>
          <t>Föryngringsavverkning</t>
        </is>
      </c>
      <c r="D396" s="1" t="n">
        <v>45036</v>
      </c>
      <c r="E396" s="1" t="n">
        <v>46220</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51706-2025</t>
        </is>
      </c>
      <c r="B397" t="inlineStr">
        <is>
          <t>avverkningsanmälan</t>
        </is>
      </c>
      <c r="C397" t="inlineStr">
        <is>
          <t>Föryngringsavverkning</t>
        </is>
      </c>
      <c r="D397" s="1" t="n">
        <v>45951</v>
      </c>
      <c r="E397" s="1" t="n">
        <v>46220</v>
      </c>
      <c r="F397" t="inlineStr">
        <is>
          <t>VÄSTERNORRLANDS LÄN</t>
        </is>
      </c>
      <c r="G397" t="inlineStr">
        <is>
          <t>KRAMFORS</t>
        </is>
      </c>
      <c r="I397" t="n">
        <v>7.5</v>
      </c>
      <c r="J397" t="n">
        <v>0</v>
      </c>
      <c r="K397" t="n">
        <v>0</v>
      </c>
      <c r="L397" t="n">
        <v>0</v>
      </c>
      <c r="M397" t="n">
        <v>0</v>
      </c>
      <c r="N397" t="n">
        <v>0</v>
      </c>
      <c r="O397" t="n">
        <v>0</v>
      </c>
      <c r="P397" t="n">
        <v>0</v>
      </c>
      <c r="Q397" t="n">
        <v>0</v>
      </c>
      <c r="R397" t="n">
        <v>0</v>
      </c>
      <c r="S397" t="n">
        <v>0</v>
      </c>
      <c r="T397" t="n">
        <v>0</v>
      </c>
      <c r="U397" s="2" t="inlineStr"/>
    </row>
    <row r="398" ht="15" customHeight="1">
      <c r="A398" t="inlineStr">
        <is>
          <t>A 56996-2022</t>
        </is>
      </c>
      <c r="B398" t="inlineStr">
        <is>
          <t>avverkningsanmälan</t>
        </is>
      </c>
      <c r="C398" t="inlineStr">
        <is>
          <t>Föryngringsavverkning</t>
        </is>
      </c>
      <c r="D398" s="1" t="n">
        <v>44894</v>
      </c>
      <c r="E398" s="1" t="n">
        <v>46220</v>
      </c>
      <c r="F398" t="inlineStr">
        <is>
          <t>VÄSTERNORRLANDS LÄN</t>
        </is>
      </c>
      <c r="G398" t="inlineStr">
        <is>
          <t>KRAMFORS</t>
        </is>
      </c>
      <c r="I398" t="n">
        <v>13.8</v>
      </c>
      <c r="J398" t="n">
        <v>0</v>
      </c>
      <c r="K398" t="n">
        <v>0</v>
      </c>
      <c r="L398" t="n">
        <v>0</v>
      </c>
      <c r="M398" t="n">
        <v>0</v>
      </c>
      <c r="N398" t="n">
        <v>0</v>
      </c>
      <c r="O398" t="n">
        <v>0</v>
      </c>
      <c r="P398" t="n">
        <v>0</v>
      </c>
      <c r="Q398" t="n">
        <v>0</v>
      </c>
      <c r="R398" t="n">
        <v>0</v>
      </c>
      <c r="S398" t="n">
        <v>0</v>
      </c>
      <c r="T398" t="n">
        <v>0</v>
      </c>
      <c r="U398" s="2" t="inlineStr"/>
    </row>
    <row r="399" ht="15" customHeight="1">
      <c r="A399" t="inlineStr">
        <is>
          <t>A 4010-2026</t>
        </is>
      </c>
      <c r="B399" t="inlineStr">
        <is>
          <t>avverkningsanmälan</t>
        </is>
      </c>
      <c r="C399" t="inlineStr">
        <is>
          <t>Föryngringsavverkning</t>
        </is>
      </c>
      <c r="D399" s="1" t="n">
        <v>46044</v>
      </c>
      <c r="E399" s="1" t="n">
        <v>46220</v>
      </c>
      <c r="F399" t="inlineStr">
        <is>
          <t>VÄSTERNORRLANDS LÄN</t>
        </is>
      </c>
      <c r="G399" t="inlineStr">
        <is>
          <t>KRAMFORS</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5163-2026</t>
        </is>
      </c>
      <c r="B400" t="inlineStr">
        <is>
          <t>avverkningsanmälan</t>
        </is>
      </c>
      <c r="C400" t="inlineStr">
        <is>
          <t>Föryngringsavverkning</t>
        </is>
      </c>
      <c r="D400" s="1" t="n">
        <v>46049</v>
      </c>
      <c r="E400" s="1" t="n">
        <v>46220</v>
      </c>
      <c r="F400" t="inlineStr">
        <is>
          <t>VÄSTERNORRLANDS LÄN</t>
        </is>
      </c>
      <c r="G400" t="inlineStr">
        <is>
          <t>KRAMFORS</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52080-2025</t>
        </is>
      </c>
      <c r="B401" t="inlineStr">
        <is>
          <t>avverkningsanmälan</t>
        </is>
      </c>
      <c r="C401" t="inlineStr">
        <is>
          <t>Föryngringsavverkning</t>
        </is>
      </c>
      <c r="D401" s="1" t="n">
        <v>45952</v>
      </c>
      <c r="E401" s="1" t="n">
        <v>46220</v>
      </c>
      <c r="F401" t="inlineStr">
        <is>
          <t>VÄSTERNORRLANDS LÄN</t>
        </is>
      </c>
      <c r="G401" t="inlineStr">
        <is>
          <t>KRAMFORS</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52107-2025</t>
        </is>
      </c>
      <c r="B402" t="inlineStr">
        <is>
          <t>avverkningsanmälan</t>
        </is>
      </c>
      <c r="C402" t="inlineStr">
        <is>
          <t>Föryngringsavverkning</t>
        </is>
      </c>
      <c r="D402" s="1" t="n">
        <v>45952</v>
      </c>
      <c r="E402" s="1" t="n">
        <v>46220</v>
      </c>
      <c r="F402" t="inlineStr">
        <is>
          <t>VÄSTERNORRLANDS LÄN</t>
        </is>
      </c>
      <c r="G402" t="inlineStr">
        <is>
          <t>KRAMFORS</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4879-2026</t>
        </is>
      </c>
      <c r="B403" t="inlineStr">
        <is>
          <t>avverkningsanmälan</t>
        </is>
      </c>
      <c r="C403" t="inlineStr">
        <is>
          <t>Föryngringsavverkning</t>
        </is>
      </c>
      <c r="D403" s="1" t="n">
        <v>46048</v>
      </c>
      <c r="E403" s="1" t="n">
        <v>46220</v>
      </c>
      <c r="F403" t="inlineStr">
        <is>
          <t>VÄSTERNORRLANDS LÄN</t>
        </is>
      </c>
      <c r="G403" t="inlineStr">
        <is>
          <t>KRAMFORS</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5095-2026</t>
        </is>
      </c>
      <c r="B404" t="inlineStr">
        <is>
          <t>avverkningsanmälan</t>
        </is>
      </c>
      <c r="C404" t="inlineStr">
        <is>
          <t>Föryngringsavverkning</t>
        </is>
      </c>
      <c r="D404" s="1" t="n">
        <v>46049</v>
      </c>
      <c r="E404" s="1" t="n">
        <v>46220</v>
      </c>
      <c r="F404" t="inlineStr">
        <is>
          <t>VÄSTERNORRLANDS LÄN</t>
        </is>
      </c>
      <c r="G404" t="inlineStr">
        <is>
          <t>KRAMFORS</t>
        </is>
      </c>
      <c r="I404" t="n">
        <v>3.4</v>
      </c>
      <c r="J404" t="n">
        <v>0</v>
      </c>
      <c r="K404" t="n">
        <v>0</v>
      </c>
      <c r="L404" t="n">
        <v>0</v>
      </c>
      <c r="M404" t="n">
        <v>0</v>
      </c>
      <c r="N404" t="n">
        <v>0</v>
      </c>
      <c r="O404" t="n">
        <v>0</v>
      </c>
      <c r="P404" t="n">
        <v>0</v>
      </c>
      <c r="Q404" t="n">
        <v>0</v>
      </c>
      <c r="R404" t="n">
        <v>0</v>
      </c>
      <c r="S404" t="n">
        <v>0</v>
      </c>
      <c r="T404" t="n">
        <v>0</v>
      </c>
      <c r="U404" s="2" t="inlineStr"/>
    </row>
    <row r="405" ht="15" customHeight="1">
      <c r="A405" t="inlineStr">
        <is>
          <t>A 4528-2026</t>
        </is>
      </c>
      <c r="B405" t="inlineStr">
        <is>
          <t>avverkningsanmälan</t>
        </is>
      </c>
      <c r="C405" t="inlineStr">
        <is>
          <t>Föryngringsavverkning</t>
        </is>
      </c>
      <c r="D405" s="1" t="n">
        <v>46046</v>
      </c>
      <c r="E405" s="1" t="n">
        <v>46220</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5167-2026</t>
        </is>
      </c>
      <c r="B406" t="inlineStr">
        <is>
          <t>avverkningsanmälan</t>
        </is>
      </c>
      <c r="C406" t="inlineStr">
        <is>
          <t>Föryngringsavverkning</t>
        </is>
      </c>
      <c r="D406" s="1" t="n">
        <v>46049</v>
      </c>
      <c r="E406" s="1" t="n">
        <v>46220</v>
      </c>
      <c r="F406" t="inlineStr">
        <is>
          <t>VÄSTERNORRLANDS LÄN</t>
        </is>
      </c>
      <c r="G406" t="inlineStr">
        <is>
          <t>KRAMFORS</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3735-2026</t>
        </is>
      </c>
      <c r="B407" t="inlineStr">
        <is>
          <t>avverkningsanmälan</t>
        </is>
      </c>
      <c r="C407" t="inlineStr">
        <is>
          <t>Föryngringsavverkning</t>
        </is>
      </c>
      <c r="D407" s="1" t="n">
        <v>46043</v>
      </c>
      <c r="E407" s="1" t="n">
        <v>46220</v>
      </c>
      <c r="F407" t="inlineStr">
        <is>
          <t>VÄSTERNORRLANDS LÄN</t>
        </is>
      </c>
      <c r="G407" t="inlineStr">
        <is>
          <t>KRAMFORS</t>
        </is>
      </c>
      <c r="I407" t="n">
        <v>2.3</v>
      </c>
      <c r="J407" t="n">
        <v>0</v>
      </c>
      <c r="K407" t="n">
        <v>0</v>
      </c>
      <c r="L407" t="n">
        <v>0</v>
      </c>
      <c r="M407" t="n">
        <v>0</v>
      </c>
      <c r="N407" t="n">
        <v>0</v>
      </c>
      <c r="O407" t="n">
        <v>0</v>
      </c>
      <c r="P407" t="n">
        <v>0</v>
      </c>
      <c r="Q407" t="n">
        <v>0</v>
      </c>
      <c r="R407" t="n">
        <v>0</v>
      </c>
      <c r="S407" t="n">
        <v>0</v>
      </c>
      <c r="T407" t="n">
        <v>0</v>
      </c>
      <c r="U407" s="2" t="inlineStr"/>
    </row>
    <row r="408" ht="15" customHeight="1">
      <c r="A408" t="inlineStr">
        <is>
          <t>A 4533-2026</t>
        </is>
      </c>
      <c r="B408" t="inlineStr">
        <is>
          <t>avverkningsanmälan</t>
        </is>
      </c>
      <c r="C408" t="inlineStr">
        <is>
          <t>Föryngringsavverkning</t>
        </is>
      </c>
      <c r="D408" s="1" t="n">
        <v>46046</v>
      </c>
      <c r="E408" s="1" t="n">
        <v>46220</v>
      </c>
      <c r="F408" t="inlineStr">
        <is>
          <t>VÄSTERNORRLANDS LÄN</t>
        </is>
      </c>
      <c r="G408" t="inlineStr">
        <is>
          <t>KRAMFORS</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52971-2025</t>
        </is>
      </c>
      <c r="B409" t="inlineStr">
        <is>
          <t>avverkningsanmälan</t>
        </is>
      </c>
      <c r="C409" t="inlineStr">
        <is>
          <t>Föryngringsavverkning</t>
        </is>
      </c>
      <c r="D409" s="1" t="n">
        <v>45957</v>
      </c>
      <c r="E409" s="1" t="n">
        <v>46220</v>
      </c>
      <c r="F409" t="inlineStr">
        <is>
          <t>VÄSTERNORRLANDS LÄN</t>
        </is>
      </c>
      <c r="G409" t="inlineStr">
        <is>
          <t>KRAMFORS</t>
        </is>
      </c>
      <c r="H409" t="inlineStr">
        <is>
          <t>SCA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4535-2026</t>
        </is>
      </c>
      <c r="B410" t="inlineStr">
        <is>
          <t>avverkningsanmälan</t>
        </is>
      </c>
      <c r="C410" t="inlineStr">
        <is>
          <t>Föryngringsavverkning</t>
        </is>
      </c>
      <c r="D410" s="1" t="n">
        <v>46046</v>
      </c>
      <c r="E410" s="1" t="n">
        <v>46220</v>
      </c>
      <c r="F410" t="inlineStr">
        <is>
          <t>VÄSTERNORRLANDS LÄN</t>
        </is>
      </c>
      <c r="G410" t="inlineStr">
        <is>
          <t>KRAMFORS</t>
        </is>
      </c>
      <c r="I410" t="n">
        <v>4.5</v>
      </c>
      <c r="J410" t="n">
        <v>0</v>
      </c>
      <c r="K410" t="n">
        <v>0</v>
      </c>
      <c r="L410" t="n">
        <v>0</v>
      </c>
      <c r="M410" t="n">
        <v>0</v>
      </c>
      <c r="N410" t="n">
        <v>0</v>
      </c>
      <c r="O410" t="n">
        <v>0</v>
      </c>
      <c r="P410" t="n">
        <v>0</v>
      </c>
      <c r="Q410" t="n">
        <v>0</v>
      </c>
      <c r="R410" t="n">
        <v>0</v>
      </c>
      <c r="S410" t="n">
        <v>0</v>
      </c>
      <c r="T410" t="n">
        <v>0</v>
      </c>
      <c r="U410" s="2" t="inlineStr"/>
    </row>
    <row r="411" ht="15" customHeight="1">
      <c r="A411" t="inlineStr">
        <is>
          <t>A 4555-2026</t>
        </is>
      </c>
      <c r="B411" t="inlineStr">
        <is>
          <t>avverkningsanmälan</t>
        </is>
      </c>
      <c r="C411" t="inlineStr">
        <is>
          <t>Föryngringsavverkning</t>
        </is>
      </c>
      <c r="D411" s="1" t="n">
        <v>46047</v>
      </c>
      <c r="E411" s="1" t="n">
        <v>46220</v>
      </c>
      <c r="F411" t="inlineStr">
        <is>
          <t>VÄSTERNORRLANDS LÄN</t>
        </is>
      </c>
      <c r="G411" t="inlineStr">
        <is>
          <t>KRAMFORS</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2312-2023</t>
        </is>
      </c>
      <c r="B412" t="inlineStr">
        <is>
          <t>avverkningsanmälan</t>
        </is>
      </c>
      <c r="C412" t="inlineStr">
        <is>
          <t>Föryngringsavverkning</t>
        </is>
      </c>
      <c r="D412" s="1" t="n">
        <v>44942</v>
      </c>
      <c r="E412" s="1" t="n">
        <v>46220</v>
      </c>
      <c r="F412" t="inlineStr">
        <is>
          <t>VÄSTERNORRLANDS LÄN</t>
        </is>
      </c>
      <c r="G412" t="inlineStr">
        <is>
          <t>KRAMFORS</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6446-2023</t>
        </is>
      </c>
      <c r="B413" t="inlineStr">
        <is>
          <t>avverkningsanmälan</t>
        </is>
      </c>
      <c r="C413" t="inlineStr">
        <is>
          <t>Föryngringsavverkning</t>
        </is>
      </c>
      <c r="D413" s="1" t="n">
        <v>44965</v>
      </c>
      <c r="E413" s="1" t="n">
        <v>46220</v>
      </c>
      <c r="F413" t="inlineStr">
        <is>
          <t>VÄSTERNORRLANDS LÄN</t>
        </is>
      </c>
      <c r="G413" t="inlineStr">
        <is>
          <t>KRAMFORS</t>
        </is>
      </c>
      <c r="I413" t="n">
        <v>3.8</v>
      </c>
      <c r="J413" t="n">
        <v>0</v>
      </c>
      <c r="K413" t="n">
        <v>0</v>
      </c>
      <c r="L413" t="n">
        <v>0</v>
      </c>
      <c r="M413" t="n">
        <v>0</v>
      </c>
      <c r="N413" t="n">
        <v>0</v>
      </c>
      <c r="O413" t="n">
        <v>0</v>
      </c>
      <c r="P413" t="n">
        <v>0</v>
      </c>
      <c r="Q413" t="n">
        <v>0</v>
      </c>
      <c r="R413" t="n">
        <v>0</v>
      </c>
      <c r="S413" t="n">
        <v>0</v>
      </c>
      <c r="T413" t="n">
        <v>0</v>
      </c>
      <c r="U413" s="2" t="inlineStr"/>
    </row>
    <row r="414" ht="15" customHeight="1">
      <c r="A414" t="inlineStr">
        <is>
          <t>A 6449-2023</t>
        </is>
      </c>
      <c r="B414" t="inlineStr">
        <is>
          <t>avverkningsanmälan</t>
        </is>
      </c>
      <c r="C414" t="inlineStr">
        <is>
          <t>Föryngringsavverkning</t>
        </is>
      </c>
      <c r="D414" s="1" t="n">
        <v>44965</v>
      </c>
      <c r="E414" s="1" t="n">
        <v>46220</v>
      </c>
      <c r="F414" t="inlineStr">
        <is>
          <t>VÄSTERNORRLANDS LÄN</t>
        </is>
      </c>
      <c r="G414" t="inlineStr">
        <is>
          <t>KRAMFORS</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7934-2025</t>
        </is>
      </c>
      <c r="B415" t="inlineStr">
        <is>
          <t>avverkningsanmälan</t>
        </is>
      </c>
      <c r="C415" t="inlineStr">
        <is>
          <t>Föryngringsavverkning</t>
        </is>
      </c>
      <c r="D415" s="1" t="n">
        <v>45707</v>
      </c>
      <c r="E415" s="1" t="n">
        <v>46220</v>
      </c>
      <c r="F415" t="inlineStr">
        <is>
          <t>VÄSTERNORRLANDS LÄN</t>
        </is>
      </c>
      <c r="G415" t="inlineStr">
        <is>
          <t>KRAMFORS</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6132-2026</t>
        </is>
      </c>
      <c r="B416" t="inlineStr">
        <is>
          <t>avverkningsanmälan</t>
        </is>
      </c>
      <c r="C416" t="inlineStr">
        <is>
          <t>Avverkning för att bevara och utveckla /försöksver</t>
        </is>
      </c>
      <c r="D416" s="1" t="n">
        <v>46054</v>
      </c>
      <c r="E416" s="1" t="n">
        <v>46220</v>
      </c>
      <c r="F416" t="inlineStr">
        <is>
          <t>VÄSTERNORRLANDS LÄN</t>
        </is>
      </c>
      <c r="G416" t="inlineStr">
        <is>
          <t>KRAMFORS</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53790-2025</t>
        </is>
      </c>
      <c r="B417" t="inlineStr">
        <is>
          <t>avverkningsanmälan</t>
        </is>
      </c>
      <c r="C417" t="inlineStr">
        <is>
          <t>Föryngringsavverkning</t>
        </is>
      </c>
      <c r="D417" s="1" t="n">
        <v>45960</v>
      </c>
      <c r="E417" s="1" t="n">
        <v>46220</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54185-2025</t>
        </is>
      </c>
      <c r="B418" t="inlineStr">
        <is>
          <t>avverkningsanmälan</t>
        </is>
      </c>
      <c r="C418" t="inlineStr">
        <is>
          <t>Föryngringsavverkning</t>
        </is>
      </c>
      <c r="D418" s="1" t="n">
        <v>45964</v>
      </c>
      <c r="E418" s="1" t="n">
        <v>46220</v>
      </c>
      <c r="F418" t="inlineStr">
        <is>
          <t>VÄSTERNORRLANDS LÄN</t>
        </is>
      </c>
      <c r="G418" t="inlineStr">
        <is>
          <t>KRAMFORS</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54188-2025</t>
        </is>
      </c>
      <c r="B419" t="inlineStr">
        <is>
          <t>avverkningsanmälan</t>
        </is>
      </c>
      <c r="C419" t="inlineStr">
        <is>
          <t>Föryngringsavverkning</t>
        </is>
      </c>
      <c r="D419" s="1" t="n">
        <v>45964</v>
      </c>
      <c r="E419" s="1" t="n">
        <v>46220</v>
      </c>
      <c r="F419" t="inlineStr">
        <is>
          <t>VÄSTERNORRLANDS LÄN</t>
        </is>
      </c>
      <c r="G419" t="inlineStr">
        <is>
          <t>KRAMFORS</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54273-2025</t>
        </is>
      </c>
      <c r="B420" t="inlineStr">
        <is>
          <t>avverkningsanmälan</t>
        </is>
      </c>
      <c r="C420" t="inlineStr">
        <is>
          <t>Föryngringsavverkning</t>
        </is>
      </c>
      <c r="D420" s="1" t="n">
        <v>45964</v>
      </c>
      <c r="E420" s="1" t="n">
        <v>46220</v>
      </c>
      <c r="F420" t="inlineStr">
        <is>
          <t>VÄSTERNORRLANDS LÄN</t>
        </is>
      </c>
      <c r="G420" t="inlineStr">
        <is>
          <t>KRAMFORS</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4531-2026</t>
        </is>
      </c>
      <c r="B421" t="inlineStr">
        <is>
          <t>avverkningsanmälan</t>
        </is>
      </c>
      <c r="C421" t="inlineStr">
        <is>
          <t>Föryngringsavverkning</t>
        </is>
      </c>
      <c r="D421" s="1" t="n">
        <v>46046</v>
      </c>
      <c r="E421" s="1" t="n">
        <v>46220</v>
      </c>
      <c r="F421" t="inlineStr">
        <is>
          <t>VÄSTERNORRLANDS LÄN</t>
        </is>
      </c>
      <c r="G421" t="inlineStr">
        <is>
          <t>KRAMFORS</t>
        </is>
      </c>
      <c r="I421" t="n">
        <v>10.2</v>
      </c>
      <c r="J421" t="n">
        <v>0</v>
      </c>
      <c r="K421" t="n">
        <v>0</v>
      </c>
      <c r="L421" t="n">
        <v>0</v>
      </c>
      <c r="M421" t="n">
        <v>0</v>
      </c>
      <c r="N421" t="n">
        <v>0</v>
      </c>
      <c r="O421" t="n">
        <v>0</v>
      </c>
      <c r="P421" t="n">
        <v>0</v>
      </c>
      <c r="Q421" t="n">
        <v>0</v>
      </c>
      <c r="R421" t="n">
        <v>0</v>
      </c>
      <c r="S421" t="n">
        <v>0</v>
      </c>
      <c r="T421" t="n">
        <v>0</v>
      </c>
      <c r="U421" s="2" t="inlineStr"/>
    </row>
    <row r="422" ht="15" customHeight="1">
      <c r="A422" t="inlineStr">
        <is>
          <t>A 6131-2026</t>
        </is>
      </c>
      <c r="B422" t="inlineStr">
        <is>
          <t>avverkningsanmälan</t>
        </is>
      </c>
      <c r="C422" t="inlineStr">
        <is>
          <t>Föryngringsavverkning</t>
        </is>
      </c>
      <c r="D422" s="1" t="n">
        <v>46054</v>
      </c>
      <c r="E422" s="1" t="n">
        <v>46220</v>
      </c>
      <c r="F422" t="inlineStr">
        <is>
          <t>VÄSTERNORRLANDS LÄN</t>
        </is>
      </c>
      <c r="G422" t="inlineStr">
        <is>
          <t>KRAMFORS</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6133-2026</t>
        </is>
      </c>
      <c r="B423" t="inlineStr">
        <is>
          <t>avverkningsanmälan</t>
        </is>
      </c>
      <c r="C423" t="inlineStr">
        <is>
          <t>Avverkning för att bevara och utveckla /försöksver</t>
        </is>
      </c>
      <c r="D423" s="1" t="n">
        <v>46054</v>
      </c>
      <c r="E423" s="1" t="n">
        <v>46220</v>
      </c>
      <c r="F423" t="inlineStr">
        <is>
          <t>VÄSTERNORRLANDS LÄN</t>
        </is>
      </c>
      <c r="G423" t="inlineStr">
        <is>
          <t>KRAMFORS</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54068-2025</t>
        </is>
      </c>
      <c r="B424" t="inlineStr">
        <is>
          <t>avverkningsanmälan</t>
        </is>
      </c>
      <c r="C424" t="inlineStr">
        <is>
          <t>Föryngringsavverkning</t>
        </is>
      </c>
      <c r="D424" s="1" t="n">
        <v>45964</v>
      </c>
      <c r="E424" s="1" t="n">
        <v>46220</v>
      </c>
      <c r="F424" t="inlineStr">
        <is>
          <t>VÄSTERNORRLANDS LÄN</t>
        </is>
      </c>
      <c r="G424" t="inlineStr">
        <is>
          <t>KRAMFORS</t>
        </is>
      </c>
      <c r="H424" t="inlineStr">
        <is>
          <t>SCA</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54103-2025</t>
        </is>
      </c>
      <c r="B425" t="inlineStr">
        <is>
          <t>avverkningsanmälan</t>
        </is>
      </c>
      <c r="C425" t="inlineStr">
        <is>
          <t>Föryngringsavverkning</t>
        </is>
      </c>
      <c r="D425" s="1" t="n">
        <v>45964</v>
      </c>
      <c r="E425" s="1" t="n">
        <v>46220</v>
      </c>
      <c r="F425" t="inlineStr">
        <is>
          <t>VÄSTERNORRLANDS LÄN</t>
        </is>
      </c>
      <c r="G425" t="inlineStr">
        <is>
          <t>KRAMFORS</t>
        </is>
      </c>
      <c r="H425" t="inlineStr">
        <is>
          <t>SCA</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54184-2025</t>
        </is>
      </c>
      <c r="B426" t="inlineStr">
        <is>
          <t>avverkningsanmälan</t>
        </is>
      </c>
      <c r="C426" t="inlineStr">
        <is>
          <t>Föryngringsavverkning</t>
        </is>
      </c>
      <c r="D426" s="1" t="n">
        <v>45964</v>
      </c>
      <c r="E426" s="1" t="n">
        <v>46220</v>
      </c>
      <c r="F426" t="inlineStr">
        <is>
          <t>VÄSTERNORRLANDS LÄN</t>
        </is>
      </c>
      <c r="G426" t="inlineStr">
        <is>
          <t>KRAMFORS</t>
        </is>
      </c>
      <c r="I426" t="n">
        <v>6.3</v>
      </c>
      <c r="J426" t="n">
        <v>0</v>
      </c>
      <c r="K426" t="n">
        <v>0</v>
      </c>
      <c r="L426" t="n">
        <v>0</v>
      </c>
      <c r="M426" t="n">
        <v>0</v>
      </c>
      <c r="N426" t="n">
        <v>0</v>
      </c>
      <c r="O426" t="n">
        <v>0</v>
      </c>
      <c r="P426" t="n">
        <v>0</v>
      </c>
      <c r="Q426" t="n">
        <v>0</v>
      </c>
      <c r="R426" t="n">
        <v>0</v>
      </c>
      <c r="S426" t="n">
        <v>0</v>
      </c>
      <c r="T426" t="n">
        <v>0</v>
      </c>
      <c r="U426" s="2" t="inlineStr"/>
    </row>
    <row r="427" ht="15" customHeight="1">
      <c r="A427" t="inlineStr">
        <is>
          <t>A 54069-2025</t>
        </is>
      </c>
      <c r="B427" t="inlineStr">
        <is>
          <t>avverkningsanmälan</t>
        </is>
      </c>
      <c r="C427" t="inlineStr">
        <is>
          <t>Föryngringsavverkning</t>
        </is>
      </c>
      <c r="D427" s="1" t="n">
        <v>45964</v>
      </c>
      <c r="E427" s="1" t="n">
        <v>46220</v>
      </c>
      <c r="F427" t="inlineStr">
        <is>
          <t>VÄSTERNORRLANDS LÄN</t>
        </is>
      </c>
      <c r="G427" t="inlineStr">
        <is>
          <t>KRAMFORS</t>
        </is>
      </c>
      <c r="H427" t="inlineStr">
        <is>
          <t>SCA</t>
        </is>
      </c>
      <c r="I427" t="n">
        <v>3.2</v>
      </c>
      <c r="J427" t="n">
        <v>0</v>
      </c>
      <c r="K427" t="n">
        <v>0</v>
      </c>
      <c r="L427" t="n">
        <v>0</v>
      </c>
      <c r="M427" t="n">
        <v>0</v>
      </c>
      <c r="N427" t="n">
        <v>0</v>
      </c>
      <c r="O427" t="n">
        <v>0</v>
      </c>
      <c r="P427" t="n">
        <v>0</v>
      </c>
      <c r="Q427" t="n">
        <v>0</v>
      </c>
      <c r="R427" t="n">
        <v>0</v>
      </c>
      <c r="S427" t="n">
        <v>0</v>
      </c>
      <c r="T427" t="n">
        <v>0</v>
      </c>
      <c r="U427" s="2" t="inlineStr"/>
    </row>
    <row r="428" ht="15" customHeight="1">
      <c r="A428" t="inlineStr">
        <is>
          <t>A 54187-2025</t>
        </is>
      </c>
      <c r="B428" t="inlineStr">
        <is>
          <t>avverkningsanmälan</t>
        </is>
      </c>
      <c r="C428" t="inlineStr">
        <is>
          <t>Föryngringsavverkning</t>
        </is>
      </c>
      <c r="D428" s="1" t="n">
        <v>45964</v>
      </c>
      <c r="E428" s="1" t="n">
        <v>46220</v>
      </c>
      <c r="F428" t="inlineStr">
        <is>
          <t>VÄSTERNORRLANDS LÄN</t>
        </is>
      </c>
      <c r="G428" t="inlineStr">
        <is>
          <t>KRAMFORS</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4530-2026</t>
        </is>
      </c>
      <c r="B429" t="inlineStr">
        <is>
          <t>avverkningsanmälan</t>
        </is>
      </c>
      <c r="C429" t="inlineStr">
        <is>
          <t>Föryngringsavverkning</t>
        </is>
      </c>
      <c r="D429" s="1" t="n">
        <v>46046</v>
      </c>
      <c r="E429" s="1" t="n">
        <v>46220</v>
      </c>
      <c r="F429" t="inlineStr">
        <is>
          <t>VÄSTERNORRLANDS LÄN</t>
        </is>
      </c>
      <c r="G429" t="inlineStr">
        <is>
          <t>KRAMFORS</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51528-2025</t>
        </is>
      </c>
      <c r="B430" t="inlineStr">
        <is>
          <t>avverkningsanmälan</t>
        </is>
      </c>
      <c r="C430" t="inlineStr">
        <is>
          <t>Föryngringsavverkning</t>
        </is>
      </c>
      <c r="D430" s="1" t="n">
        <v>45950</v>
      </c>
      <c r="E430" s="1" t="n">
        <v>46220</v>
      </c>
      <c r="F430" t="inlineStr">
        <is>
          <t>VÄSTERNORRLANDS LÄN</t>
        </is>
      </c>
      <c r="G430" t="inlineStr">
        <is>
          <t>KRAMFORS</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51519-2025</t>
        </is>
      </c>
      <c r="B431" t="inlineStr">
        <is>
          <t>avverkningsanmälan</t>
        </is>
      </c>
      <c r="C431" t="inlineStr">
        <is>
          <t>Föryngringsavverkning</t>
        </is>
      </c>
      <c r="D431" s="1" t="n">
        <v>45950</v>
      </c>
      <c r="E431" s="1" t="n">
        <v>46220</v>
      </c>
      <c r="F431" t="inlineStr">
        <is>
          <t>VÄSTERNORRLANDS LÄN</t>
        </is>
      </c>
      <c r="G431" t="inlineStr">
        <is>
          <t>KRAMFORS</t>
        </is>
      </c>
      <c r="I431" t="n">
        <v>14.9</v>
      </c>
      <c r="J431" t="n">
        <v>0</v>
      </c>
      <c r="K431" t="n">
        <v>0</v>
      </c>
      <c r="L431" t="n">
        <v>0</v>
      </c>
      <c r="M431" t="n">
        <v>0</v>
      </c>
      <c r="N431" t="n">
        <v>0</v>
      </c>
      <c r="O431" t="n">
        <v>0</v>
      </c>
      <c r="P431" t="n">
        <v>0</v>
      </c>
      <c r="Q431" t="n">
        <v>0</v>
      </c>
      <c r="R431" t="n">
        <v>0</v>
      </c>
      <c r="S431" t="n">
        <v>0</v>
      </c>
      <c r="T431" t="n">
        <v>0</v>
      </c>
      <c r="U431" s="2" t="inlineStr"/>
    </row>
    <row r="432" ht="15" customHeight="1">
      <c r="A432" t="inlineStr">
        <is>
          <t>A 4272-2024</t>
        </is>
      </c>
      <c r="B432" t="inlineStr">
        <is>
          <t>avverkningsanmälan</t>
        </is>
      </c>
      <c r="C432" t="inlineStr">
        <is>
          <t>Föryngringsavverkning</t>
        </is>
      </c>
      <c r="D432" s="1" t="n">
        <v>45324</v>
      </c>
      <c r="E432" s="1" t="n">
        <v>46220</v>
      </c>
      <c r="F432" t="inlineStr">
        <is>
          <t>VÄSTERNORRLANDS LÄN</t>
        </is>
      </c>
      <c r="G432" t="inlineStr">
        <is>
          <t>KRAMFORS</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3887-2023</t>
        </is>
      </c>
      <c r="B433" t="inlineStr">
        <is>
          <t>avverkningsanmälan</t>
        </is>
      </c>
      <c r="C433" t="inlineStr">
        <is>
          <t>Föryngringsavverkning</t>
        </is>
      </c>
      <c r="D433" s="1" t="n">
        <v>44951</v>
      </c>
      <c r="E433" s="1" t="n">
        <v>46220</v>
      </c>
      <c r="F433" t="inlineStr">
        <is>
          <t>VÄSTERNORRLANDS LÄN</t>
        </is>
      </c>
      <c r="G433" t="inlineStr">
        <is>
          <t>KRAMFORS</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39121-2025</t>
        </is>
      </c>
      <c r="B434" t="inlineStr">
        <is>
          <t>avverkningsanmälan</t>
        </is>
      </c>
      <c r="C434" t="inlineStr">
        <is>
          <t>Föryngringsavverkning</t>
        </is>
      </c>
      <c r="D434" s="1" t="n">
        <v>45884</v>
      </c>
      <c r="E434" s="1" t="n">
        <v>46220</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3945-2025</t>
        </is>
      </c>
      <c r="B435" t="inlineStr">
        <is>
          <t>avverkningsanmälan</t>
        </is>
      </c>
      <c r="C435" t="inlineStr">
        <is>
          <t>Föryngringsavverkning</t>
        </is>
      </c>
      <c r="D435" s="1" t="n">
        <v>45684</v>
      </c>
      <c r="E435" s="1" t="n">
        <v>46220</v>
      </c>
      <c r="F435" t="inlineStr">
        <is>
          <t>VÄSTERNORRLANDS LÄN</t>
        </is>
      </c>
      <c r="G435" t="inlineStr">
        <is>
          <t>KRAMFORS</t>
        </is>
      </c>
      <c r="I435" t="n">
        <v>5.3</v>
      </c>
      <c r="J435" t="n">
        <v>0</v>
      </c>
      <c r="K435" t="n">
        <v>0</v>
      </c>
      <c r="L435" t="n">
        <v>0</v>
      </c>
      <c r="M435" t="n">
        <v>0</v>
      </c>
      <c r="N435" t="n">
        <v>0</v>
      </c>
      <c r="O435" t="n">
        <v>0</v>
      </c>
      <c r="P435" t="n">
        <v>0</v>
      </c>
      <c r="Q435" t="n">
        <v>0</v>
      </c>
      <c r="R435" t="n">
        <v>0</v>
      </c>
      <c r="S435" t="n">
        <v>0</v>
      </c>
      <c r="T435" t="n">
        <v>0</v>
      </c>
      <c r="U435" s="2" t="inlineStr"/>
    </row>
    <row r="436" ht="15" customHeight="1">
      <c r="A436" t="inlineStr">
        <is>
          <t>A 55157-2025</t>
        </is>
      </c>
      <c r="B436" t="inlineStr">
        <is>
          <t>avverkningsanmälan</t>
        </is>
      </c>
      <c r="C436" t="inlineStr">
        <is>
          <t>Föryngringsavverkning</t>
        </is>
      </c>
      <c r="D436" s="1" t="n">
        <v>45968</v>
      </c>
      <c r="E436" s="1" t="n">
        <v>46220</v>
      </c>
      <c r="F436" t="inlineStr">
        <is>
          <t>VÄSTERNORRLANDS LÄN</t>
        </is>
      </c>
      <c r="G436" t="inlineStr">
        <is>
          <t>KRAMFORS</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55148-2025</t>
        </is>
      </c>
      <c r="B437" t="inlineStr">
        <is>
          <t>avverkningsanmälan</t>
        </is>
      </c>
      <c r="C437" t="inlineStr">
        <is>
          <t>Föryngringsavverkning</t>
        </is>
      </c>
      <c r="D437" s="1" t="n">
        <v>45968</v>
      </c>
      <c r="E437" s="1" t="n">
        <v>46220</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55332-2025</t>
        </is>
      </c>
      <c r="B438" t="inlineStr">
        <is>
          <t>avverkningsanmälan</t>
        </is>
      </c>
      <c r="C438" t="inlineStr">
        <is>
          <t>Föryngringsavverkning</t>
        </is>
      </c>
      <c r="D438" s="1" t="n">
        <v>45971</v>
      </c>
      <c r="E438" s="1" t="n">
        <v>46220</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16809-2025</t>
        </is>
      </c>
      <c r="B439" t="inlineStr">
        <is>
          <t>avverkningsanmälan</t>
        </is>
      </c>
      <c r="C439" t="inlineStr">
        <is>
          <t>Avverkning för annat ändamål</t>
        </is>
      </c>
      <c r="D439" s="1" t="n">
        <v>45754</v>
      </c>
      <c r="E439" s="1" t="n">
        <v>46220</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56337-2025</t>
        </is>
      </c>
      <c r="B440" t="inlineStr">
        <is>
          <t>avverkningsanmälan</t>
        </is>
      </c>
      <c r="C440" t="inlineStr">
        <is>
          <t>Föryngringsavverkning</t>
        </is>
      </c>
      <c r="D440" s="1" t="n">
        <v>45974</v>
      </c>
      <c r="E440" s="1" t="n">
        <v>46220</v>
      </c>
      <c r="F440" t="inlineStr">
        <is>
          <t>VÄSTERNORRLANDS LÄN</t>
        </is>
      </c>
      <c r="G440" t="inlineStr">
        <is>
          <t>KRAMFORS</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34200-2024</t>
        </is>
      </c>
      <c r="B441" t="inlineStr">
        <is>
          <t>avverkningsanmälan</t>
        </is>
      </c>
      <c r="C441" t="inlineStr">
        <is>
          <t>Föryngringsavverkning</t>
        </is>
      </c>
      <c r="D441" s="1" t="n">
        <v>45524</v>
      </c>
      <c r="E441" s="1" t="n">
        <v>46220</v>
      </c>
      <c r="F441" t="inlineStr">
        <is>
          <t>VÄSTERNORRLANDS LÄN</t>
        </is>
      </c>
      <c r="G441" t="inlineStr">
        <is>
          <t>KRAMFORS</t>
        </is>
      </c>
      <c r="I441" t="n">
        <v>3.9</v>
      </c>
      <c r="J441" t="n">
        <v>0</v>
      </c>
      <c r="K441" t="n">
        <v>0</v>
      </c>
      <c r="L441" t="n">
        <v>0</v>
      </c>
      <c r="M441" t="n">
        <v>0</v>
      </c>
      <c r="N441" t="n">
        <v>0</v>
      </c>
      <c r="O441" t="n">
        <v>0</v>
      </c>
      <c r="P441" t="n">
        <v>0</v>
      </c>
      <c r="Q441" t="n">
        <v>0</v>
      </c>
      <c r="R441" t="n">
        <v>0</v>
      </c>
      <c r="S441" t="n">
        <v>0</v>
      </c>
      <c r="T441" t="n">
        <v>0</v>
      </c>
      <c r="U441" s="2" t="inlineStr"/>
    </row>
    <row r="442" ht="15" customHeight="1">
      <c r="A442" t="inlineStr">
        <is>
          <t>A 56361-2025</t>
        </is>
      </c>
      <c r="B442" t="inlineStr">
        <is>
          <t>avverkningsanmälan</t>
        </is>
      </c>
      <c r="C442" t="inlineStr">
        <is>
          <t>Föryngringsavverkning</t>
        </is>
      </c>
      <c r="D442" s="1" t="n">
        <v>45974</v>
      </c>
      <c r="E442" s="1" t="n">
        <v>46220</v>
      </c>
      <c r="F442" t="inlineStr">
        <is>
          <t>VÄSTERNORRLANDS LÄN</t>
        </is>
      </c>
      <c r="G442" t="inlineStr">
        <is>
          <t>KRAMFORS</t>
        </is>
      </c>
      <c r="I442" t="n">
        <v>8</v>
      </c>
      <c r="J442" t="n">
        <v>0</v>
      </c>
      <c r="K442" t="n">
        <v>0</v>
      </c>
      <c r="L442" t="n">
        <v>0</v>
      </c>
      <c r="M442" t="n">
        <v>0</v>
      </c>
      <c r="N442" t="n">
        <v>0</v>
      </c>
      <c r="O442" t="n">
        <v>0</v>
      </c>
      <c r="P442" t="n">
        <v>0</v>
      </c>
      <c r="Q442" t="n">
        <v>0</v>
      </c>
      <c r="R442" t="n">
        <v>0</v>
      </c>
      <c r="S442" t="n">
        <v>0</v>
      </c>
      <c r="T442" t="n">
        <v>0</v>
      </c>
      <c r="U442" s="2" t="inlineStr"/>
    </row>
    <row r="443" ht="15" customHeight="1">
      <c r="A443" t="inlineStr">
        <is>
          <t>A 56362-2025</t>
        </is>
      </c>
      <c r="B443" t="inlineStr">
        <is>
          <t>avverkningsanmälan</t>
        </is>
      </c>
      <c r="C443" t="inlineStr">
        <is>
          <t>Föryngringsavverkning</t>
        </is>
      </c>
      <c r="D443" s="1" t="n">
        <v>45974</v>
      </c>
      <c r="E443" s="1" t="n">
        <v>46220</v>
      </c>
      <c r="F443" t="inlineStr">
        <is>
          <t>VÄSTERNORRLANDS LÄN</t>
        </is>
      </c>
      <c r="G443" t="inlineStr">
        <is>
          <t>KRAMFORS</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56359-2025</t>
        </is>
      </c>
      <c r="B444" t="inlineStr">
        <is>
          <t>avverkningsanmälan</t>
        </is>
      </c>
      <c r="C444" t="inlineStr">
        <is>
          <t>Föryngringsavverkning</t>
        </is>
      </c>
      <c r="D444" s="1" t="n">
        <v>45974</v>
      </c>
      <c r="E444" s="1" t="n">
        <v>46220</v>
      </c>
      <c r="F444" t="inlineStr">
        <is>
          <t>VÄSTERNORRLANDS LÄN</t>
        </is>
      </c>
      <c r="G444" t="inlineStr">
        <is>
          <t>KRAMFORS</t>
        </is>
      </c>
      <c r="I444" t="n">
        <v>5.3</v>
      </c>
      <c r="J444" t="n">
        <v>0</v>
      </c>
      <c r="K444" t="n">
        <v>0</v>
      </c>
      <c r="L444" t="n">
        <v>0</v>
      </c>
      <c r="M444" t="n">
        <v>0</v>
      </c>
      <c r="N444" t="n">
        <v>0</v>
      </c>
      <c r="O444" t="n">
        <v>0</v>
      </c>
      <c r="P444" t="n">
        <v>0</v>
      </c>
      <c r="Q444" t="n">
        <v>0</v>
      </c>
      <c r="R444" t="n">
        <v>0</v>
      </c>
      <c r="S444" t="n">
        <v>0</v>
      </c>
      <c r="T444" t="n">
        <v>0</v>
      </c>
      <c r="U444" s="2" t="inlineStr"/>
    </row>
    <row r="445" ht="15" customHeight="1">
      <c r="A445" t="inlineStr">
        <is>
          <t>A 58786-2023</t>
        </is>
      </c>
      <c r="B445" t="inlineStr">
        <is>
          <t>avverkningsanmälan</t>
        </is>
      </c>
      <c r="C445" t="inlineStr">
        <is>
          <t>Föryngringsavverkning</t>
        </is>
      </c>
      <c r="D445" s="1" t="n">
        <v>45247</v>
      </c>
      <c r="E445" s="1" t="n">
        <v>46220</v>
      </c>
      <c r="F445" t="inlineStr">
        <is>
          <t>VÄSTERNORRLANDS LÄN</t>
        </is>
      </c>
      <c r="G445" t="inlineStr">
        <is>
          <t>KRAMFORS</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56339-2025</t>
        </is>
      </c>
      <c r="B446" t="inlineStr">
        <is>
          <t>avverkningsanmälan</t>
        </is>
      </c>
      <c r="C446" t="inlineStr">
        <is>
          <t>Föryngringsavverkning</t>
        </is>
      </c>
      <c r="D446" s="1" t="n">
        <v>45974</v>
      </c>
      <c r="E446" s="1" t="n">
        <v>46220</v>
      </c>
      <c r="F446" t="inlineStr">
        <is>
          <t>VÄSTERNORRLANDS LÄN</t>
        </is>
      </c>
      <c r="G446" t="inlineStr">
        <is>
          <t>KRAMFORS</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A 47966-2024</t>
        </is>
      </c>
      <c r="B447" t="inlineStr">
        <is>
          <t>avverkningsanmälan</t>
        </is>
      </c>
      <c r="C447" t="inlineStr">
        <is>
          <t>Föryngringsavverkning</t>
        </is>
      </c>
      <c r="D447" s="1" t="n">
        <v>45589</v>
      </c>
      <c r="E447" s="1" t="n">
        <v>46220</v>
      </c>
      <c r="F447" t="inlineStr">
        <is>
          <t>VÄSTERNORRLANDS LÄN</t>
        </is>
      </c>
      <c r="G447" t="inlineStr">
        <is>
          <t>KRAMFORS</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56355-2025</t>
        </is>
      </c>
      <c r="B448" t="inlineStr">
        <is>
          <t>avverkningsanmälan</t>
        </is>
      </c>
      <c r="C448" t="inlineStr">
        <is>
          <t>Föryngringsavverkning</t>
        </is>
      </c>
      <c r="D448" s="1" t="n">
        <v>45974</v>
      </c>
      <c r="E448" s="1" t="n">
        <v>46220</v>
      </c>
      <c r="F448" t="inlineStr">
        <is>
          <t>VÄSTERNORRLANDS LÄN</t>
        </is>
      </c>
      <c r="G448" t="inlineStr">
        <is>
          <t>KRAMFORS</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56358-2025</t>
        </is>
      </c>
      <c r="B449" t="inlineStr">
        <is>
          <t>avverkningsanmälan</t>
        </is>
      </c>
      <c r="C449" t="inlineStr">
        <is>
          <t>Föryngringsavverkning</t>
        </is>
      </c>
      <c r="D449" s="1" t="n">
        <v>45974</v>
      </c>
      <c r="E449" s="1" t="n">
        <v>46220</v>
      </c>
      <c r="F449" t="inlineStr">
        <is>
          <t>VÄSTERNORRLANDS LÄN</t>
        </is>
      </c>
      <c r="G449" t="inlineStr">
        <is>
          <t>KRAMFORS</t>
        </is>
      </c>
      <c r="I449" t="n">
        <v>5.3</v>
      </c>
      <c r="J449" t="n">
        <v>0</v>
      </c>
      <c r="K449" t="n">
        <v>0</v>
      </c>
      <c r="L449" t="n">
        <v>0</v>
      </c>
      <c r="M449" t="n">
        <v>0</v>
      </c>
      <c r="N449" t="n">
        <v>0</v>
      </c>
      <c r="O449" t="n">
        <v>0</v>
      </c>
      <c r="P449" t="n">
        <v>0</v>
      </c>
      <c r="Q449" t="n">
        <v>0</v>
      </c>
      <c r="R449" t="n">
        <v>0</v>
      </c>
      <c r="S449" t="n">
        <v>0</v>
      </c>
      <c r="T449" t="n">
        <v>0</v>
      </c>
      <c r="U449" s="2" t="inlineStr"/>
    </row>
    <row r="450" ht="15" customHeight="1">
      <c r="A450" t="inlineStr">
        <is>
          <t>A 56156-2025</t>
        </is>
      </c>
      <c r="B450" t="inlineStr">
        <is>
          <t>avverkningsanmälan</t>
        </is>
      </c>
      <c r="C450" t="inlineStr">
        <is>
          <t>Föryngringsavverkning</t>
        </is>
      </c>
      <c r="D450" s="1" t="n">
        <v>45974</v>
      </c>
      <c r="E450" s="1" t="n">
        <v>46220</v>
      </c>
      <c r="F450" t="inlineStr">
        <is>
          <t>VÄSTERNORRLANDS LÄN</t>
        </is>
      </c>
      <c r="G450" t="inlineStr">
        <is>
          <t>KRAMFORS</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57247-2025</t>
        </is>
      </c>
      <c r="B451" t="inlineStr">
        <is>
          <t>avverkningsanmälan</t>
        </is>
      </c>
      <c r="C451" t="inlineStr">
        <is>
          <t>Föryngringsavverkning</t>
        </is>
      </c>
      <c r="D451" s="1" t="n">
        <v>45979</v>
      </c>
      <c r="E451" s="1" t="n">
        <v>46220</v>
      </c>
      <c r="F451" t="inlineStr">
        <is>
          <t>VÄSTERNORRLANDS LÄN</t>
        </is>
      </c>
      <c r="G451" t="inlineStr">
        <is>
          <t>KRAMFORS</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57058-2025</t>
        </is>
      </c>
      <c r="B452" t="inlineStr">
        <is>
          <t>avverkningsanmälan</t>
        </is>
      </c>
      <c r="C452" t="inlineStr">
        <is>
          <t>Föryngringsavverkning</t>
        </is>
      </c>
      <c r="D452" s="1" t="n">
        <v>45979</v>
      </c>
      <c r="E452" s="1" t="n">
        <v>46220</v>
      </c>
      <c r="F452" t="inlineStr">
        <is>
          <t>VÄSTERNORRLANDS LÄN</t>
        </is>
      </c>
      <c r="G452" t="inlineStr">
        <is>
          <t>KRAMFORS</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57147-2025</t>
        </is>
      </c>
      <c r="B453" t="inlineStr">
        <is>
          <t>avverkningsanmälan</t>
        </is>
      </c>
      <c r="C453" t="inlineStr">
        <is>
          <t>Föryngringsavverkning</t>
        </is>
      </c>
      <c r="D453" s="1" t="n">
        <v>45979</v>
      </c>
      <c r="E453" s="1" t="n">
        <v>46220</v>
      </c>
      <c r="F453" t="inlineStr">
        <is>
          <t>VÄSTERNORRLANDS LÄN</t>
        </is>
      </c>
      <c r="G453" t="inlineStr">
        <is>
          <t>KRAMFORS</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57148-2025</t>
        </is>
      </c>
      <c r="B454" t="inlineStr">
        <is>
          <t>avverkningsanmälan</t>
        </is>
      </c>
      <c r="C454" t="inlineStr">
        <is>
          <t>Föryngringsavverkning</t>
        </is>
      </c>
      <c r="D454" s="1" t="n">
        <v>45979</v>
      </c>
      <c r="E454" s="1" t="n">
        <v>46220</v>
      </c>
      <c r="F454" t="inlineStr">
        <is>
          <t>VÄSTERNORRLANDS LÄN</t>
        </is>
      </c>
      <c r="G454" t="inlineStr">
        <is>
          <t>KRAMFORS</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57029-2025</t>
        </is>
      </c>
      <c r="B455" t="inlineStr">
        <is>
          <t>avverkningsanmälan</t>
        </is>
      </c>
      <c r="C455" t="inlineStr">
        <is>
          <t>Föryngringsavverkning</t>
        </is>
      </c>
      <c r="D455" s="1" t="n">
        <v>45979</v>
      </c>
      <c r="E455" s="1" t="n">
        <v>46220</v>
      </c>
      <c r="F455" t="inlineStr">
        <is>
          <t>VÄSTERNORRLANDS LÄN</t>
        </is>
      </c>
      <c r="G455" t="inlineStr">
        <is>
          <t>KRAMFORS</t>
        </is>
      </c>
      <c r="I455" t="n">
        <v>6.2</v>
      </c>
      <c r="J455" t="n">
        <v>0</v>
      </c>
      <c r="K455" t="n">
        <v>0</v>
      </c>
      <c r="L455" t="n">
        <v>0</v>
      </c>
      <c r="M455" t="n">
        <v>0</v>
      </c>
      <c r="N455" t="n">
        <v>0</v>
      </c>
      <c r="O455" t="n">
        <v>0</v>
      </c>
      <c r="P455" t="n">
        <v>0</v>
      </c>
      <c r="Q455" t="n">
        <v>0</v>
      </c>
      <c r="R455" t="n">
        <v>0</v>
      </c>
      <c r="S455" t="n">
        <v>0</v>
      </c>
      <c r="T455" t="n">
        <v>0</v>
      </c>
      <c r="U455" s="2" t="inlineStr"/>
    </row>
    <row r="456" ht="15" customHeight="1">
      <c r="A456" t="inlineStr">
        <is>
          <t>A 57069-2025</t>
        </is>
      </c>
      <c r="B456" t="inlineStr">
        <is>
          <t>avverkningsanmälan</t>
        </is>
      </c>
      <c r="C456" t="inlineStr">
        <is>
          <t>Föryngringsavverkning</t>
        </is>
      </c>
      <c r="D456" s="1" t="n">
        <v>45979</v>
      </c>
      <c r="E456" s="1" t="n">
        <v>46220</v>
      </c>
      <c r="F456" t="inlineStr">
        <is>
          <t>VÄSTERNORRLANDS LÄN</t>
        </is>
      </c>
      <c r="G456" t="inlineStr">
        <is>
          <t>KRAMFORS</t>
        </is>
      </c>
      <c r="I456" t="n">
        <v>9.699999999999999</v>
      </c>
      <c r="J456" t="n">
        <v>0</v>
      </c>
      <c r="K456" t="n">
        <v>0</v>
      </c>
      <c r="L456" t="n">
        <v>0</v>
      </c>
      <c r="M456" t="n">
        <v>0</v>
      </c>
      <c r="N456" t="n">
        <v>0</v>
      </c>
      <c r="O456" t="n">
        <v>0</v>
      </c>
      <c r="P456" t="n">
        <v>0</v>
      </c>
      <c r="Q456" t="n">
        <v>0</v>
      </c>
      <c r="R456" t="n">
        <v>0</v>
      </c>
      <c r="S456" t="n">
        <v>0</v>
      </c>
      <c r="T456" t="n">
        <v>0</v>
      </c>
      <c r="U456" s="2" t="inlineStr"/>
    </row>
    <row r="457" ht="15" customHeight="1">
      <c r="A457" t="inlineStr">
        <is>
          <t>A 18650-2025</t>
        </is>
      </c>
      <c r="B457" t="inlineStr">
        <is>
          <t>avverkningsanmälan</t>
        </is>
      </c>
      <c r="C457" t="inlineStr">
        <is>
          <t>Föryngringsavverkning</t>
        </is>
      </c>
      <c r="D457" s="1" t="n">
        <v>45763</v>
      </c>
      <c r="E457" s="1" t="n">
        <v>46220</v>
      </c>
      <c r="F457" t="inlineStr">
        <is>
          <t>VÄSTERNORRLANDS LÄN</t>
        </is>
      </c>
      <c r="G457" t="inlineStr">
        <is>
          <t>KRAMFORS</t>
        </is>
      </c>
      <c r="H457" t="inlineStr">
        <is>
          <t>SCA</t>
        </is>
      </c>
      <c r="I457" t="n">
        <v>9.699999999999999</v>
      </c>
      <c r="J457" t="n">
        <v>0</v>
      </c>
      <c r="K457" t="n">
        <v>0</v>
      </c>
      <c r="L457" t="n">
        <v>0</v>
      </c>
      <c r="M457" t="n">
        <v>0</v>
      </c>
      <c r="N457" t="n">
        <v>0</v>
      </c>
      <c r="O457" t="n">
        <v>0</v>
      </c>
      <c r="P457" t="n">
        <v>0</v>
      </c>
      <c r="Q457" t="n">
        <v>0</v>
      </c>
      <c r="R457" t="n">
        <v>0</v>
      </c>
      <c r="S457" t="n">
        <v>0</v>
      </c>
      <c r="T457" t="n">
        <v>0</v>
      </c>
      <c r="U457" s="2" t="inlineStr"/>
    </row>
    <row r="458" ht="15" customHeight="1">
      <c r="A458" t="inlineStr">
        <is>
          <t>A 18651-2025</t>
        </is>
      </c>
      <c r="B458" t="inlineStr">
        <is>
          <t>avverkningsanmälan</t>
        </is>
      </c>
      <c r="C458" t="inlineStr">
        <is>
          <t>Föryngringsavverkning</t>
        </is>
      </c>
      <c r="D458" s="1" t="n">
        <v>45763</v>
      </c>
      <c r="E458" s="1" t="n">
        <v>46220</v>
      </c>
      <c r="F458" t="inlineStr">
        <is>
          <t>VÄSTERNORRLANDS LÄN</t>
        </is>
      </c>
      <c r="G458" t="inlineStr">
        <is>
          <t>KRAMFORS</t>
        </is>
      </c>
      <c r="H458" t="inlineStr">
        <is>
          <t>SCA</t>
        </is>
      </c>
      <c r="I458" t="n">
        <v>4.1</v>
      </c>
      <c r="J458" t="n">
        <v>0</v>
      </c>
      <c r="K458" t="n">
        <v>0</v>
      </c>
      <c r="L458" t="n">
        <v>0</v>
      </c>
      <c r="M458" t="n">
        <v>0</v>
      </c>
      <c r="N458" t="n">
        <v>0</v>
      </c>
      <c r="O458" t="n">
        <v>0</v>
      </c>
      <c r="P458" t="n">
        <v>0</v>
      </c>
      <c r="Q458" t="n">
        <v>0</v>
      </c>
      <c r="R458" t="n">
        <v>0</v>
      </c>
      <c r="S458" t="n">
        <v>0</v>
      </c>
      <c r="T458" t="n">
        <v>0</v>
      </c>
      <c r="U458" s="2" t="inlineStr"/>
    </row>
    <row r="459" ht="15" customHeight="1">
      <c r="A459" t="inlineStr">
        <is>
          <t>A 57280-2025</t>
        </is>
      </c>
      <c r="B459" t="inlineStr">
        <is>
          <t>avverkningsanmälan</t>
        </is>
      </c>
      <c r="C459" t="inlineStr">
        <is>
          <t>Föryngringsavverkning</t>
        </is>
      </c>
      <c r="D459" s="1" t="n">
        <v>45979</v>
      </c>
      <c r="E459" s="1" t="n">
        <v>46220</v>
      </c>
      <c r="F459" t="inlineStr">
        <is>
          <t>VÄSTERNORRLANDS LÄN</t>
        </is>
      </c>
      <c r="G459" t="inlineStr">
        <is>
          <t>KRAMFORS</t>
        </is>
      </c>
      <c r="I459" t="n">
        <v>3.7</v>
      </c>
      <c r="J459" t="n">
        <v>0</v>
      </c>
      <c r="K459" t="n">
        <v>0</v>
      </c>
      <c r="L459" t="n">
        <v>0</v>
      </c>
      <c r="M459" t="n">
        <v>0</v>
      </c>
      <c r="N459" t="n">
        <v>0</v>
      </c>
      <c r="O459" t="n">
        <v>0</v>
      </c>
      <c r="P459" t="n">
        <v>0</v>
      </c>
      <c r="Q459" t="n">
        <v>0</v>
      </c>
      <c r="R459" t="n">
        <v>0</v>
      </c>
      <c r="S459" t="n">
        <v>0</v>
      </c>
      <c r="T459" t="n">
        <v>0</v>
      </c>
      <c r="U459" s="2" t="inlineStr"/>
    </row>
    <row r="460" ht="15" customHeight="1">
      <c r="A460" t="inlineStr">
        <is>
          <t>A 14129-2023</t>
        </is>
      </c>
      <c r="B460" t="inlineStr">
        <is>
          <t>avverkningsanmälan</t>
        </is>
      </c>
      <c r="C460" t="inlineStr">
        <is>
          <t>Föryngringsavverkning</t>
        </is>
      </c>
      <c r="D460" s="1" t="n">
        <v>45008</v>
      </c>
      <c r="E460" s="1" t="n">
        <v>46220</v>
      </c>
      <c r="F460" t="inlineStr">
        <is>
          <t>VÄSTERNORRLANDS LÄN</t>
        </is>
      </c>
      <c r="G460" t="inlineStr">
        <is>
          <t>KRAMFORS</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57643-2025</t>
        </is>
      </c>
      <c r="B461" t="inlineStr">
        <is>
          <t>avverkningsanmälan</t>
        </is>
      </c>
      <c r="C461" t="inlineStr">
        <is>
          <t>Föryngringsavverkning</t>
        </is>
      </c>
      <c r="D461" s="1" t="n">
        <v>45981</v>
      </c>
      <c r="E461" s="1" t="n">
        <v>46220</v>
      </c>
      <c r="F461" t="inlineStr">
        <is>
          <t>VÄSTERNORRLANDS LÄN</t>
        </is>
      </c>
      <c r="G461" t="inlineStr">
        <is>
          <t>KRAMFORS</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11247-2025</t>
        </is>
      </c>
      <c r="B462" t="inlineStr">
        <is>
          <t>avverkningsanmälan</t>
        </is>
      </c>
      <c r="C462" t="inlineStr">
        <is>
          <t>Föryngringsavverkning</t>
        </is>
      </c>
      <c r="D462" s="1" t="n">
        <v>45726</v>
      </c>
      <c r="E462" s="1" t="n">
        <v>46220</v>
      </c>
      <c r="F462" t="inlineStr">
        <is>
          <t>VÄSTERNORRLANDS LÄN</t>
        </is>
      </c>
      <c r="G462" t="inlineStr">
        <is>
          <t>KRAMFORS</t>
        </is>
      </c>
      <c r="I462" t="n">
        <v>0.4</v>
      </c>
      <c r="J462" t="n">
        <v>0</v>
      </c>
      <c r="K462" t="n">
        <v>0</v>
      </c>
      <c r="L462" t="n">
        <v>0</v>
      </c>
      <c r="M462" t="n">
        <v>0</v>
      </c>
      <c r="N462" t="n">
        <v>0</v>
      </c>
      <c r="O462" t="n">
        <v>0</v>
      </c>
      <c r="P462" t="n">
        <v>0</v>
      </c>
      <c r="Q462" t="n">
        <v>0</v>
      </c>
      <c r="R462" t="n">
        <v>0</v>
      </c>
      <c r="S462" t="n">
        <v>0</v>
      </c>
      <c r="T462" t="n">
        <v>0</v>
      </c>
      <c r="U462" s="2" t="inlineStr"/>
    </row>
    <row r="463" ht="15" customHeight="1">
      <c r="A463" t="inlineStr">
        <is>
          <t>A 23573-2024</t>
        </is>
      </c>
      <c r="B463" t="inlineStr">
        <is>
          <t>avverkningsanmälan</t>
        </is>
      </c>
      <c r="C463" t="inlineStr">
        <is>
          <t>Föryngringsavverkning</t>
        </is>
      </c>
      <c r="D463" s="1" t="n">
        <v>45454</v>
      </c>
      <c r="E463" s="1" t="n">
        <v>46220</v>
      </c>
      <c r="F463" t="inlineStr">
        <is>
          <t>VÄSTERNORRLANDS LÄN</t>
        </is>
      </c>
      <c r="G463" t="inlineStr">
        <is>
          <t>KRAMFORS</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57628-2025</t>
        </is>
      </c>
      <c r="B464" t="inlineStr">
        <is>
          <t>avverkningsanmälan</t>
        </is>
      </c>
      <c r="C464" t="inlineStr">
        <is>
          <t>Föryngringsavverkning</t>
        </is>
      </c>
      <c r="D464" s="1" t="n">
        <v>45981</v>
      </c>
      <c r="E464" s="1" t="n">
        <v>46220</v>
      </c>
      <c r="F464" t="inlineStr">
        <is>
          <t>VÄSTERNORRLANDS LÄN</t>
        </is>
      </c>
      <c r="G464" t="inlineStr">
        <is>
          <t>KRAMFORS</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58966-2024</t>
        </is>
      </c>
      <c r="B465" t="inlineStr">
        <is>
          <t>avverkningsanmälan</t>
        </is>
      </c>
      <c r="C465" t="inlineStr">
        <is>
          <t>Föryngringsavverkning</t>
        </is>
      </c>
      <c r="D465" s="1" t="n">
        <v>45636</v>
      </c>
      <c r="E465" s="1" t="n">
        <v>46220</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57919-2025</t>
        </is>
      </c>
      <c r="B466" t="inlineStr">
        <is>
          <t>avverkningsanmälan</t>
        </is>
      </c>
      <c r="C466" t="inlineStr">
        <is>
          <t>Föryngringsavverkning</t>
        </is>
      </c>
      <c r="D466" s="1" t="n">
        <v>45981</v>
      </c>
      <c r="E466" s="1" t="n">
        <v>46220</v>
      </c>
      <c r="F466" t="inlineStr">
        <is>
          <t>VÄSTERNORRLANDS LÄN</t>
        </is>
      </c>
      <c r="G466" t="inlineStr">
        <is>
          <t>KRAMFORS</t>
        </is>
      </c>
      <c r="I466" t="n">
        <v>4.3</v>
      </c>
      <c r="J466" t="n">
        <v>0</v>
      </c>
      <c r="K466" t="n">
        <v>0</v>
      </c>
      <c r="L466" t="n">
        <v>0</v>
      </c>
      <c r="M466" t="n">
        <v>0</v>
      </c>
      <c r="N466" t="n">
        <v>0</v>
      </c>
      <c r="O466" t="n">
        <v>0</v>
      </c>
      <c r="P466" t="n">
        <v>0</v>
      </c>
      <c r="Q466" t="n">
        <v>0</v>
      </c>
      <c r="R466" t="n">
        <v>0</v>
      </c>
      <c r="S466" t="n">
        <v>0</v>
      </c>
      <c r="T466" t="n">
        <v>0</v>
      </c>
      <c r="U466" s="2" t="inlineStr"/>
    </row>
    <row r="467" ht="15" customHeight="1">
      <c r="A467" t="inlineStr">
        <is>
          <t>A 1683-2022</t>
        </is>
      </c>
      <c r="B467" t="inlineStr">
        <is>
          <t>avverkningsanmälan</t>
        </is>
      </c>
      <c r="C467" t="inlineStr">
        <is>
          <t>Föryngringsavverkning</t>
        </is>
      </c>
      <c r="D467" s="1" t="n">
        <v>44574</v>
      </c>
      <c r="E467" s="1" t="n">
        <v>46220</v>
      </c>
      <c r="F467" t="inlineStr">
        <is>
          <t>VÄSTERNORRLANDS LÄN</t>
        </is>
      </c>
      <c r="G467" t="inlineStr">
        <is>
          <t>KRAMFORS</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7936-2026</t>
        </is>
      </c>
      <c r="B468" t="inlineStr">
        <is>
          <t>avverkningsanmälan</t>
        </is>
      </c>
      <c r="C468" t="inlineStr">
        <is>
          <t>Föryngringsavverkning</t>
        </is>
      </c>
      <c r="D468" s="1" t="n">
        <v>46063</v>
      </c>
      <c r="E468" s="1" t="n">
        <v>46220</v>
      </c>
      <c r="F468" t="inlineStr">
        <is>
          <t>VÄSTERNORRLANDS LÄN</t>
        </is>
      </c>
      <c r="G468" t="inlineStr">
        <is>
          <t>KRAMFORS</t>
        </is>
      </c>
      <c r="I468" t="n">
        <v>2.8</v>
      </c>
      <c r="J468" t="n">
        <v>0</v>
      </c>
      <c r="K468" t="n">
        <v>0</v>
      </c>
      <c r="L468" t="n">
        <v>0</v>
      </c>
      <c r="M468" t="n">
        <v>0</v>
      </c>
      <c r="N468" t="n">
        <v>0</v>
      </c>
      <c r="O468" t="n">
        <v>0</v>
      </c>
      <c r="P468" t="n">
        <v>0</v>
      </c>
      <c r="Q468" t="n">
        <v>0</v>
      </c>
      <c r="R468" t="n">
        <v>0</v>
      </c>
      <c r="S468" t="n">
        <v>0</v>
      </c>
      <c r="T468" t="n">
        <v>0</v>
      </c>
      <c r="U468" s="2" t="inlineStr"/>
    </row>
    <row r="469" ht="15" customHeight="1">
      <c r="A469" t="inlineStr">
        <is>
          <t>A 7937-2026</t>
        </is>
      </c>
      <c r="B469" t="inlineStr">
        <is>
          <t>avverkningsanmälan</t>
        </is>
      </c>
      <c r="C469" t="inlineStr">
        <is>
          <t>Föryngringsavverkning</t>
        </is>
      </c>
      <c r="D469" s="1" t="n">
        <v>46063</v>
      </c>
      <c r="E469" s="1" t="n">
        <v>46220</v>
      </c>
      <c r="F469" t="inlineStr">
        <is>
          <t>VÄSTERNORRLANDS LÄN</t>
        </is>
      </c>
      <c r="G469" t="inlineStr">
        <is>
          <t>KRAMFORS</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58053-2025</t>
        </is>
      </c>
      <c r="B470" t="inlineStr">
        <is>
          <t>avverkningsanmälan</t>
        </is>
      </c>
      <c r="C470" t="inlineStr">
        <is>
          <t>Föryngringsavverkning</t>
        </is>
      </c>
      <c r="D470" s="1" t="n">
        <v>45982</v>
      </c>
      <c r="E470" s="1" t="n">
        <v>46220</v>
      </c>
      <c r="F470" t="inlineStr">
        <is>
          <t>VÄSTERNORRLANDS LÄN</t>
        </is>
      </c>
      <c r="G470" t="inlineStr">
        <is>
          <t>KRAMFORS</t>
        </is>
      </c>
      <c r="I470" t="n">
        <v>7.4</v>
      </c>
      <c r="J470" t="n">
        <v>0</v>
      </c>
      <c r="K470" t="n">
        <v>0</v>
      </c>
      <c r="L470" t="n">
        <v>0</v>
      </c>
      <c r="M470" t="n">
        <v>0</v>
      </c>
      <c r="N470" t="n">
        <v>0</v>
      </c>
      <c r="O470" t="n">
        <v>0</v>
      </c>
      <c r="P470" t="n">
        <v>0</v>
      </c>
      <c r="Q470" t="n">
        <v>0</v>
      </c>
      <c r="R470" t="n">
        <v>0</v>
      </c>
      <c r="S470" t="n">
        <v>0</v>
      </c>
      <c r="T470" t="n">
        <v>0</v>
      </c>
      <c r="U470" s="2" t="inlineStr"/>
    </row>
    <row r="471" ht="15" customHeight="1">
      <c r="A471" t="inlineStr">
        <is>
          <t>A 58057-2025</t>
        </is>
      </c>
      <c r="B471" t="inlineStr">
        <is>
          <t>avverkningsanmälan</t>
        </is>
      </c>
      <c r="C471" t="inlineStr">
        <is>
          <t>Föryngringsavverkning</t>
        </is>
      </c>
      <c r="D471" s="1" t="n">
        <v>45982</v>
      </c>
      <c r="E471" s="1" t="n">
        <v>46220</v>
      </c>
      <c r="F471" t="inlineStr">
        <is>
          <t>VÄSTERNORRLANDS LÄN</t>
        </is>
      </c>
      <c r="G471" t="inlineStr">
        <is>
          <t>KRAMFORS</t>
        </is>
      </c>
      <c r="I471" t="n">
        <v>5.7</v>
      </c>
      <c r="J471" t="n">
        <v>0</v>
      </c>
      <c r="K471" t="n">
        <v>0</v>
      </c>
      <c r="L471" t="n">
        <v>0</v>
      </c>
      <c r="M471" t="n">
        <v>0</v>
      </c>
      <c r="N471" t="n">
        <v>0</v>
      </c>
      <c r="O471" t="n">
        <v>0</v>
      </c>
      <c r="P471" t="n">
        <v>0</v>
      </c>
      <c r="Q471" t="n">
        <v>0</v>
      </c>
      <c r="R471" t="n">
        <v>0</v>
      </c>
      <c r="S471" t="n">
        <v>0</v>
      </c>
      <c r="T471" t="n">
        <v>0</v>
      </c>
      <c r="U471" s="2" t="inlineStr"/>
    </row>
    <row r="472" ht="15" customHeight="1">
      <c r="A472" t="inlineStr">
        <is>
          <t>A 58058-2025</t>
        </is>
      </c>
      <c r="B472" t="inlineStr">
        <is>
          <t>avverkningsanmälan</t>
        </is>
      </c>
      <c r="C472" t="inlineStr">
        <is>
          <t>Föryngringsavverkning</t>
        </is>
      </c>
      <c r="D472" s="1" t="n">
        <v>45982</v>
      </c>
      <c r="E472" s="1" t="n">
        <v>46220</v>
      </c>
      <c r="F472" t="inlineStr">
        <is>
          <t>VÄSTERNORRLANDS LÄN</t>
        </is>
      </c>
      <c r="G472" t="inlineStr">
        <is>
          <t>KRAMFORS</t>
        </is>
      </c>
      <c r="I472" t="n">
        <v>6.3</v>
      </c>
      <c r="J472" t="n">
        <v>0</v>
      </c>
      <c r="K472" t="n">
        <v>0</v>
      </c>
      <c r="L472" t="n">
        <v>0</v>
      </c>
      <c r="M472" t="n">
        <v>0</v>
      </c>
      <c r="N472" t="n">
        <v>0</v>
      </c>
      <c r="O472" t="n">
        <v>0</v>
      </c>
      <c r="P472" t="n">
        <v>0</v>
      </c>
      <c r="Q472" t="n">
        <v>0</v>
      </c>
      <c r="R472" t="n">
        <v>0</v>
      </c>
      <c r="S472" t="n">
        <v>0</v>
      </c>
      <c r="T472" t="n">
        <v>0</v>
      </c>
      <c r="U472" s="2" t="inlineStr"/>
    </row>
    <row r="473" ht="15" customHeight="1">
      <c r="A473" t="inlineStr">
        <is>
          <t>A 18615-2023</t>
        </is>
      </c>
      <c r="B473" t="inlineStr">
        <is>
          <t>avverkningsanmälan</t>
        </is>
      </c>
      <c r="C473" t="inlineStr">
        <is>
          <t>Föryngringsavverkning</t>
        </is>
      </c>
      <c r="D473" s="1" t="n">
        <v>45043</v>
      </c>
      <c r="E473" s="1" t="n">
        <v>46220</v>
      </c>
      <c r="F473" t="inlineStr">
        <is>
          <t>VÄSTERNORRLANDS LÄN</t>
        </is>
      </c>
      <c r="G473" t="inlineStr">
        <is>
          <t>KRAMFORS</t>
        </is>
      </c>
      <c r="I473" t="n">
        <v>5.7</v>
      </c>
      <c r="J473" t="n">
        <v>0</v>
      </c>
      <c r="K473" t="n">
        <v>0</v>
      </c>
      <c r="L473" t="n">
        <v>0</v>
      </c>
      <c r="M473" t="n">
        <v>0</v>
      </c>
      <c r="N473" t="n">
        <v>0</v>
      </c>
      <c r="O473" t="n">
        <v>0</v>
      </c>
      <c r="P473" t="n">
        <v>0</v>
      </c>
      <c r="Q473" t="n">
        <v>0</v>
      </c>
      <c r="R473" t="n">
        <v>0</v>
      </c>
      <c r="S473" t="n">
        <v>0</v>
      </c>
      <c r="T473" t="n">
        <v>0</v>
      </c>
      <c r="U473" s="2" t="inlineStr"/>
    </row>
    <row r="474" ht="15" customHeight="1">
      <c r="A474" t="inlineStr">
        <is>
          <t>A 7786-2026</t>
        </is>
      </c>
      <c r="B474" t="inlineStr">
        <is>
          <t>avverkningsanmälan</t>
        </is>
      </c>
      <c r="C474" t="inlineStr">
        <is>
          <t>Föryngringsavverkning</t>
        </is>
      </c>
      <c r="D474" s="1" t="n">
        <v>46062</v>
      </c>
      <c r="E474" s="1" t="n">
        <v>46220</v>
      </c>
      <c r="F474" t="inlineStr">
        <is>
          <t>VÄSTERNORRLANDS LÄN</t>
        </is>
      </c>
      <c r="G474" t="inlineStr">
        <is>
          <t>KRAMFORS</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58929-2025</t>
        </is>
      </c>
      <c r="B475" t="inlineStr">
        <is>
          <t>avverkningsanmälan</t>
        </is>
      </c>
      <c r="C475" t="inlineStr">
        <is>
          <t>Föryngringsavverkning</t>
        </is>
      </c>
      <c r="D475" s="1" t="n">
        <v>45986</v>
      </c>
      <c r="E475" s="1" t="n">
        <v>46220</v>
      </c>
      <c r="F475" t="inlineStr">
        <is>
          <t>VÄSTERNORRLANDS LÄN</t>
        </is>
      </c>
      <c r="G475" t="inlineStr">
        <is>
          <t>KRAMFORS</t>
        </is>
      </c>
      <c r="I475" t="n">
        <v>8.300000000000001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58817-2025</t>
        </is>
      </c>
      <c r="B476" t="inlineStr">
        <is>
          <t>avverkningsanmälan</t>
        </is>
      </c>
      <c r="C476" t="inlineStr">
        <is>
          <t>Föryngringsavverkning</t>
        </is>
      </c>
      <c r="D476" s="1" t="n">
        <v>45987</v>
      </c>
      <c r="E476" s="1" t="n">
        <v>46220</v>
      </c>
      <c r="F476" t="inlineStr">
        <is>
          <t>VÄSTERNORRLANDS LÄN</t>
        </is>
      </c>
      <c r="G476" t="inlineStr">
        <is>
          <t>KRAMFORS</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58884-2025</t>
        </is>
      </c>
      <c r="B477" t="inlineStr">
        <is>
          <t>avverkningsanmälan</t>
        </is>
      </c>
      <c r="C477" t="inlineStr">
        <is>
          <t>Föryngringsavverkning</t>
        </is>
      </c>
      <c r="D477" s="1" t="n">
        <v>45987</v>
      </c>
      <c r="E477" s="1" t="n">
        <v>46220</v>
      </c>
      <c r="F477" t="inlineStr">
        <is>
          <t>VÄSTERNORRLANDS LÄN</t>
        </is>
      </c>
      <c r="G477" t="inlineStr">
        <is>
          <t>KRAMFORS</t>
        </is>
      </c>
      <c r="I477" t="n">
        <v>4.8</v>
      </c>
      <c r="J477" t="n">
        <v>0</v>
      </c>
      <c r="K477" t="n">
        <v>0</v>
      </c>
      <c r="L477" t="n">
        <v>0</v>
      </c>
      <c r="M477" t="n">
        <v>0</v>
      </c>
      <c r="N477" t="n">
        <v>0</v>
      </c>
      <c r="O477" t="n">
        <v>0</v>
      </c>
      <c r="P477" t="n">
        <v>0</v>
      </c>
      <c r="Q477" t="n">
        <v>0</v>
      </c>
      <c r="R477" t="n">
        <v>0</v>
      </c>
      <c r="S477" t="n">
        <v>0</v>
      </c>
      <c r="T477" t="n">
        <v>0</v>
      </c>
      <c r="U477" s="2" t="inlineStr"/>
    </row>
    <row r="478" ht="15" customHeight="1">
      <c r="A478" t="inlineStr">
        <is>
          <t>A 59141-2025</t>
        </is>
      </c>
      <c r="B478" t="inlineStr">
        <is>
          <t>avverkningsanmälan</t>
        </is>
      </c>
      <c r="C478" t="inlineStr">
        <is>
          <t>Avverkning för annat ändamål</t>
        </is>
      </c>
      <c r="D478" s="1" t="n">
        <v>45988</v>
      </c>
      <c r="E478" s="1" t="n">
        <v>46220</v>
      </c>
      <c r="F478" t="inlineStr">
        <is>
          <t>VÄSTERNORRLANDS LÄN</t>
        </is>
      </c>
      <c r="G478" t="inlineStr">
        <is>
          <t>KRAMFORS</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59095-2025</t>
        </is>
      </c>
      <c r="B479" t="inlineStr">
        <is>
          <t>avverkningsanmälan</t>
        </is>
      </c>
      <c r="C479" t="inlineStr">
        <is>
          <t>Föryngringsavverkning</t>
        </is>
      </c>
      <c r="D479" s="1" t="n">
        <v>45988</v>
      </c>
      <c r="E479" s="1" t="n">
        <v>46220</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40127-2024</t>
        </is>
      </c>
      <c r="B480" t="inlineStr">
        <is>
          <t>avverkningsanmälan</t>
        </is>
      </c>
      <c r="C480" t="inlineStr">
        <is>
          <t>Avverkning för annat ändamål</t>
        </is>
      </c>
      <c r="D480" s="1" t="n">
        <v>45554</v>
      </c>
      <c r="E480" s="1" t="n">
        <v>46220</v>
      </c>
      <c r="F480" t="inlineStr">
        <is>
          <t>VÄSTERNORRLANDS LÄN</t>
        </is>
      </c>
      <c r="G480" t="inlineStr">
        <is>
          <t>KRAMFORS</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12107-2025</t>
        </is>
      </c>
      <c r="B481" t="inlineStr">
        <is>
          <t>avverkningsanmälan</t>
        </is>
      </c>
      <c r="C481" t="inlineStr">
        <is>
          <t>Föryngringsavverkning</t>
        </is>
      </c>
      <c r="D481" s="1" t="n">
        <v>45729</v>
      </c>
      <c r="E481" s="1" t="n">
        <v>46220</v>
      </c>
      <c r="F481" t="inlineStr">
        <is>
          <t>VÄSTERNORRLANDS LÄN</t>
        </is>
      </c>
      <c r="G481" t="inlineStr">
        <is>
          <t>KRAMFORS</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24653-2022</t>
        </is>
      </c>
      <c r="B482" t="inlineStr">
        <is>
          <t>avverkningsanmälan</t>
        </is>
      </c>
      <c r="C482" t="inlineStr">
        <is>
          <t>Föryngringsavverkning</t>
        </is>
      </c>
      <c r="D482" s="1" t="n">
        <v>44727</v>
      </c>
      <c r="E482" s="1" t="n">
        <v>46220</v>
      </c>
      <c r="F482" t="inlineStr">
        <is>
          <t>VÄSTERNORRLANDS LÄN</t>
        </is>
      </c>
      <c r="G482" t="inlineStr">
        <is>
          <t>KRAMFORS</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27836-2024</t>
        </is>
      </c>
      <c r="B483" t="inlineStr">
        <is>
          <t>avverkningsanmälan</t>
        </is>
      </c>
      <c r="C483" t="inlineStr">
        <is>
          <t>Föryngringsavverkning</t>
        </is>
      </c>
      <c r="D483" s="1" t="n">
        <v>45475</v>
      </c>
      <c r="E483" s="1" t="n">
        <v>46220</v>
      </c>
      <c r="F483" t="inlineStr">
        <is>
          <t>VÄSTERNORRLANDS LÄN</t>
        </is>
      </c>
      <c r="G483" t="inlineStr">
        <is>
          <t>KRAMFORS</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60156-2025</t>
        </is>
      </c>
      <c r="B484" t="inlineStr">
        <is>
          <t>avverkningsanmälan</t>
        </is>
      </c>
      <c r="C484" t="inlineStr">
        <is>
          <t>Föryngringsavverkning</t>
        </is>
      </c>
      <c r="D484" s="1" t="n">
        <v>45994</v>
      </c>
      <c r="E484" s="1" t="n">
        <v>46220</v>
      </c>
      <c r="F484" t="inlineStr">
        <is>
          <t>VÄSTERNORRLANDS LÄN</t>
        </is>
      </c>
      <c r="G484" t="inlineStr">
        <is>
          <t>KRAMFORS</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21182-2023</t>
        </is>
      </c>
      <c r="B485" t="inlineStr">
        <is>
          <t>avverkningsanmälan</t>
        </is>
      </c>
      <c r="C485" t="inlineStr">
        <is>
          <t>Föryngringsavverkning</t>
        </is>
      </c>
      <c r="D485" s="1" t="n">
        <v>45062</v>
      </c>
      <c r="E485" s="1" t="n">
        <v>46220</v>
      </c>
      <c r="F485" t="inlineStr">
        <is>
          <t>VÄSTERNORRLANDS LÄN</t>
        </is>
      </c>
      <c r="G485" t="inlineStr">
        <is>
          <t>KRAMFORS</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32501-2024</t>
        </is>
      </c>
      <c r="B486" t="inlineStr">
        <is>
          <t>avverkningsanmälan</t>
        </is>
      </c>
      <c r="C486" t="inlineStr">
        <is>
          <t>Föryngringsavverkning</t>
        </is>
      </c>
      <c r="D486" s="1" t="n">
        <v>45513</v>
      </c>
      <c r="E486" s="1" t="n">
        <v>46220</v>
      </c>
      <c r="F486" t="inlineStr">
        <is>
          <t>VÄSTERNORRLANDS LÄN</t>
        </is>
      </c>
      <c r="G486" t="inlineStr">
        <is>
          <t>KRAMFORS</t>
        </is>
      </c>
      <c r="I486" t="n">
        <v>3.2</v>
      </c>
      <c r="J486" t="n">
        <v>0</v>
      </c>
      <c r="K486" t="n">
        <v>0</v>
      </c>
      <c r="L486" t="n">
        <v>0</v>
      </c>
      <c r="M486" t="n">
        <v>0</v>
      </c>
      <c r="N486" t="n">
        <v>0</v>
      </c>
      <c r="O486" t="n">
        <v>0</v>
      </c>
      <c r="P486" t="n">
        <v>0</v>
      </c>
      <c r="Q486" t="n">
        <v>0</v>
      </c>
      <c r="R486" t="n">
        <v>0</v>
      </c>
      <c r="S486" t="n">
        <v>0</v>
      </c>
      <c r="T486" t="n">
        <v>0</v>
      </c>
      <c r="U486" s="2" t="inlineStr"/>
    </row>
    <row r="487" ht="15" customHeight="1">
      <c r="A487" t="inlineStr">
        <is>
          <t>A 8994-2026</t>
        </is>
      </c>
      <c r="B487" t="inlineStr">
        <is>
          <t>avverkningsanmälan</t>
        </is>
      </c>
      <c r="C487" t="inlineStr">
        <is>
          <t>Föryngringsavverkning</t>
        </is>
      </c>
      <c r="D487" s="1" t="n">
        <v>46069</v>
      </c>
      <c r="E487" s="1" t="n">
        <v>46220</v>
      </c>
      <c r="F487" t="inlineStr">
        <is>
          <t>VÄSTERNORRLANDS LÄN</t>
        </is>
      </c>
      <c r="G487" t="inlineStr">
        <is>
          <t>KRAMFORS</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9011-2026</t>
        </is>
      </c>
      <c r="B488" t="inlineStr">
        <is>
          <t>avverkningsanmälan</t>
        </is>
      </c>
      <c r="C488" t="inlineStr">
        <is>
          <t>Föryngringsavverkning</t>
        </is>
      </c>
      <c r="D488" s="1" t="n">
        <v>46069</v>
      </c>
      <c r="E488" s="1" t="n">
        <v>46220</v>
      </c>
      <c r="F488" t="inlineStr">
        <is>
          <t>VÄSTERNORRLANDS LÄN</t>
        </is>
      </c>
      <c r="G488" t="inlineStr">
        <is>
          <t>KRAMFORS</t>
        </is>
      </c>
      <c r="I488" t="n">
        <v>3.9</v>
      </c>
      <c r="J488" t="n">
        <v>0</v>
      </c>
      <c r="K488" t="n">
        <v>0</v>
      </c>
      <c r="L488" t="n">
        <v>0</v>
      </c>
      <c r="M488" t="n">
        <v>0</v>
      </c>
      <c r="N488" t="n">
        <v>0</v>
      </c>
      <c r="O488" t="n">
        <v>0</v>
      </c>
      <c r="P488" t="n">
        <v>0</v>
      </c>
      <c r="Q488" t="n">
        <v>0</v>
      </c>
      <c r="R488" t="n">
        <v>0</v>
      </c>
      <c r="S488" t="n">
        <v>0</v>
      </c>
      <c r="T488" t="n">
        <v>0</v>
      </c>
      <c r="U488" s="2" t="inlineStr"/>
    </row>
    <row r="489" ht="15" customHeight="1">
      <c r="A489" t="inlineStr">
        <is>
          <t>A 60971-2025</t>
        </is>
      </c>
      <c r="B489" t="inlineStr">
        <is>
          <t>avverkningsanmälan</t>
        </is>
      </c>
      <c r="C489" t="inlineStr">
        <is>
          <t>Föryngringsavverkning</t>
        </is>
      </c>
      <c r="D489" s="1" t="n">
        <v>45999</v>
      </c>
      <c r="E489" s="1" t="n">
        <v>46220</v>
      </c>
      <c r="F489" t="inlineStr">
        <is>
          <t>VÄSTERNORRLANDS LÄN</t>
        </is>
      </c>
      <c r="G489" t="inlineStr">
        <is>
          <t>KRAMFORS</t>
        </is>
      </c>
      <c r="I489" t="n">
        <v>2</v>
      </c>
      <c r="J489" t="n">
        <v>0</v>
      </c>
      <c r="K489" t="n">
        <v>0</v>
      </c>
      <c r="L489" t="n">
        <v>0</v>
      </c>
      <c r="M489" t="n">
        <v>0</v>
      </c>
      <c r="N489" t="n">
        <v>0</v>
      </c>
      <c r="O489" t="n">
        <v>0</v>
      </c>
      <c r="P489" t="n">
        <v>0</v>
      </c>
      <c r="Q489" t="n">
        <v>0</v>
      </c>
      <c r="R489" t="n">
        <v>0</v>
      </c>
      <c r="S489" t="n">
        <v>0</v>
      </c>
      <c r="T489" t="n">
        <v>0</v>
      </c>
      <c r="U489" s="2" t="inlineStr"/>
    </row>
    <row r="490" ht="15" customHeight="1">
      <c r="A490" t="inlineStr">
        <is>
          <t>A 60992-2025</t>
        </is>
      </c>
      <c r="B490" t="inlineStr">
        <is>
          <t>avverkningsanmälan</t>
        </is>
      </c>
      <c r="C490" t="inlineStr">
        <is>
          <t>Föryngringsavverkning</t>
        </is>
      </c>
      <c r="D490" s="1" t="n">
        <v>45999</v>
      </c>
      <c r="E490" s="1" t="n">
        <v>46220</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53329-2025</t>
        </is>
      </c>
      <c r="B491" t="inlineStr">
        <is>
          <t>avverkningsanmälan</t>
        </is>
      </c>
      <c r="C491" t="inlineStr">
        <is>
          <t>Föryngringsavverkning</t>
        </is>
      </c>
      <c r="D491" s="1" t="n">
        <v>45959</v>
      </c>
      <c r="E491" s="1" t="n">
        <v>46220</v>
      </c>
      <c r="F491" t="inlineStr">
        <is>
          <t>VÄSTERNORRLANDS LÄN</t>
        </is>
      </c>
      <c r="G491" t="inlineStr">
        <is>
          <t>KRAMFORS</t>
        </is>
      </c>
      <c r="I491" t="n">
        <v>7.8</v>
      </c>
      <c r="J491" t="n">
        <v>0</v>
      </c>
      <c r="K491" t="n">
        <v>0</v>
      </c>
      <c r="L491" t="n">
        <v>0</v>
      </c>
      <c r="M491" t="n">
        <v>0</v>
      </c>
      <c r="N491" t="n">
        <v>0</v>
      </c>
      <c r="O491" t="n">
        <v>0</v>
      </c>
      <c r="P491" t="n">
        <v>0</v>
      </c>
      <c r="Q491" t="n">
        <v>0</v>
      </c>
      <c r="R491" t="n">
        <v>0</v>
      </c>
      <c r="S491" t="n">
        <v>0</v>
      </c>
      <c r="T491" t="n">
        <v>0</v>
      </c>
      <c r="U491" s="2" t="inlineStr"/>
    </row>
    <row r="492" ht="15" customHeight="1">
      <c r="A492" t="inlineStr">
        <is>
          <t>A 44486-2022</t>
        </is>
      </c>
      <c r="B492" t="inlineStr">
        <is>
          <t>avverkningsanmälan</t>
        </is>
      </c>
      <c r="C492" t="inlineStr">
        <is>
          <t>Föryngringsavverkning</t>
        </is>
      </c>
      <c r="D492" s="1" t="n">
        <v>44840</v>
      </c>
      <c r="E492" s="1" t="n">
        <v>46220</v>
      </c>
      <c r="F492" t="inlineStr">
        <is>
          <t>VÄSTERNORRLANDS LÄN</t>
        </is>
      </c>
      <c r="G492" t="inlineStr">
        <is>
          <t>KRAMFORS</t>
        </is>
      </c>
      <c r="I492" t="n">
        <v>8.4</v>
      </c>
      <c r="J492" t="n">
        <v>0</v>
      </c>
      <c r="K492" t="n">
        <v>0</v>
      </c>
      <c r="L492" t="n">
        <v>0</v>
      </c>
      <c r="M492" t="n">
        <v>0</v>
      </c>
      <c r="N492" t="n">
        <v>0</v>
      </c>
      <c r="O492" t="n">
        <v>0</v>
      </c>
      <c r="P492" t="n">
        <v>0</v>
      </c>
      <c r="Q492" t="n">
        <v>0</v>
      </c>
      <c r="R492" t="n">
        <v>0</v>
      </c>
      <c r="S492" t="n">
        <v>0</v>
      </c>
      <c r="T492" t="n">
        <v>0</v>
      </c>
      <c r="U492" s="2" t="inlineStr"/>
    </row>
    <row r="493" ht="15" customHeight="1">
      <c r="A493" t="inlineStr">
        <is>
          <t>A 60665-2025</t>
        </is>
      </c>
      <c r="B493" t="inlineStr">
        <is>
          <t>avverkningsanmälan</t>
        </is>
      </c>
      <c r="C493" t="inlineStr">
        <is>
          <t>Föryngringsavverkning</t>
        </is>
      </c>
      <c r="D493" s="1" t="n">
        <v>45996</v>
      </c>
      <c r="E493" s="1" t="n">
        <v>46220</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47189-2022</t>
        </is>
      </c>
      <c r="B494" t="inlineStr">
        <is>
          <t>avverkningsanmälan</t>
        </is>
      </c>
      <c r="C494" t="inlineStr">
        <is>
          <t>Föryngringsavverkning</t>
        </is>
      </c>
      <c r="D494" s="1" t="n">
        <v>44852</v>
      </c>
      <c r="E494" s="1" t="n">
        <v>46220</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66554-2021</t>
        </is>
      </c>
      <c r="B495" t="inlineStr">
        <is>
          <t>avverkningsanmälan</t>
        </is>
      </c>
      <c r="C495" t="inlineStr">
        <is>
          <t>Föryngringsavverkning</t>
        </is>
      </c>
      <c r="D495" s="1" t="n">
        <v>44519</v>
      </c>
      <c r="E495" s="1" t="n">
        <v>46220</v>
      </c>
      <c r="F495" t="inlineStr">
        <is>
          <t>VÄSTERNORRLANDS LÄN</t>
        </is>
      </c>
      <c r="G495" t="inlineStr">
        <is>
          <t>KRAMFORS</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64901-2023</t>
        </is>
      </c>
      <c r="B496" t="inlineStr">
        <is>
          <t>avverkningsanmälan</t>
        </is>
      </c>
      <c r="C496" t="inlineStr">
        <is>
          <t>Föryngringsavverkning</t>
        </is>
      </c>
      <c r="D496" s="1" t="n">
        <v>45282</v>
      </c>
      <c r="E496" s="1" t="n">
        <v>46220</v>
      </c>
      <c r="F496" t="inlineStr">
        <is>
          <t>VÄSTERNORRLANDS LÄN</t>
        </is>
      </c>
      <c r="G496" t="inlineStr">
        <is>
          <t>KRAMFORS</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61318-2025</t>
        </is>
      </c>
      <c r="B497" t="inlineStr">
        <is>
          <t>avverkningsanmälan</t>
        </is>
      </c>
      <c r="C497" t="inlineStr">
        <is>
          <t>Föryngringsavverkning</t>
        </is>
      </c>
      <c r="D497" s="1" t="n">
        <v>46000</v>
      </c>
      <c r="E497" s="1" t="n">
        <v>46220</v>
      </c>
      <c r="F497" t="inlineStr">
        <is>
          <t>VÄSTERNORRLANDS LÄN</t>
        </is>
      </c>
      <c r="G497" t="inlineStr">
        <is>
          <t>KRAMFORS</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61159-2025</t>
        </is>
      </c>
      <c r="B498" t="inlineStr">
        <is>
          <t>avverkningsanmälan</t>
        </is>
      </c>
      <c r="C498" t="inlineStr">
        <is>
          <t>Föryngringsavverkning</t>
        </is>
      </c>
      <c r="D498" s="1" t="n">
        <v>46000</v>
      </c>
      <c r="E498" s="1" t="n">
        <v>46220</v>
      </c>
      <c r="F498" t="inlineStr">
        <is>
          <t>VÄSTERNORRLANDS LÄN</t>
        </is>
      </c>
      <c r="G498" t="inlineStr">
        <is>
          <t>KRAMFORS</t>
        </is>
      </c>
      <c r="I498" t="n">
        <v>10.6</v>
      </c>
      <c r="J498" t="n">
        <v>0</v>
      </c>
      <c r="K498" t="n">
        <v>0</v>
      </c>
      <c r="L498" t="n">
        <v>0</v>
      </c>
      <c r="M498" t="n">
        <v>0</v>
      </c>
      <c r="N498" t="n">
        <v>0</v>
      </c>
      <c r="O498" t="n">
        <v>0</v>
      </c>
      <c r="P498" t="n">
        <v>0</v>
      </c>
      <c r="Q498" t="n">
        <v>0</v>
      </c>
      <c r="R498" t="n">
        <v>0</v>
      </c>
      <c r="S498" t="n">
        <v>0</v>
      </c>
      <c r="T498" t="n">
        <v>0</v>
      </c>
      <c r="U498" s="2" t="inlineStr"/>
    </row>
    <row r="499" ht="15" customHeight="1">
      <c r="A499" t="inlineStr">
        <is>
          <t>A 64482-2023</t>
        </is>
      </c>
      <c r="B499" t="inlineStr">
        <is>
          <t>avverkningsanmälan</t>
        </is>
      </c>
      <c r="C499" t="inlineStr">
        <is>
          <t>Föryngringsavverkning</t>
        </is>
      </c>
      <c r="D499" s="1" t="n">
        <v>45280</v>
      </c>
      <c r="E499" s="1" t="n">
        <v>46220</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6200-2025</t>
        </is>
      </c>
      <c r="B500" t="inlineStr">
        <is>
          <t>avverkningsanmälan</t>
        </is>
      </c>
      <c r="C500" t="inlineStr">
        <is>
          <t>Föryngringsavverkning</t>
        </is>
      </c>
      <c r="D500" s="1" t="n">
        <v>45698</v>
      </c>
      <c r="E500" s="1" t="n">
        <v>46220</v>
      </c>
      <c r="F500" t="inlineStr">
        <is>
          <t>VÄSTERNORRLANDS LÄN</t>
        </is>
      </c>
      <c r="G500" t="inlineStr">
        <is>
          <t>KRAMFORS</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61317-2025</t>
        </is>
      </c>
      <c r="B501" t="inlineStr">
        <is>
          <t>avverkningsanmälan</t>
        </is>
      </c>
      <c r="C501" t="inlineStr">
        <is>
          <t>Föryngringsavverkning</t>
        </is>
      </c>
      <c r="D501" s="1" t="n">
        <v>46000</v>
      </c>
      <c r="E501" s="1" t="n">
        <v>46220</v>
      </c>
      <c r="F501" t="inlineStr">
        <is>
          <t>VÄSTERNORRLANDS LÄN</t>
        </is>
      </c>
      <c r="G501" t="inlineStr">
        <is>
          <t>KRAMFORS</t>
        </is>
      </c>
      <c r="I501" t="n">
        <v>3.1</v>
      </c>
      <c r="J501" t="n">
        <v>0</v>
      </c>
      <c r="K501" t="n">
        <v>0</v>
      </c>
      <c r="L501" t="n">
        <v>0</v>
      </c>
      <c r="M501" t="n">
        <v>0</v>
      </c>
      <c r="N501" t="n">
        <v>0</v>
      </c>
      <c r="O501" t="n">
        <v>0</v>
      </c>
      <c r="P501" t="n">
        <v>0</v>
      </c>
      <c r="Q501" t="n">
        <v>0</v>
      </c>
      <c r="R501" t="n">
        <v>0</v>
      </c>
      <c r="S501" t="n">
        <v>0</v>
      </c>
      <c r="T501" t="n">
        <v>0</v>
      </c>
      <c r="U501" s="2" t="inlineStr"/>
    </row>
    <row r="502" ht="15" customHeight="1">
      <c r="A502" t="inlineStr">
        <is>
          <t>A 61425-2025</t>
        </is>
      </c>
      <c r="B502" t="inlineStr">
        <is>
          <t>avverkningsanmälan</t>
        </is>
      </c>
      <c r="C502" t="inlineStr">
        <is>
          <t>Föryngringsavverkning</t>
        </is>
      </c>
      <c r="D502" s="1" t="n">
        <v>46001</v>
      </c>
      <c r="E502" s="1" t="n">
        <v>46220</v>
      </c>
      <c r="F502" t="inlineStr">
        <is>
          <t>VÄSTERNORRLANDS LÄN</t>
        </is>
      </c>
      <c r="G502" t="inlineStr">
        <is>
          <t>KRAMFORS</t>
        </is>
      </c>
      <c r="I502" t="n">
        <v>4.3</v>
      </c>
      <c r="J502" t="n">
        <v>0</v>
      </c>
      <c r="K502" t="n">
        <v>0</v>
      </c>
      <c r="L502" t="n">
        <v>0</v>
      </c>
      <c r="M502" t="n">
        <v>0</v>
      </c>
      <c r="N502" t="n">
        <v>0</v>
      </c>
      <c r="O502" t="n">
        <v>0</v>
      </c>
      <c r="P502" t="n">
        <v>0</v>
      </c>
      <c r="Q502" t="n">
        <v>0</v>
      </c>
      <c r="R502" t="n">
        <v>0</v>
      </c>
      <c r="S502" t="n">
        <v>0</v>
      </c>
      <c r="T502" t="n">
        <v>0</v>
      </c>
      <c r="U502" s="2" t="inlineStr"/>
    </row>
    <row r="503" ht="15" customHeight="1">
      <c r="A503" t="inlineStr">
        <is>
          <t>A 60829-2024</t>
        </is>
      </c>
      <c r="B503" t="inlineStr">
        <is>
          <t>avverkningsanmälan</t>
        </is>
      </c>
      <c r="C503" t="inlineStr">
        <is>
          <t>Föryngringsavverkning</t>
        </is>
      </c>
      <c r="D503" s="1" t="n">
        <v>45644</v>
      </c>
      <c r="E503" s="1" t="n">
        <v>46220</v>
      </c>
      <c r="F503" t="inlineStr">
        <is>
          <t>VÄSTERNORRLANDS LÄN</t>
        </is>
      </c>
      <c r="G503" t="inlineStr">
        <is>
          <t>KRAMFORS</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61716-2025</t>
        </is>
      </c>
      <c r="B504" t="inlineStr">
        <is>
          <t>avverkningsanmälan</t>
        </is>
      </c>
      <c r="C504" t="inlineStr">
        <is>
          <t>Föryngringsavverkning</t>
        </is>
      </c>
      <c r="D504" s="1" t="n">
        <v>46002</v>
      </c>
      <c r="E504" s="1" t="n">
        <v>46220</v>
      </c>
      <c r="F504" t="inlineStr">
        <is>
          <t>VÄSTERNORRLANDS LÄN</t>
        </is>
      </c>
      <c r="G504" t="inlineStr">
        <is>
          <t>KRAMFORS</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62474-2025</t>
        </is>
      </c>
      <c r="B505" t="inlineStr">
        <is>
          <t>avverkningsanmälan</t>
        </is>
      </c>
      <c r="C505" t="inlineStr">
        <is>
          <t>Föryngringsavverkning</t>
        </is>
      </c>
      <c r="D505" s="1" t="n">
        <v>46007</v>
      </c>
      <c r="E505" s="1" t="n">
        <v>46220</v>
      </c>
      <c r="F505" t="inlineStr">
        <is>
          <t>VÄSTERNORRLANDS LÄN</t>
        </is>
      </c>
      <c r="G505" t="inlineStr">
        <is>
          <t>KRAMFORS</t>
        </is>
      </c>
      <c r="I505" t="n">
        <v>3</v>
      </c>
      <c r="J505" t="n">
        <v>0</v>
      </c>
      <c r="K505" t="n">
        <v>0</v>
      </c>
      <c r="L505" t="n">
        <v>0</v>
      </c>
      <c r="M505" t="n">
        <v>0</v>
      </c>
      <c r="N505" t="n">
        <v>0</v>
      </c>
      <c r="O505" t="n">
        <v>0</v>
      </c>
      <c r="P505" t="n">
        <v>0</v>
      </c>
      <c r="Q505" t="n">
        <v>0</v>
      </c>
      <c r="R505" t="n">
        <v>0</v>
      </c>
      <c r="S505" t="n">
        <v>0</v>
      </c>
      <c r="T505" t="n">
        <v>0</v>
      </c>
      <c r="U505" s="2" t="inlineStr"/>
    </row>
    <row r="506" ht="15" customHeight="1">
      <c r="A506" t="inlineStr">
        <is>
          <t>A 32494-2022</t>
        </is>
      </c>
      <c r="B506" t="inlineStr">
        <is>
          <t>avverkningsanmälan</t>
        </is>
      </c>
      <c r="C506" t="inlineStr">
        <is>
          <t>Föryngringsavverkning</t>
        </is>
      </c>
      <c r="D506" s="1" t="n">
        <v>44782</v>
      </c>
      <c r="E506" s="1" t="n">
        <v>46220</v>
      </c>
      <c r="F506" t="inlineStr">
        <is>
          <t>VÄSTERNORRLANDS LÄN</t>
        </is>
      </c>
      <c r="G506" t="inlineStr">
        <is>
          <t>KRAMFORS</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62381-2025</t>
        </is>
      </c>
      <c r="B507" t="inlineStr">
        <is>
          <t>avverkningsanmälan</t>
        </is>
      </c>
      <c r="C507" t="inlineStr">
        <is>
          <t>Föryngringsavverkning</t>
        </is>
      </c>
      <c r="D507" s="1" t="n">
        <v>46007</v>
      </c>
      <c r="E507" s="1" t="n">
        <v>46220</v>
      </c>
      <c r="F507" t="inlineStr">
        <is>
          <t>VÄSTERNORRLANDS LÄN</t>
        </is>
      </c>
      <c r="G507" t="inlineStr">
        <is>
          <t>KRAMFORS</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2601-2023</t>
        </is>
      </c>
      <c r="B508" t="inlineStr">
        <is>
          <t>avverkningsanmälan</t>
        </is>
      </c>
      <c r="C508" t="inlineStr">
        <is>
          <t>Föryngringsavverkning</t>
        </is>
      </c>
      <c r="D508" s="1" t="n">
        <v>44943</v>
      </c>
      <c r="E508" s="1" t="n">
        <v>46220</v>
      </c>
      <c r="F508" t="inlineStr">
        <is>
          <t>VÄSTERNORRLANDS LÄN</t>
        </is>
      </c>
      <c r="G508" t="inlineStr">
        <is>
          <t>KRAMFORS</t>
        </is>
      </c>
      <c r="H508" t="inlineStr">
        <is>
          <t>SCA</t>
        </is>
      </c>
      <c r="I508" t="n">
        <v>44.5</v>
      </c>
      <c r="J508" t="n">
        <v>0</v>
      </c>
      <c r="K508" t="n">
        <v>0</v>
      </c>
      <c r="L508" t="n">
        <v>0</v>
      </c>
      <c r="M508" t="n">
        <v>0</v>
      </c>
      <c r="N508" t="n">
        <v>0</v>
      </c>
      <c r="O508" t="n">
        <v>0</v>
      </c>
      <c r="P508" t="n">
        <v>0</v>
      </c>
      <c r="Q508" t="n">
        <v>0</v>
      </c>
      <c r="R508" t="n">
        <v>0</v>
      </c>
      <c r="S508" t="n">
        <v>0</v>
      </c>
      <c r="T508" t="n">
        <v>0</v>
      </c>
      <c r="U508" s="2" t="inlineStr"/>
    </row>
    <row r="509" ht="15" customHeight="1">
      <c r="A509" t="inlineStr">
        <is>
          <t>A 63992-2023</t>
        </is>
      </c>
      <c r="B509" t="inlineStr">
        <is>
          <t>avverkningsanmälan</t>
        </is>
      </c>
      <c r="C509" t="inlineStr">
        <is>
          <t>Föryngringsavverkning</t>
        </is>
      </c>
      <c r="D509" s="1" t="n">
        <v>45278</v>
      </c>
      <c r="E509" s="1" t="n">
        <v>46220</v>
      </c>
      <c r="F509" t="inlineStr">
        <is>
          <t>VÄSTERNORRLANDS LÄN</t>
        </is>
      </c>
      <c r="G509" t="inlineStr">
        <is>
          <t>KRAMFORS</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62911-2025</t>
        </is>
      </c>
      <c r="B510" t="inlineStr">
        <is>
          <t>avverkningsanmälan</t>
        </is>
      </c>
      <c r="C510" t="inlineStr">
        <is>
          <t>Föryngringsavverkning</t>
        </is>
      </c>
      <c r="D510" s="1" t="n">
        <v>46009</v>
      </c>
      <c r="E510" s="1" t="n">
        <v>46220</v>
      </c>
      <c r="F510" t="inlineStr">
        <is>
          <t>VÄSTERNORRLANDS LÄN</t>
        </is>
      </c>
      <c r="G510" t="inlineStr">
        <is>
          <t>KRAMFORS</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62711-2025</t>
        </is>
      </c>
      <c r="B511" t="inlineStr">
        <is>
          <t>avverkningsanmälan</t>
        </is>
      </c>
      <c r="C511" t="inlineStr">
        <is>
          <t>Föryngringsavverkning</t>
        </is>
      </c>
      <c r="D511" s="1" t="n">
        <v>46008</v>
      </c>
      <c r="E511" s="1" t="n">
        <v>46220</v>
      </c>
      <c r="F511" t="inlineStr">
        <is>
          <t>VÄSTERNORRLANDS LÄN</t>
        </is>
      </c>
      <c r="G511" t="inlineStr">
        <is>
          <t>KRAMFORS</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63099-2025</t>
        </is>
      </c>
      <c r="B512" t="inlineStr">
        <is>
          <t>avverkningsanmälan</t>
        </is>
      </c>
      <c r="C512" t="inlineStr">
        <is>
          <t>Föryngringsavverkning</t>
        </is>
      </c>
      <c r="D512" s="1" t="n">
        <v>46009</v>
      </c>
      <c r="E512" s="1" t="n">
        <v>46220</v>
      </c>
      <c r="F512" t="inlineStr">
        <is>
          <t>VÄSTERNORRLANDS LÄN</t>
        </is>
      </c>
      <c r="G512" t="inlineStr">
        <is>
          <t>KRAMFORS</t>
        </is>
      </c>
      <c r="I512" t="n">
        <v>4</v>
      </c>
      <c r="J512" t="n">
        <v>0</v>
      </c>
      <c r="K512" t="n">
        <v>0</v>
      </c>
      <c r="L512" t="n">
        <v>0</v>
      </c>
      <c r="M512" t="n">
        <v>0</v>
      </c>
      <c r="N512" t="n">
        <v>0</v>
      </c>
      <c r="O512" t="n">
        <v>0</v>
      </c>
      <c r="P512" t="n">
        <v>0</v>
      </c>
      <c r="Q512" t="n">
        <v>0</v>
      </c>
      <c r="R512" t="n">
        <v>0</v>
      </c>
      <c r="S512" t="n">
        <v>0</v>
      </c>
      <c r="T512" t="n">
        <v>0</v>
      </c>
      <c r="U512" s="2" t="inlineStr"/>
    </row>
    <row r="513" ht="15" customHeight="1">
      <c r="A513" t="inlineStr">
        <is>
          <t>A 3721-2026</t>
        </is>
      </c>
      <c r="B513" t="inlineStr">
        <is>
          <t>avverkningsanmälan</t>
        </is>
      </c>
      <c r="C513" t="inlineStr">
        <is>
          <t>Föryngringsavverkning</t>
        </is>
      </c>
      <c r="D513" s="1" t="n">
        <v>46043</v>
      </c>
      <c r="E513" s="1" t="n">
        <v>46220</v>
      </c>
      <c r="F513" t="inlineStr">
        <is>
          <t>VÄSTERNORRLANDS LÄN</t>
        </is>
      </c>
      <c r="G513" t="inlineStr">
        <is>
          <t>KRAMFORS</t>
        </is>
      </c>
      <c r="I513" t="n">
        <v>8.9</v>
      </c>
      <c r="J513" t="n">
        <v>0</v>
      </c>
      <c r="K513" t="n">
        <v>0</v>
      </c>
      <c r="L513" t="n">
        <v>0</v>
      </c>
      <c r="M513" t="n">
        <v>0</v>
      </c>
      <c r="N513" t="n">
        <v>0</v>
      </c>
      <c r="O513" t="n">
        <v>0</v>
      </c>
      <c r="P513" t="n">
        <v>0</v>
      </c>
      <c r="Q513" t="n">
        <v>0</v>
      </c>
      <c r="R513" t="n">
        <v>0</v>
      </c>
      <c r="S513" t="n">
        <v>0</v>
      </c>
      <c r="T513" t="n">
        <v>0</v>
      </c>
      <c r="U513" s="2" t="inlineStr"/>
    </row>
    <row r="514" ht="15" customHeight="1">
      <c r="A514" t="inlineStr">
        <is>
          <t>A 8857-2024</t>
        </is>
      </c>
      <c r="B514" t="inlineStr">
        <is>
          <t>avverkningsanmälan</t>
        </is>
      </c>
      <c r="C514" t="inlineStr">
        <is>
          <t>Föryngringsavverkning</t>
        </is>
      </c>
      <c r="D514" s="1" t="n">
        <v>45356</v>
      </c>
      <c r="E514" s="1" t="n">
        <v>46220</v>
      </c>
      <c r="F514" t="inlineStr">
        <is>
          <t>VÄSTERNORRLANDS LÄN</t>
        </is>
      </c>
      <c r="G514" t="inlineStr">
        <is>
          <t>KRAMFORS</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62650-2025</t>
        </is>
      </c>
      <c r="B515" t="inlineStr">
        <is>
          <t>avverkningsanmälan</t>
        </is>
      </c>
      <c r="C515" t="inlineStr">
        <is>
          <t>Föryngringsavverkning</t>
        </is>
      </c>
      <c r="D515" s="1" t="n">
        <v>46008</v>
      </c>
      <c r="E515" s="1" t="n">
        <v>46220</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63091-2025</t>
        </is>
      </c>
      <c r="B516" t="inlineStr">
        <is>
          <t>avverkningsanmälan</t>
        </is>
      </c>
      <c r="C516" t="inlineStr">
        <is>
          <t>Föryngringsavverkning</t>
        </is>
      </c>
      <c r="D516" s="1" t="n">
        <v>46009</v>
      </c>
      <c r="E516" s="1" t="n">
        <v>46220</v>
      </c>
      <c r="F516" t="inlineStr">
        <is>
          <t>VÄSTERNORRLANDS LÄN</t>
        </is>
      </c>
      <c r="G516" t="inlineStr">
        <is>
          <t>KRAMFORS</t>
        </is>
      </c>
      <c r="I516" t="n">
        <v>0.4</v>
      </c>
      <c r="J516" t="n">
        <v>0</v>
      </c>
      <c r="K516" t="n">
        <v>0</v>
      </c>
      <c r="L516" t="n">
        <v>0</v>
      </c>
      <c r="M516" t="n">
        <v>0</v>
      </c>
      <c r="N516" t="n">
        <v>0</v>
      </c>
      <c r="O516" t="n">
        <v>0</v>
      </c>
      <c r="P516" t="n">
        <v>0</v>
      </c>
      <c r="Q516" t="n">
        <v>0</v>
      </c>
      <c r="R516" t="n">
        <v>0</v>
      </c>
      <c r="S516" t="n">
        <v>0</v>
      </c>
      <c r="T516" t="n">
        <v>0</v>
      </c>
      <c r="U516" s="2" t="inlineStr"/>
    </row>
    <row r="517" ht="15" customHeight="1">
      <c r="A517" t="inlineStr">
        <is>
          <t>A 62821-2025</t>
        </is>
      </c>
      <c r="B517" t="inlineStr">
        <is>
          <t>avverkningsanmälan</t>
        </is>
      </c>
      <c r="C517" t="inlineStr">
        <is>
          <t>Föryngringsavverkning</t>
        </is>
      </c>
      <c r="D517" s="1" t="n">
        <v>46008</v>
      </c>
      <c r="E517" s="1" t="n">
        <v>46220</v>
      </c>
      <c r="F517" t="inlineStr">
        <is>
          <t>VÄSTERNORRLANDS LÄN</t>
        </is>
      </c>
      <c r="G517" t="inlineStr">
        <is>
          <t>KRAMFORS</t>
        </is>
      </c>
      <c r="I517" t="n">
        <v>5.7</v>
      </c>
      <c r="J517" t="n">
        <v>0</v>
      </c>
      <c r="K517" t="n">
        <v>0</v>
      </c>
      <c r="L517" t="n">
        <v>0</v>
      </c>
      <c r="M517" t="n">
        <v>0</v>
      </c>
      <c r="N517" t="n">
        <v>0</v>
      </c>
      <c r="O517" t="n">
        <v>0</v>
      </c>
      <c r="P517" t="n">
        <v>0</v>
      </c>
      <c r="Q517" t="n">
        <v>0</v>
      </c>
      <c r="R517" t="n">
        <v>0</v>
      </c>
      <c r="S517" t="n">
        <v>0</v>
      </c>
      <c r="T517" t="n">
        <v>0</v>
      </c>
      <c r="U517" s="2" t="inlineStr"/>
    </row>
    <row r="518" ht="15" customHeight="1">
      <c r="A518" t="inlineStr">
        <is>
          <t>A 62834-2025</t>
        </is>
      </c>
      <c r="B518" t="inlineStr">
        <is>
          <t>avverkningsanmälan</t>
        </is>
      </c>
      <c r="C518" t="inlineStr">
        <is>
          <t>Föryngringsavverkning</t>
        </is>
      </c>
      <c r="D518" s="1" t="n">
        <v>46008</v>
      </c>
      <c r="E518" s="1" t="n">
        <v>46220</v>
      </c>
      <c r="F518" t="inlineStr">
        <is>
          <t>VÄSTERNORRLANDS LÄN</t>
        </is>
      </c>
      <c r="G518" t="inlineStr">
        <is>
          <t>KRAMFORS</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62822-2025</t>
        </is>
      </c>
      <c r="B519" t="inlineStr">
        <is>
          <t>avverkningsanmälan</t>
        </is>
      </c>
      <c r="C519" t="inlineStr">
        <is>
          <t>Föryngringsavverkning</t>
        </is>
      </c>
      <c r="D519" s="1" t="n">
        <v>46008</v>
      </c>
      <c r="E519" s="1" t="n">
        <v>46220</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62823-2025</t>
        </is>
      </c>
      <c r="B520" t="inlineStr">
        <is>
          <t>avverkningsanmälan</t>
        </is>
      </c>
      <c r="C520" t="inlineStr">
        <is>
          <t>Föryngringsavverkning</t>
        </is>
      </c>
      <c r="D520" s="1" t="n">
        <v>46008</v>
      </c>
      <c r="E520" s="1" t="n">
        <v>46220</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62627-2025</t>
        </is>
      </c>
      <c r="B521" t="inlineStr">
        <is>
          <t>avverkningsanmälan</t>
        </is>
      </c>
      <c r="C521" t="inlineStr">
        <is>
          <t>Föryngringsavverkning</t>
        </is>
      </c>
      <c r="D521" s="1" t="n">
        <v>46008</v>
      </c>
      <c r="E521" s="1" t="n">
        <v>46220</v>
      </c>
      <c r="F521" t="inlineStr">
        <is>
          <t>VÄSTERNORRLANDS LÄN</t>
        </is>
      </c>
      <c r="G521" t="inlineStr">
        <is>
          <t>KRAMFORS</t>
        </is>
      </c>
      <c r="I521" t="n">
        <v>0.3</v>
      </c>
      <c r="J521" t="n">
        <v>0</v>
      </c>
      <c r="K521" t="n">
        <v>0</v>
      </c>
      <c r="L521" t="n">
        <v>0</v>
      </c>
      <c r="M521" t="n">
        <v>0</v>
      </c>
      <c r="N521" t="n">
        <v>0</v>
      </c>
      <c r="O521" t="n">
        <v>0</v>
      </c>
      <c r="P521" t="n">
        <v>0</v>
      </c>
      <c r="Q521" t="n">
        <v>0</v>
      </c>
      <c r="R521" t="n">
        <v>0</v>
      </c>
      <c r="S521" t="n">
        <v>0</v>
      </c>
      <c r="T521" t="n">
        <v>0</v>
      </c>
      <c r="U521" s="2" t="inlineStr"/>
    </row>
    <row r="522" ht="15" customHeight="1">
      <c r="A522" t="inlineStr">
        <is>
          <t>A 62926-2025</t>
        </is>
      </c>
      <c r="B522" t="inlineStr">
        <is>
          <t>avverkningsanmälan</t>
        </is>
      </c>
      <c r="C522" t="inlineStr">
        <is>
          <t>Föryngringsavverkning</t>
        </is>
      </c>
      <c r="D522" s="1" t="n">
        <v>46009</v>
      </c>
      <c r="E522" s="1" t="n">
        <v>46220</v>
      </c>
      <c r="F522" t="inlineStr">
        <is>
          <t>VÄSTERNORRLANDS LÄN</t>
        </is>
      </c>
      <c r="G522" t="inlineStr">
        <is>
          <t>KRAMFORS</t>
        </is>
      </c>
      <c r="I522" t="n">
        <v>4.9</v>
      </c>
      <c r="J522" t="n">
        <v>0</v>
      </c>
      <c r="K522" t="n">
        <v>0</v>
      </c>
      <c r="L522" t="n">
        <v>0</v>
      </c>
      <c r="M522" t="n">
        <v>0</v>
      </c>
      <c r="N522" t="n">
        <v>0</v>
      </c>
      <c r="O522" t="n">
        <v>0</v>
      </c>
      <c r="P522" t="n">
        <v>0</v>
      </c>
      <c r="Q522" t="n">
        <v>0</v>
      </c>
      <c r="R522" t="n">
        <v>0</v>
      </c>
      <c r="S522" t="n">
        <v>0</v>
      </c>
      <c r="T522" t="n">
        <v>0</v>
      </c>
      <c r="U522" s="2" t="inlineStr"/>
    </row>
    <row r="523" ht="15" customHeight="1">
      <c r="A523" t="inlineStr">
        <is>
          <t>A 9597-2026</t>
        </is>
      </c>
      <c r="B523" t="inlineStr">
        <is>
          <t>avverkningsanmälan</t>
        </is>
      </c>
      <c r="C523" t="inlineStr">
        <is>
          <t>Föryngringsavverkning</t>
        </is>
      </c>
      <c r="D523" s="1" t="n">
        <v>46071</v>
      </c>
      <c r="E523" s="1" t="n">
        <v>46220</v>
      </c>
      <c r="F523" t="inlineStr">
        <is>
          <t>VÄSTERNORRLANDS LÄN</t>
        </is>
      </c>
      <c r="G523" t="inlineStr">
        <is>
          <t>KRAMFORS</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52724-2021</t>
        </is>
      </c>
      <c r="B524" t="inlineStr">
        <is>
          <t>avverkningsanmälan</t>
        </is>
      </c>
      <c r="C524" t="inlineStr">
        <is>
          <t>Föryngringsavverkning</t>
        </is>
      </c>
      <c r="D524" s="1" t="n">
        <v>44466</v>
      </c>
      <c r="E524" s="1" t="n">
        <v>46220</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63090-2025</t>
        </is>
      </c>
      <c r="B525" t="inlineStr">
        <is>
          <t>avverkningsanmälan</t>
        </is>
      </c>
      <c r="C525" t="inlineStr">
        <is>
          <t>Föryngringsavverkning</t>
        </is>
      </c>
      <c r="D525" s="1" t="n">
        <v>46009</v>
      </c>
      <c r="E525" s="1" t="n">
        <v>46220</v>
      </c>
      <c r="F525" t="inlineStr">
        <is>
          <t>VÄSTERNORRLANDS LÄN</t>
        </is>
      </c>
      <c r="G525" t="inlineStr">
        <is>
          <t>KRAMFORS</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9762-2026</t>
        </is>
      </c>
      <c r="B526" t="inlineStr">
        <is>
          <t>avverkningsanmälan</t>
        </is>
      </c>
      <c r="C526" t="inlineStr">
        <is>
          <t>Föryngringsavverkning</t>
        </is>
      </c>
      <c r="D526" s="1" t="n">
        <v>46072</v>
      </c>
      <c r="E526" s="1" t="n">
        <v>46220</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9745-2026</t>
        </is>
      </c>
      <c r="B527" t="inlineStr">
        <is>
          <t>avverkningsanmälan</t>
        </is>
      </c>
      <c r="C527" t="inlineStr">
        <is>
          <t>Föryngringsavverkning</t>
        </is>
      </c>
      <c r="D527" s="1" t="n">
        <v>46072</v>
      </c>
      <c r="E527" s="1" t="n">
        <v>46220</v>
      </c>
      <c r="F527" t="inlineStr">
        <is>
          <t>VÄSTERNORRLANDS LÄN</t>
        </is>
      </c>
      <c r="G527" t="inlineStr">
        <is>
          <t>KRAMFORS</t>
        </is>
      </c>
      <c r="I527" t="n">
        <v>10.5</v>
      </c>
      <c r="J527" t="n">
        <v>0</v>
      </c>
      <c r="K527" t="n">
        <v>0</v>
      </c>
      <c r="L527" t="n">
        <v>0</v>
      </c>
      <c r="M527" t="n">
        <v>0</v>
      </c>
      <c r="N527" t="n">
        <v>0</v>
      </c>
      <c r="O527" t="n">
        <v>0</v>
      </c>
      <c r="P527" t="n">
        <v>0</v>
      </c>
      <c r="Q527" t="n">
        <v>0</v>
      </c>
      <c r="R527" t="n">
        <v>0</v>
      </c>
      <c r="S527" t="n">
        <v>0</v>
      </c>
      <c r="T527" t="n">
        <v>0</v>
      </c>
      <c r="U527" s="2" t="inlineStr"/>
    </row>
    <row r="528" ht="15" customHeight="1">
      <c r="A528" t="inlineStr">
        <is>
          <t>A 15190-2025</t>
        </is>
      </c>
      <c r="B528" t="inlineStr">
        <is>
          <t>avverkningsanmälan</t>
        </is>
      </c>
      <c r="C528" t="inlineStr">
        <is>
          <t>Föryngringsavverkning</t>
        </is>
      </c>
      <c r="D528" s="1" t="n">
        <v>45744</v>
      </c>
      <c r="E528" s="1" t="n">
        <v>46220</v>
      </c>
      <c r="F528" t="inlineStr">
        <is>
          <t>VÄSTERNORRLANDS LÄN</t>
        </is>
      </c>
      <c r="G528" t="inlineStr">
        <is>
          <t>KRAMFORS</t>
        </is>
      </c>
      <c r="H528" t="inlineStr">
        <is>
          <t>Kyrkan</t>
        </is>
      </c>
      <c r="I528" t="n">
        <v>4.9</v>
      </c>
      <c r="J528" t="n">
        <v>0</v>
      </c>
      <c r="K528" t="n">
        <v>0</v>
      </c>
      <c r="L528" t="n">
        <v>0</v>
      </c>
      <c r="M528" t="n">
        <v>0</v>
      </c>
      <c r="N528" t="n">
        <v>0</v>
      </c>
      <c r="O528" t="n">
        <v>0</v>
      </c>
      <c r="P528" t="n">
        <v>0</v>
      </c>
      <c r="Q528" t="n">
        <v>0</v>
      </c>
      <c r="R528" t="n">
        <v>0</v>
      </c>
      <c r="S528" t="n">
        <v>0</v>
      </c>
      <c r="T528" t="n">
        <v>0</v>
      </c>
      <c r="U528" s="2" t="inlineStr"/>
    </row>
    <row r="529" ht="15" customHeight="1">
      <c r="A529" t="inlineStr">
        <is>
          <t>A 10449-2026</t>
        </is>
      </c>
      <c r="B529" t="inlineStr">
        <is>
          <t>avverkningsanmälan</t>
        </is>
      </c>
      <c r="C529" t="inlineStr">
        <is>
          <t>Föryngringsavverkning</t>
        </is>
      </c>
      <c r="D529" s="1" t="n">
        <v>46077</v>
      </c>
      <c r="E529" s="1" t="n">
        <v>46220</v>
      </c>
      <c r="F529" t="inlineStr">
        <is>
          <t>VÄSTERNORRLANDS LÄN</t>
        </is>
      </c>
      <c r="G529" t="inlineStr">
        <is>
          <t>KRAMFORS</t>
        </is>
      </c>
      <c r="I529" t="n">
        <v>16.7</v>
      </c>
      <c r="J529" t="n">
        <v>0</v>
      </c>
      <c r="K529" t="n">
        <v>0</v>
      </c>
      <c r="L529" t="n">
        <v>0</v>
      </c>
      <c r="M529" t="n">
        <v>0</v>
      </c>
      <c r="N529" t="n">
        <v>0</v>
      </c>
      <c r="O529" t="n">
        <v>0</v>
      </c>
      <c r="P529" t="n">
        <v>0</v>
      </c>
      <c r="Q529" t="n">
        <v>0</v>
      </c>
      <c r="R529" t="n">
        <v>0</v>
      </c>
      <c r="S529" t="n">
        <v>0</v>
      </c>
      <c r="T529" t="n">
        <v>0</v>
      </c>
      <c r="U529" s="2" t="inlineStr"/>
    </row>
    <row r="530" ht="15" customHeight="1">
      <c r="A530" t="inlineStr">
        <is>
          <t>A 63627-2025</t>
        </is>
      </c>
      <c r="B530" t="inlineStr">
        <is>
          <t>avverkningsanmälan</t>
        </is>
      </c>
      <c r="C530" t="inlineStr">
        <is>
          <t>Föryngringsavverkning</t>
        </is>
      </c>
      <c r="D530" s="1" t="n">
        <v>46014</v>
      </c>
      <c r="E530" s="1" t="n">
        <v>46220</v>
      </c>
      <c r="F530" t="inlineStr">
        <is>
          <t>VÄSTERNORRLANDS LÄN</t>
        </is>
      </c>
      <c r="G530" t="inlineStr">
        <is>
          <t>KRAMFORS</t>
        </is>
      </c>
      <c r="I530" t="n">
        <v>4</v>
      </c>
      <c r="J530" t="n">
        <v>0</v>
      </c>
      <c r="K530" t="n">
        <v>0</v>
      </c>
      <c r="L530" t="n">
        <v>0</v>
      </c>
      <c r="M530" t="n">
        <v>0</v>
      </c>
      <c r="N530" t="n">
        <v>0</v>
      </c>
      <c r="O530" t="n">
        <v>0</v>
      </c>
      <c r="P530" t="n">
        <v>0</v>
      </c>
      <c r="Q530" t="n">
        <v>0</v>
      </c>
      <c r="R530" t="n">
        <v>0</v>
      </c>
      <c r="S530" t="n">
        <v>0</v>
      </c>
      <c r="T530" t="n">
        <v>0</v>
      </c>
      <c r="U530" s="2" t="inlineStr"/>
    </row>
    <row r="531" ht="15" customHeight="1">
      <c r="A531" t="inlineStr">
        <is>
          <t>A 17729-2024</t>
        </is>
      </c>
      <c r="B531" t="inlineStr">
        <is>
          <t>avverkningsanmälan</t>
        </is>
      </c>
      <c r="C531" t="inlineStr">
        <is>
          <t>Föryngringsavverkning</t>
        </is>
      </c>
      <c r="D531" s="1" t="n">
        <v>45418</v>
      </c>
      <c r="E531" s="1" t="n">
        <v>46220</v>
      </c>
      <c r="F531" t="inlineStr">
        <is>
          <t>VÄSTERNORRLANDS LÄN</t>
        </is>
      </c>
      <c r="G531" t="inlineStr">
        <is>
          <t>KRAMFORS</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63683-2025</t>
        </is>
      </c>
      <c r="B532" t="inlineStr">
        <is>
          <t>avverkningsanmälan</t>
        </is>
      </c>
      <c r="C532" t="inlineStr">
        <is>
          <t>Föryngringsavverkning</t>
        </is>
      </c>
      <c r="D532" s="1" t="n">
        <v>46014</v>
      </c>
      <c r="E532" s="1" t="n">
        <v>46220</v>
      </c>
      <c r="F532" t="inlineStr">
        <is>
          <t>VÄSTERNORRLANDS LÄN</t>
        </is>
      </c>
      <c r="G532" t="inlineStr">
        <is>
          <t>KRAMFORS</t>
        </is>
      </c>
      <c r="I532" t="n">
        <v>3.2</v>
      </c>
      <c r="J532" t="n">
        <v>0</v>
      </c>
      <c r="K532" t="n">
        <v>0</v>
      </c>
      <c r="L532" t="n">
        <v>0</v>
      </c>
      <c r="M532" t="n">
        <v>0</v>
      </c>
      <c r="N532" t="n">
        <v>0</v>
      </c>
      <c r="O532" t="n">
        <v>0</v>
      </c>
      <c r="P532" t="n">
        <v>0</v>
      </c>
      <c r="Q532" t="n">
        <v>0</v>
      </c>
      <c r="R532" t="n">
        <v>0</v>
      </c>
      <c r="S532" t="n">
        <v>0</v>
      </c>
      <c r="T532" t="n">
        <v>0</v>
      </c>
      <c r="U532" s="2" t="inlineStr"/>
    </row>
    <row r="533" ht="15" customHeight="1">
      <c r="A533" t="inlineStr">
        <is>
          <t>A 44971-2023</t>
        </is>
      </c>
      <c r="B533" t="inlineStr">
        <is>
          <t>avverkningsanmälan</t>
        </is>
      </c>
      <c r="C533" t="inlineStr">
        <is>
          <t>Föryngringsavverkning</t>
        </is>
      </c>
      <c r="D533" s="1" t="n">
        <v>45190</v>
      </c>
      <c r="E533" s="1" t="n">
        <v>46220</v>
      </c>
      <c r="F533" t="inlineStr">
        <is>
          <t>VÄSTERNORRLANDS LÄN</t>
        </is>
      </c>
      <c r="G533" t="inlineStr">
        <is>
          <t>KRAMFORS</t>
        </is>
      </c>
      <c r="I533" t="n">
        <v>12.8</v>
      </c>
      <c r="J533" t="n">
        <v>0</v>
      </c>
      <c r="K533" t="n">
        <v>0</v>
      </c>
      <c r="L533" t="n">
        <v>0</v>
      </c>
      <c r="M533" t="n">
        <v>0</v>
      </c>
      <c r="N533" t="n">
        <v>0</v>
      </c>
      <c r="O533" t="n">
        <v>0</v>
      </c>
      <c r="P533" t="n">
        <v>0</v>
      </c>
      <c r="Q533" t="n">
        <v>0</v>
      </c>
      <c r="R533" t="n">
        <v>0</v>
      </c>
      <c r="S533" t="n">
        <v>0</v>
      </c>
      <c r="T533" t="n">
        <v>0</v>
      </c>
      <c r="U533" s="2" t="inlineStr"/>
    </row>
    <row r="534" ht="15" customHeight="1">
      <c r="A534" t="inlineStr">
        <is>
          <t>A 54638-2022</t>
        </is>
      </c>
      <c r="B534" t="inlineStr">
        <is>
          <t>avverkningsanmälan</t>
        </is>
      </c>
      <c r="C534" t="inlineStr">
        <is>
          <t>Föryngringsavverkning</t>
        </is>
      </c>
      <c r="D534" s="1" t="n">
        <v>44883</v>
      </c>
      <c r="E534" s="1" t="n">
        <v>46220</v>
      </c>
      <c r="F534" t="inlineStr">
        <is>
          <t>VÄSTERNORRLANDS LÄN</t>
        </is>
      </c>
      <c r="G534" t="inlineStr">
        <is>
          <t>KRAMFORS</t>
        </is>
      </c>
      <c r="I534" t="n">
        <v>3.6</v>
      </c>
      <c r="J534" t="n">
        <v>0</v>
      </c>
      <c r="K534" t="n">
        <v>0</v>
      </c>
      <c r="L534" t="n">
        <v>0</v>
      </c>
      <c r="M534" t="n">
        <v>0</v>
      </c>
      <c r="N534" t="n">
        <v>0</v>
      </c>
      <c r="O534" t="n">
        <v>0</v>
      </c>
      <c r="P534" t="n">
        <v>0</v>
      </c>
      <c r="Q534" t="n">
        <v>0</v>
      </c>
      <c r="R534" t="n">
        <v>0</v>
      </c>
      <c r="S534" t="n">
        <v>0</v>
      </c>
      <c r="T534" t="n">
        <v>0</v>
      </c>
      <c r="U534" s="2" t="inlineStr"/>
    </row>
    <row r="535" ht="15" customHeight="1">
      <c r="A535" t="inlineStr">
        <is>
          <t>A 16163-2025</t>
        </is>
      </c>
      <c r="B535" t="inlineStr">
        <is>
          <t>avverkningsanmälan</t>
        </is>
      </c>
      <c r="C535" t="inlineStr">
        <is>
          <t>Föryngringsavverkning</t>
        </is>
      </c>
      <c r="D535" s="1" t="n">
        <v>45750</v>
      </c>
      <c r="E535" s="1" t="n">
        <v>46220</v>
      </c>
      <c r="F535" t="inlineStr">
        <is>
          <t>VÄSTERNORRLANDS LÄN</t>
        </is>
      </c>
      <c r="G535" t="inlineStr">
        <is>
          <t>KRAMFORS</t>
        </is>
      </c>
      <c r="I535" t="n">
        <v>5.6</v>
      </c>
      <c r="J535" t="n">
        <v>0</v>
      </c>
      <c r="K535" t="n">
        <v>0</v>
      </c>
      <c r="L535" t="n">
        <v>0</v>
      </c>
      <c r="M535" t="n">
        <v>0</v>
      </c>
      <c r="N535" t="n">
        <v>0</v>
      </c>
      <c r="O535" t="n">
        <v>0</v>
      </c>
      <c r="P535" t="n">
        <v>0</v>
      </c>
      <c r="Q535" t="n">
        <v>0</v>
      </c>
      <c r="R535" t="n">
        <v>0</v>
      </c>
      <c r="S535" t="n">
        <v>0</v>
      </c>
      <c r="T535" t="n">
        <v>0</v>
      </c>
      <c r="U535" s="2" t="inlineStr"/>
    </row>
    <row r="536" ht="15" customHeight="1">
      <c r="A536" t="inlineStr">
        <is>
          <t>A 31339-2022</t>
        </is>
      </c>
      <c r="B536" t="inlineStr">
        <is>
          <t>avverkningsanmälan</t>
        </is>
      </c>
      <c r="C536" t="inlineStr">
        <is>
          <t>Föryngringsavverkning</t>
        </is>
      </c>
      <c r="D536" s="1" t="n">
        <v>44774</v>
      </c>
      <c r="E536" s="1" t="n">
        <v>46220</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37674-2024</t>
        </is>
      </c>
      <c r="B537" t="inlineStr">
        <is>
          <t>avverkningsanmälan</t>
        </is>
      </c>
      <c r="C537" t="inlineStr">
        <is>
          <t>Föryngringsavverkning</t>
        </is>
      </c>
      <c r="D537" s="1" t="n">
        <v>45541</v>
      </c>
      <c r="E537" s="1" t="n">
        <v>46220</v>
      </c>
      <c r="F537" t="inlineStr">
        <is>
          <t>VÄSTERNORRLANDS LÄN</t>
        </is>
      </c>
      <c r="G537" t="inlineStr">
        <is>
          <t>KRAMFORS</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8706-2024</t>
        </is>
      </c>
      <c r="B538" t="inlineStr">
        <is>
          <t>avverkningsanmälan</t>
        </is>
      </c>
      <c r="C538" t="inlineStr">
        <is>
          <t>Föryngringsavverkning</t>
        </is>
      </c>
      <c r="D538" s="1" t="n">
        <v>45355</v>
      </c>
      <c r="E538" s="1" t="n">
        <v>46220</v>
      </c>
      <c r="F538" t="inlineStr">
        <is>
          <t>VÄSTERNORRLANDS LÄN</t>
        </is>
      </c>
      <c r="G538" t="inlineStr">
        <is>
          <t>KRAMFORS</t>
        </is>
      </c>
      <c r="I538" t="n">
        <v>5.9</v>
      </c>
      <c r="J538" t="n">
        <v>0</v>
      </c>
      <c r="K538" t="n">
        <v>0</v>
      </c>
      <c r="L538" t="n">
        <v>0</v>
      </c>
      <c r="M538" t="n">
        <v>0</v>
      </c>
      <c r="N538" t="n">
        <v>0</v>
      </c>
      <c r="O538" t="n">
        <v>0</v>
      </c>
      <c r="P538" t="n">
        <v>0</v>
      </c>
      <c r="Q538" t="n">
        <v>0</v>
      </c>
      <c r="R538" t="n">
        <v>0</v>
      </c>
      <c r="S538" t="n">
        <v>0</v>
      </c>
      <c r="T538" t="n">
        <v>0</v>
      </c>
      <c r="U538" s="2" t="inlineStr"/>
    </row>
    <row r="539" ht="15" customHeight="1">
      <c r="A539" t="inlineStr">
        <is>
          <t>A 28318-2022</t>
        </is>
      </c>
      <c r="B539" t="inlineStr">
        <is>
          <t>avverkningsanmälan</t>
        </is>
      </c>
      <c r="C539" t="inlineStr">
        <is>
          <t>Avverkning för annat ändamål</t>
        </is>
      </c>
      <c r="D539" s="1" t="n">
        <v>44747</v>
      </c>
      <c r="E539" s="1" t="n">
        <v>46220</v>
      </c>
      <c r="F539" t="inlineStr">
        <is>
          <t>VÄSTERNORRLANDS LÄN</t>
        </is>
      </c>
      <c r="G539" t="inlineStr">
        <is>
          <t>KRAMFORS</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59378-2024</t>
        </is>
      </c>
      <c r="B540" t="inlineStr">
        <is>
          <t>avverkningsanmälan</t>
        </is>
      </c>
      <c r="C540" t="inlineStr">
        <is>
          <t>Föryngringsavverkning</t>
        </is>
      </c>
      <c r="D540" s="1" t="n">
        <v>45638</v>
      </c>
      <c r="E540" s="1" t="n">
        <v>46220</v>
      </c>
      <c r="F540" t="inlineStr">
        <is>
          <t>VÄSTERNORRLANDS LÄN</t>
        </is>
      </c>
      <c r="G540" t="inlineStr">
        <is>
          <t>KRAMFORS</t>
        </is>
      </c>
      <c r="I540" t="n">
        <v>7.1</v>
      </c>
      <c r="J540" t="n">
        <v>0</v>
      </c>
      <c r="K540" t="n">
        <v>0</v>
      </c>
      <c r="L540" t="n">
        <v>0</v>
      </c>
      <c r="M540" t="n">
        <v>0</v>
      </c>
      <c r="N540" t="n">
        <v>0</v>
      </c>
      <c r="O540" t="n">
        <v>0</v>
      </c>
      <c r="P540" t="n">
        <v>0</v>
      </c>
      <c r="Q540" t="n">
        <v>0</v>
      </c>
      <c r="R540" t="n">
        <v>0</v>
      </c>
      <c r="S540" t="n">
        <v>0</v>
      </c>
      <c r="T540" t="n">
        <v>0</v>
      </c>
      <c r="U540" s="2" t="inlineStr"/>
    </row>
    <row r="541" ht="15" customHeight="1">
      <c r="A541" t="inlineStr">
        <is>
          <t>A 13606-2026</t>
        </is>
      </c>
      <c r="B541" t="inlineStr">
        <is>
          <t>avverkningsanmälan</t>
        </is>
      </c>
      <c r="C541" t="inlineStr">
        <is>
          <t>Föryngringsavverkning</t>
        </is>
      </c>
      <c r="D541" s="1" t="n">
        <v>46094</v>
      </c>
      <c r="E541" s="1" t="n">
        <v>46220</v>
      </c>
      <c r="F541" t="inlineStr">
        <is>
          <t>VÄSTERNORRLANDS LÄN</t>
        </is>
      </c>
      <c r="G541" t="inlineStr">
        <is>
          <t>KRAMFORS</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13230-2026</t>
        </is>
      </c>
      <c r="B542" t="inlineStr">
        <is>
          <t>avverkningsanmälan</t>
        </is>
      </c>
      <c r="C542" t="inlineStr">
        <is>
          <t>Föryngringsavverkning</t>
        </is>
      </c>
      <c r="D542" s="1" t="n">
        <v>46093</v>
      </c>
      <c r="E542" s="1" t="n">
        <v>46220</v>
      </c>
      <c r="F542" t="inlineStr">
        <is>
          <t>VÄSTERNORRLANDS LÄN</t>
        </is>
      </c>
      <c r="G542" t="inlineStr">
        <is>
          <t>KRAMFORS</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5895-2026</t>
        </is>
      </c>
      <c r="B543" t="inlineStr">
        <is>
          <t>avverkningsanmälan</t>
        </is>
      </c>
      <c r="C543" t="inlineStr">
        <is>
          <t>Föryngringsavverkning</t>
        </is>
      </c>
      <c r="D543" s="1" t="n">
        <v>46052</v>
      </c>
      <c r="E543" s="1" t="n">
        <v>46220</v>
      </c>
      <c r="F543" t="inlineStr">
        <is>
          <t>VÄSTERNORRLANDS LÄN</t>
        </is>
      </c>
      <c r="G543" t="inlineStr">
        <is>
          <t>KRAMFORS</t>
        </is>
      </c>
      <c r="I543" t="n">
        <v>8.199999999999999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13932-2026</t>
        </is>
      </c>
      <c r="B544" t="inlineStr">
        <is>
          <t>avverkningsanmälan</t>
        </is>
      </c>
      <c r="C544" t="inlineStr">
        <is>
          <t>Föryngringsavverkning</t>
        </is>
      </c>
      <c r="D544" s="1" t="n">
        <v>46098</v>
      </c>
      <c r="E544" s="1" t="n">
        <v>46220</v>
      </c>
      <c r="F544" t="inlineStr">
        <is>
          <t>VÄSTERNORRLANDS LÄN</t>
        </is>
      </c>
      <c r="G544" t="inlineStr">
        <is>
          <t>KRAMFORS</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2080-2025</t>
        </is>
      </c>
      <c r="B545" t="inlineStr">
        <is>
          <t>avverkningsanmälan</t>
        </is>
      </c>
      <c r="C545" t="inlineStr">
        <is>
          <t>Föryngringsavverkning</t>
        </is>
      </c>
      <c r="D545" s="1" t="n">
        <v>45672</v>
      </c>
      <c r="E545" s="1" t="n">
        <v>46220</v>
      </c>
      <c r="F545" t="inlineStr">
        <is>
          <t>VÄSTERNORRLANDS LÄN</t>
        </is>
      </c>
      <c r="G545" t="inlineStr">
        <is>
          <t>KRAMFORS</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14177-2025</t>
        </is>
      </c>
      <c r="B546" t="inlineStr">
        <is>
          <t>avverkningsanmälan</t>
        </is>
      </c>
      <c r="C546" t="inlineStr">
        <is>
          <t>Föryngringsavverkning</t>
        </is>
      </c>
      <c r="D546" s="1" t="n">
        <v>45740</v>
      </c>
      <c r="E546" s="1" t="n">
        <v>46220</v>
      </c>
      <c r="F546" t="inlineStr">
        <is>
          <t>VÄSTERNORRLANDS LÄN</t>
        </is>
      </c>
      <c r="G546" t="inlineStr">
        <is>
          <t>KRAMFORS</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13939-2026</t>
        </is>
      </c>
      <c r="B547" t="inlineStr">
        <is>
          <t>avverkningsanmälan</t>
        </is>
      </c>
      <c r="C547" t="inlineStr">
        <is>
          <t>Föryngringsavverkning</t>
        </is>
      </c>
      <c r="D547" s="1" t="n">
        <v>46098</v>
      </c>
      <c r="E547" s="1" t="n">
        <v>46220</v>
      </c>
      <c r="F547" t="inlineStr">
        <is>
          <t>VÄSTERNORRLANDS LÄN</t>
        </is>
      </c>
      <c r="G547" t="inlineStr">
        <is>
          <t>KRAMFORS</t>
        </is>
      </c>
      <c r="I547" t="n">
        <v>6</v>
      </c>
      <c r="J547" t="n">
        <v>0</v>
      </c>
      <c r="K547" t="n">
        <v>0</v>
      </c>
      <c r="L547" t="n">
        <v>0</v>
      </c>
      <c r="M547" t="n">
        <v>0</v>
      </c>
      <c r="N547" t="n">
        <v>0</v>
      </c>
      <c r="O547" t="n">
        <v>0</v>
      </c>
      <c r="P547" t="n">
        <v>0</v>
      </c>
      <c r="Q547" t="n">
        <v>0</v>
      </c>
      <c r="R547" t="n">
        <v>0</v>
      </c>
      <c r="S547" t="n">
        <v>0</v>
      </c>
      <c r="T547" t="n">
        <v>0</v>
      </c>
      <c r="U547" s="2" t="inlineStr"/>
    </row>
    <row r="548" ht="15" customHeight="1">
      <c r="A548" t="inlineStr">
        <is>
          <t>A 3447-2025</t>
        </is>
      </c>
      <c r="B548" t="inlineStr">
        <is>
          <t>avverkningsanmälan</t>
        </is>
      </c>
      <c r="C548" t="inlineStr">
        <is>
          <t>Föryngringsavverkning</t>
        </is>
      </c>
      <c r="D548" s="1" t="n">
        <v>45680</v>
      </c>
      <c r="E548" s="1" t="n">
        <v>46220</v>
      </c>
      <c r="F548" t="inlineStr">
        <is>
          <t>VÄSTERNORRLANDS LÄN</t>
        </is>
      </c>
      <c r="G548" t="inlineStr">
        <is>
          <t>KRAMFORS</t>
        </is>
      </c>
      <c r="I548" t="n">
        <v>0.2</v>
      </c>
      <c r="J548" t="n">
        <v>0</v>
      </c>
      <c r="K548" t="n">
        <v>0</v>
      </c>
      <c r="L548" t="n">
        <v>0</v>
      </c>
      <c r="M548" t="n">
        <v>0</v>
      </c>
      <c r="N548" t="n">
        <v>0</v>
      </c>
      <c r="O548" t="n">
        <v>0</v>
      </c>
      <c r="P548" t="n">
        <v>0</v>
      </c>
      <c r="Q548" t="n">
        <v>0</v>
      </c>
      <c r="R548" t="n">
        <v>0</v>
      </c>
      <c r="S548" t="n">
        <v>0</v>
      </c>
      <c r="T548" t="n">
        <v>0</v>
      </c>
      <c r="U548" s="2" t="inlineStr"/>
    </row>
    <row r="549" ht="15" customHeight="1">
      <c r="A549" t="inlineStr">
        <is>
          <t>A 2385-2025</t>
        </is>
      </c>
      <c r="B549" t="inlineStr">
        <is>
          <t>avverkningsanmälan</t>
        </is>
      </c>
      <c r="C549" t="inlineStr">
        <is>
          <t>Föryngringsavverkning</t>
        </is>
      </c>
      <c r="D549" s="1" t="n">
        <v>45674</v>
      </c>
      <c r="E549" s="1" t="n">
        <v>46220</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14082-2026</t>
        </is>
      </c>
      <c r="B550" t="inlineStr">
        <is>
          <t>avverkningsanmälan</t>
        </is>
      </c>
      <c r="C550" t="inlineStr">
        <is>
          <t>Föryngringsavverkning</t>
        </is>
      </c>
      <c r="D550" s="1" t="n">
        <v>46099</v>
      </c>
      <c r="E550" s="1" t="n">
        <v>46220</v>
      </c>
      <c r="F550" t="inlineStr">
        <is>
          <t>VÄSTERNORRLANDS LÄN</t>
        </is>
      </c>
      <c r="G550" t="inlineStr">
        <is>
          <t>KRAMFORS</t>
        </is>
      </c>
      <c r="H550" t="inlineStr">
        <is>
          <t>Kommuner</t>
        </is>
      </c>
      <c r="I550" t="n">
        <v>5.3</v>
      </c>
      <c r="J550" t="n">
        <v>0</v>
      </c>
      <c r="K550" t="n">
        <v>0</v>
      </c>
      <c r="L550" t="n">
        <v>0</v>
      </c>
      <c r="M550" t="n">
        <v>0</v>
      </c>
      <c r="N550" t="n">
        <v>0</v>
      </c>
      <c r="O550" t="n">
        <v>0</v>
      </c>
      <c r="P550" t="n">
        <v>0</v>
      </c>
      <c r="Q550" t="n">
        <v>0</v>
      </c>
      <c r="R550" t="n">
        <v>0</v>
      </c>
      <c r="S550" t="n">
        <v>0</v>
      </c>
      <c r="T550" t="n">
        <v>0</v>
      </c>
      <c r="U550" s="2" t="inlineStr"/>
    </row>
    <row r="551" ht="15" customHeight="1">
      <c r="A551" t="inlineStr">
        <is>
          <t>A 4601-2023</t>
        </is>
      </c>
      <c r="B551" t="inlineStr">
        <is>
          <t>avverkningsanmälan</t>
        </is>
      </c>
      <c r="C551" t="inlineStr">
        <is>
          <t>Föryngringsavverkning</t>
        </is>
      </c>
      <c r="D551" s="1" t="n">
        <v>44956</v>
      </c>
      <c r="E551" s="1" t="n">
        <v>46220</v>
      </c>
      <c r="F551" t="inlineStr">
        <is>
          <t>VÄSTERNORRLANDS LÄN</t>
        </is>
      </c>
      <c r="G551" t="inlineStr">
        <is>
          <t>KRAMFORS</t>
        </is>
      </c>
      <c r="I551" t="n">
        <v>8.4</v>
      </c>
      <c r="J551" t="n">
        <v>0</v>
      </c>
      <c r="K551" t="n">
        <v>0</v>
      </c>
      <c r="L551" t="n">
        <v>0</v>
      </c>
      <c r="M551" t="n">
        <v>0</v>
      </c>
      <c r="N551" t="n">
        <v>0</v>
      </c>
      <c r="O551" t="n">
        <v>0</v>
      </c>
      <c r="P551" t="n">
        <v>0</v>
      </c>
      <c r="Q551" t="n">
        <v>0</v>
      </c>
      <c r="R551" t="n">
        <v>0</v>
      </c>
      <c r="S551" t="n">
        <v>0</v>
      </c>
      <c r="T551" t="n">
        <v>0</v>
      </c>
      <c r="U551" s="2" t="inlineStr"/>
    </row>
    <row r="552" ht="15" customHeight="1">
      <c r="A552" t="inlineStr">
        <is>
          <t>A 4602-2023</t>
        </is>
      </c>
      <c r="B552" t="inlineStr">
        <is>
          <t>avverkningsanmälan</t>
        </is>
      </c>
      <c r="C552" t="inlineStr">
        <is>
          <t>Föryngringsavverkning</t>
        </is>
      </c>
      <c r="D552" s="1" t="n">
        <v>44956</v>
      </c>
      <c r="E552" s="1" t="n">
        <v>46220</v>
      </c>
      <c r="F552" t="inlineStr">
        <is>
          <t>VÄSTERNORRLANDS LÄN</t>
        </is>
      </c>
      <c r="G552" t="inlineStr">
        <is>
          <t>KRAMFORS</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14159-2026</t>
        </is>
      </c>
      <c r="B553" t="inlineStr">
        <is>
          <t>avverkningsanmälan</t>
        </is>
      </c>
      <c r="C553" t="inlineStr">
        <is>
          <t>Föryngringsavverkning</t>
        </is>
      </c>
      <c r="D553" s="1" t="n">
        <v>46099</v>
      </c>
      <c r="E553" s="1" t="n">
        <v>46220</v>
      </c>
      <c r="F553" t="inlineStr">
        <is>
          <t>VÄSTERNORRLANDS LÄN</t>
        </is>
      </c>
      <c r="G553" t="inlineStr">
        <is>
          <t>KRAMFORS</t>
        </is>
      </c>
      <c r="I553" t="n">
        <v>12.3</v>
      </c>
      <c r="J553" t="n">
        <v>0</v>
      </c>
      <c r="K553" t="n">
        <v>0</v>
      </c>
      <c r="L553" t="n">
        <v>0</v>
      </c>
      <c r="M553" t="n">
        <v>0</v>
      </c>
      <c r="N553" t="n">
        <v>0</v>
      </c>
      <c r="O553" t="n">
        <v>0</v>
      </c>
      <c r="P553" t="n">
        <v>0</v>
      </c>
      <c r="Q553" t="n">
        <v>0</v>
      </c>
      <c r="R553" t="n">
        <v>0</v>
      </c>
      <c r="S553" t="n">
        <v>0</v>
      </c>
      <c r="T553" t="n">
        <v>0</v>
      </c>
      <c r="U553" s="2" t="inlineStr"/>
    </row>
    <row r="554" ht="15" customHeight="1">
      <c r="A554" t="inlineStr">
        <is>
          <t>A 59084-2022</t>
        </is>
      </c>
      <c r="B554" t="inlineStr">
        <is>
          <t>avverkningsanmälan</t>
        </is>
      </c>
      <c r="C554" t="inlineStr">
        <is>
          <t>Föryngringsavverkning</t>
        </is>
      </c>
      <c r="D554" s="1" t="n">
        <v>44897</v>
      </c>
      <c r="E554" s="1" t="n">
        <v>46220</v>
      </c>
      <c r="F554" t="inlineStr">
        <is>
          <t>VÄSTERNORRLANDS LÄN</t>
        </is>
      </c>
      <c r="G554" t="inlineStr">
        <is>
          <t>KRAMFORS</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14537-2026</t>
        </is>
      </c>
      <c r="B555" t="inlineStr">
        <is>
          <t>avverkningsanmälan</t>
        </is>
      </c>
      <c r="C555" t="inlineStr">
        <is>
          <t>Föryngringsavverkning</t>
        </is>
      </c>
      <c r="D555" s="1" t="n">
        <v>46100</v>
      </c>
      <c r="E555" s="1" t="n">
        <v>46220</v>
      </c>
      <c r="F555" t="inlineStr">
        <is>
          <t>VÄSTERNORRLANDS LÄN</t>
        </is>
      </c>
      <c r="G555" t="inlineStr">
        <is>
          <t>KRAMFORS</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14995-2026</t>
        </is>
      </c>
      <c r="B556" t="inlineStr">
        <is>
          <t>avverkningsanmälan</t>
        </is>
      </c>
      <c r="C556" t="inlineStr">
        <is>
          <t>Avverkning för annat ändamål</t>
        </is>
      </c>
      <c r="D556" s="1" t="n">
        <v>46104</v>
      </c>
      <c r="E556" s="1" t="n">
        <v>46220</v>
      </c>
      <c r="F556" t="inlineStr">
        <is>
          <t>VÄSTERNORRLANDS LÄN</t>
        </is>
      </c>
      <c r="G556" t="inlineStr">
        <is>
          <t>KRAMFORS</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14870-2025</t>
        </is>
      </c>
      <c r="B557" t="inlineStr">
        <is>
          <t>avverkningsanmälan</t>
        </is>
      </c>
      <c r="C557" t="inlineStr">
        <is>
          <t>Föryngringsavverkning</t>
        </is>
      </c>
      <c r="D557" s="1" t="n">
        <v>45743</v>
      </c>
      <c r="E557" s="1" t="n">
        <v>46220</v>
      </c>
      <c r="F557" t="inlineStr">
        <is>
          <t>VÄSTERNORRLANDS LÄN</t>
        </is>
      </c>
      <c r="G557" t="inlineStr">
        <is>
          <t>KRAMFORS</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61619-2023</t>
        </is>
      </c>
      <c r="B558" t="inlineStr">
        <is>
          <t>avverkningsanmälan</t>
        </is>
      </c>
      <c r="C558" t="inlineStr">
        <is>
          <t>Föryngringsavverkning</t>
        </is>
      </c>
      <c r="D558" s="1" t="n">
        <v>45261</v>
      </c>
      <c r="E558" s="1" t="n">
        <v>46220</v>
      </c>
      <c r="F558" t="inlineStr">
        <is>
          <t>VÄSTERNORRLANDS LÄN</t>
        </is>
      </c>
      <c r="G558" t="inlineStr">
        <is>
          <t>KRAMFORS</t>
        </is>
      </c>
      <c r="I558" t="n">
        <v>3.1</v>
      </c>
      <c r="J558" t="n">
        <v>0</v>
      </c>
      <c r="K558" t="n">
        <v>0</v>
      </c>
      <c r="L558" t="n">
        <v>0</v>
      </c>
      <c r="M558" t="n">
        <v>0</v>
      </c>
      <c r="N558" t="n">
        <v>0</v>
      </c>
      <c r="O558" t="n">
        <v>0</v>
      </c>
      <c r="P558" t="n">
        <v>0</v>
      </c>
      <c r="Q558" t="n">
        <v>0</v>
      </c>
      <c r="R558" t="n">
        <v>0</v>
      </c>
      <c r="S558" t="n">
        <v>0</v>
      </c>
      <c r="T558" t="n">
        <v>0</v>
      </c>
      <c r="U558" s="2" t="inlineStr"/>
    </row>
    <row r="559" ht="15" customHeight="1">
      <c r="A559" t="inlineStr">
        <is>
          <t>A 158-2024</t>
        </is>
      </c>
      <c r="B559" t="inlineStr">
        <is>
          <t>avverkningsanmälan</t>
        </is>
      </c>
      <c r="C559" t="inlineStr">
        <is>
          <t>Föryngringsavverkning</t>
        </is>
      </c>
      <c r="D559" s="1" t="n">
        <v>45294</v>
      </c>
      <c r="E559" s="1" t="n">
        <v>46220</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15004-2026</t>
        </is>
      </c>
      <c r="B560" t="inlineStr">
        <is>
          <t>avverkningsanmälan</t>
        </is>
      </c>
      <c r="C560" t="inlineStr">
        <is>
          <t>Föryngringsavverkning</t>
        </is>
      </c>
      <c r="D560" s="1" t="n">
        <v>46104</v>
      </c>
      <c r="E560" s="1" t="n">
        <v>46220</v>
      </c>
      <c r="F560" t="inlineStr">
        <is>
          <t>VÄSTERNORRLANDS LÄN</t>
        </is>
      </c>
      <c r="G560" t="inlineStr">
        <is>
          <t>KRAMFORS</t>
        </is>
      </c>
      <c r="I560" t="n">
        <v>4.7</v>
      </c>
      <c r="J560" t="n">
        <v>0</v>
      </c>
      <c r="K560" t="n">
        <v>0</v>
      </c>
      <c r="L560" t="n">
        <v>0</v>
      </c>
      <c r="M560" t="n">
        <v>0</v>
      </c>
      <c r="N560" t="n">
        <v>0</v>
      </c>
      <c r="O560" t="n">
        <v>0</v>
      </c>
      <c r="P560" t="n">
        <v>0</v>
      </c>
      <c r="Q560" t="n">
        <v>0</v>
      </c>
      <c r="R560" t="n">
        <v>0</v>
      </c>
      <c r="S560" t="n">
        <v>0</v>
      </c>
      <c r="T560" t="n">
        <v>0</v>
      </c>
      <c r="U560" s="2" t="inlineStr"/>
    </row>
    <row r="561" ht="15" customHeight="1">
      <c r="A561" t="inlineStr">
        <is>
          <t>A 41813-2024</t>
        </is>
      </c>
      <c r="B561" t="inlineStr">
        <is>
          <t>avverkningsanmälan</t>
        </is>
      </c>
      <c r="C561" t="inlineStr">
        <is>
          <t>Föryngringsavverkning</t>
        </is>
      </c>
      <c r="D561" s="1" t="n">
        <v>45561</v>
      </c>
      <c r="E561" s="1" t="n">
        <v>46220</v>
      </c>
      <c r="F561" t="inlineStr">
        <is>
          <t>VÄSTERNORRLANDS LÄN</t>
        </is>
      </c>
      <c r="G561" t="inlineStr">
        <is>
          <t>KRAMFORS</t>
        </is>
      </c>
      <c r="I561" t="n">
        <v>8.1</v>
      </c>
      <c r="J561" t="n">
        <v>0</v>
      </c>
      <c r="K561" t="n">
        <v>0</v>
      </c>
      <c r="L561" t="n">
        <v>0</v>
      </c>
      <c r="M561" t="n">
        <v>0</v>
      </c>
      <c r="N561" t="n">
        <v>0</v>
      </c>
      <c r="O561" t="n">
        <v>0</v>
      </c>
      <c r="P561" t="n">
        <v>0</v>
      </c>
      <c r="Q561" t="n">
        <v>0</v>
      </c>
      <c r="R561" t="n">
        <v>0</v>
      </c>
      <c r="S561" t="n">
        <v>0</v>
      </c>
      <c r="T561" t="n">
        <v>0</v>
      </c>
      <c r="U561" s="2" t="inlineStr"/>
    </row>
    <row r="562" ht="15" customHeight="1">
      <c r="A562" t="inlineStr">
        <is>
          <t>A 15143-2026</t>
        </is>
      </c>
      <c r="B562" t="inlineStr">
        <is>
          <t>avverkningsanmälan</t>
        </is>
      </c>
      <c r="C562" t="inlineStr">
        <is>
          <t>Föryngringsavverkning</t>
        </is>
      </c>
      <c r="D562" s="1" t="n">
        <v>46105</v>
      </c>
      <c r="E562" s="1" t="n">
        <v>46220</v>
      </c>
      <c r="F562" t="inlineStr">
        <is>
          <t>VÄSTERNORRLANDS LÄN</t>
        </is>
      </c>
      <c r="G562" t="inlineStr">
        <is>
          <t>KRAMFORS</t>
        </is>
      </c>
      <c r="I562" t="n">
        <v>2.5</v>
      </c>
      <c r="J562" t="n">
        <v>0</v>
      </c>
      <c r="K562" t="n">
        <v>0</v>
      </c>
      <c r="L562" t="n">
        <v>0</v>
      </c>
      <c r="M562" t="n">
        <v>0</v>
      </c>
      <c r="N562" t="n">
        <v>0</v>
      </c>
      <c r="O562" t="n">
        <v>0</v>
      </c>
      <c r="P562" t="n">
        <v>0</v>
      </c>
      <c r="Q562" t="n">
        <v>0</v>
      </c>
      <c r="R562" t="n">
        <v>0</v>
      </c>
      <c r="S562" t="n">
        <v>0</v>
      </c>
      <c r="T562" t="n">
        <v>0</v>
      </c>
      <c r="U562" s="2" t="inlineStr"/>
    </row>
    <row r="563" ht="15" customHeight="1">
      <c r="A563" t="inlineStr">
        <is>
          <t>A 43554-2022</t>
        </is>
      </c>
      <c r="B563" t="inlineStr">
        <is>
          <t>avverkningsanmälan</t>
        </is>
      </c>
      <c r="C563" t="inlineStr">
        <is>
          <t>Föryngringsavverkning</t>
        </is>
      </c>
      <c r="D563" s="1" t="n">
        <v>44834</v>
      </c>
      <c r="E563" s="1" t="n">
        <v>46220</v>
      </c>
      <c r="F563" t="inlineStr">
        <is>
          <t>VÄSTERNORRLANDS LÄN</t>
        </is>
      </c>
      <c r="G563" t="inlineStr">
        <is>
          <t>KRAMFORS</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16166-2025</t>
        </is>
      </c>
      <c r="B564" t="inlineStr">
        <is>
          <t>avverkningsanmälan</t>
        </is>
      </c>
      <c r="C564" t="inlineStr">
        <is>
          <t>Föryngringsavverkning</t>
        </is>
      </c>
      <c r="D564" s="1" t="n">
        <v>45750</v>
      </c>
      <c r="E564" s="1" t="n">
        <v>46220</v>
      </c>
      <c r="F564" t="inlineStr">
        <is>
          <t>VÄSTERNORRLANDS LÄN</t>
        </is>
      </c>
      <c r="G564" t="inlineStr">
        <is>
          <t>KRAMFORS</t>
        </is>
      </c>
      <c r="I564" t="n">
        <v>5.6</v>
      </c>
      <c r="J564" t="n">
        <v>0</v>
      </c>
      <c r="K564" t="n">
        <v>0</v>
      </c>
      <c r="L564" t="n">
        <v>0</v>
      </c>
      <c r="M564" t="n">
        <v>0</v>
      </c>
      <c r="N564" t="n">
        <v>0</v>
      </c>
      <c r="O564" t="n">
        <v>0</v>
      </c>
      <c r="P564" t="n">
        <v>0</v>
      </c>
      <c r="Q564" t="n">
        <v>0</v>
      </c>
      <c r="R564" t="n">
        <v>0</v>
      </c>
      <c r="S564" t="n">
        <v>0</v>
      </c>
      <c r="T564" t="n">
        <v>0</v>
      </c>
      <c r="U564" s="2" t="inlineStr"/>
    </row>
    <row r="565" ht="15" customHeight="1">
      <c r="A565" t="inlineStr">
        <is>
          <t>A 16167-2025</t>
        </is>
      </c>
      <c r="B565" t="inlineStr">
        <is>
          <t>avverkningsanmälan</t>
        </is>
      </c>
      <c r="C565" t="inlineStr">
        <is>
          <t>Föryngringsavverkning</t>
        </is>
      </c>
      <c r="D565" s="1" t="n">
        <v>45750</v>
      </c>
      <c r="E565" s="1" t="n">
        <v>46220</v>
      </c>
      <c r="F565" t="inlineStr">
        <is>
          <t>VÄSTERNORRLANDS LÄN</t>
        </is>
      </c>
      <c r="G565" t="inlineStr">
        <is>
          <t>KRAMFORS</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3614-2024</t>
        </is>
      </c>
      <c r="B566" t="inlineStr">
        <is>
          <t>avverkningsanmälan</t>
        </is>
      </c>
      <c r="C566" t="inlineStr">
        <is>
          <t>Föryngringsavverkning</t>
        </is>
      </c>
      <c r="D566" s="1" t="n">
        <v>45320</v>
      </c>
      <c r="E566" s="1" t="n">
        <v>46220</v>
      </c>
      <c r="F566" t="inlineStr">
        <is>
          <t>VÄSTERNORRLANDS LÄN</t>
        </is>
      </c>
      <c r="G566" t="inlineStr">
        <is>
          <t>KRAMFORS</t>
        </is>
      </c>
      <c r="I566" t="n">
        <v>3.2</v>
      </c>
      <c r="J566" t="n">
        <v>0</v>
      </c>
      <c r="K566" t="n">
        <v>0</v>
      </c>
      <c r="L566" t="n">
        <v>0</v>
      </c>
      <c r="M566" t="n">
        <v>0</v>
      </c>
      <c r="N566" t="n">
        <v>0</v>
      </c>
      <c r="O566" t="n">
        <v>0</v>
      </c>
      <c r="P566" t="n">
        <v>0</v>
      </c>
      <c r="Q566" t="n">
        <v>0</v>
      </c>
      <c r="R566" t="n">
        <v>0</v>
      </c>
      <c r="S566" t="n">
        <v>0</v>
      </c>
      <c r="T566" t="n">
        <v>0</v>
      </c>
      <c r="U566" s="2" t="inlineStr"/>
    </row>
    <row r="567" ht="15" customHeight="1">
      <c r="A567" t="inlineStr">
        <is>
          <t>A 36363-2022</t>
        </is>
      </c>
      <c r="B567" t="inlineStr">
        <is>
          <t>avverkningsanmälan</t>
        </is>
      </c>
      <c r="C567" t="inlineStr">
        <is>
          <t>Föryngringsavverkning</t>
        </is>
      </c>
      <c r="D567" s="1" t="n">
        <v>44803</v>
      </c>
      <c r="E567" s="1" t="n">
        <v>46220</v>
      </c>
      <c r="F567" t="inlineStr">
        <is>
          <t>VÄSTERNORRLANDS LÄN</t>
        </is>
      </c>
      <c r="G567" t="inlineStr">
        <is>
          <t>KRAMFORS</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14150-2024</t>
        </is>
      </c>
      <c r="B568" t="inlineStr">
        <is>
          <t>avverkningsanmälan</t>
        </is>
      </c>
      <c r="C568" t="inlineStr">
        <is>
          <t>Föryngringsavverkning</t>
        </is>
      </c>
      <c r="D568" s="1" t="n">
        <v>45392</v>
      </c>
      <c r="E568" s="1" t="n">
        <v>46220</v>
      </c>
      <c r="F568" t="inlineStr">
        <is>
          <t>VÄSTERNORRLANDS LÄN</t>
        </is>
      </c>
      <c r="G568" t="inlineStr">
        <is>
          <t>KRAMFORS</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16160-2025</t>
        </is>
      </c>
      <c r="B569" t="inlineStr">
        <is>
          <t>avverkningsanmälan</t>
        </is>
      </c>
      <c r="C569" t="inlineStr">
        <is>
          <t>Föryngringsavverkning</t>
        </is>
      </c>
      <c r="D569" s="1" t="n">
        <v>45750</v>
      </c>
      <c r="E569" s="1" t="n">
        <v>46220</v>
      </c>
      <c r="F569" t="inlineStr">
        <is>
          <t>VÄSTERNORRLANDS LÄN</t>
        </is>
      </c>
      <c r="G569" t="inlineStr">
        <is>
          <t>KRAMFORS</t>
        </is>
      </c>
      <c r="I569" t="n">
        <v>3.9</v>
      </c>
      <c r="J569" t="n">
        <v>0</v>
      </c>
      <c r="K569" t="n">
        <v>0</v>
      </c>
      <c r="L569" t="n">
        <v>0</v>
      </c>
      <c r="M569" t="n">
        <v>0</v>
      </c>
      <c r="N569" t="n">
        <v>0</v>
      </c>
      <c r="O569" t="n">
        <v>0</v>
      </c>
      <c r="P569" t="n">
        <v>0</v>
      </c>
      <c r="Q569" t="n">
        <v>0</v>
      </c>
      <c r="R569" t="n">
        <v>0</v>
      </c>
      <c r="S569" t="n">
        <v>0</v>
      </c>
      <c r="T569" t="n">
        <v>0</v>
      </c>
      <c r="U569" s="2" t="inlineStr"/>
    </row>
    <row r="570" ht="15" customHeight="1">
      <c r="A570" t="inlineStr">
        <is>
          <t>A 18981-2023</t>
        </is>
      </c>
      <c r="B570" t="inlineStr">
        <is>
          <t>avverkningsanmälan</t>
        </is>
      </c>
      <c r="C570" t="inlineStr">
        <is>
          <t>Föryngringsavverkning</t>
        </is>
      </c>
      <c r="D570" s="1" t="n">
        <v>45044</v>
      </c>
      <c r="E570" s="1" t="n">
        <v>46220</v>
      </c>
      <c r="F570" t="inlineStr">
        <is>
          <t>VÄSTERNORRLANDS LÄN</t>
        </is>
      </c>
      <c r="G570" t="inlineStr">
        <is>
          <t>KRAMFORS</t>
        </is>
      </c>
      <c r="I570" t="n">
        <v>2.6</v>
      </c>
      <c r="J570" t="n">
        <v>0</v>
      </c>
      <c r="K570" t="n">
        <v>0</v>
      </c>
      <c r="L570" t="n">
        <v>0</v>
      </c>
      <c r="M570" t="n">
        <v>0</v>
      </c>
      <c r="N570" t="n">
        <v>0</v>
      </c>
      <c r="O570" t="n">
        <v>0</v>
      </c>
      <c r="P570" t="n">
        <v>0</v>
      </c>
      <c r="Q570" t="n">
        <v>0</v>
      </c>
      <c r="R570" t="n">
        <v>0</v>
      </c>
      <c r="S570" t="n">
        <v>0</v>
      </c>
      <c r="T570" t="n">
        <v>0</v>
      </c>
      <c r="U570" s="2" t="inlineStr"/>
    </row>
    <row r="571" ht="15" customHeight="1">
      <c r="A571" t="inlineStr">
        <is>
          <t>A 30768-2024</t>
        </is>
      </c>
      <c r="B571" t="inlineStr">
        <is>
          <t>avverkningsanmälan</t>
        </is>
      </c>
      <c r="C571" t="inlineStr">
        <is>
          <t>Föryngringsavverkning</t>
        </is>
      </c>
      <c r="D571" s="1" t="n">
        <v>45496</v>
      </c>
      <c r="E571" s="1" t="n">
        <v>46220</v>
      </c>
      <c r="F571" t="inlineStr">
        <is>
          <t>VÄSTERNORRLANDS LÄN</t>
        </is>
      </c>
      <c r="G571" t="inlineStr">
        <is>
          <t>KRAMFORS</t>
        </is>
      </c>
      <c r="H571" t="inlineStr">
        <is>
          <t>Kyrkan</t>
        </is>
      </c>
      <c r="I571" t="n">
        <v>0.8</v>
      </c>
      <c r="J571" t="n">
        <v>0</v>
      </c>
      <c r="K571" t="n">
        <v>0</v>
      </c>
      <c r="L571" t="n">
        <v>0</v>
      </c>
      <c r="M571" t="n">
        <v>0</v>
      </c>
      <c r="N571" t="n">
        <v>0</v>
      </c>
      <c r="O571" t="n">
        <v>0</v>
      </c>
      <c r="P571" t="n">
        <v>0</v>
      </c>
      <c r="Q571" t="n">
        <v>0</v>
      </c>
      <c r="R571" t="n">
        <v>0</v>
      </c>
      <c r="S571" t="n">
        <v>0</v>
      </c>
      <c r="T571" t="n">
        <v>0</v>
      </c>
      <c r="U571" s="2" t="inlineStr"/>
    </row>
    <row r="572" ht="15" customHeight="1">
      <c r="A572" t="inlineStr">
        <is>
          <t>A 41158-2021</t>
        </is>
      </c>
      <c r="B572" t="inlineStr">
        <is>
          <t>avverkningsanmälan</t>
        </is>
      </c>
      <c r="C572" t="inlineStr">
        <is>
          <t>Föryngringsavverkning</t>
        </is>
      </c>
      <c r="D572" s="1" t="n">
        <v>44424</v>
      </c>
      <c r="E572" s="1" t="n">
        <v>46220</v>
      </c>
      <c r="F572" t="inlineStr">
        <is>
          <t>VÄSTERNORRLANDS LÄN</t>
        </is>
      </c>
      <c r="G572" t="inlineStr">
        <is>
          <t>KRAMFORS</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17774-2025</t>
        </is>
      </c>
      <c r="B573" t="inlineStr">
        <is>
          <t>avverkningsanmälan</t>
        </is>
      </c>
      <c r="C573" t="inlineStr">
        <is>
          <t>Föryngringsavverkning</t>
        </is>
      </c>
      <c r="D573" s="1" t="n">
        <v>45758</v>
      </c>
      <c r="E573" s="1" t="n">
        <v>46220</v>
      </c>
      <c r="F573" t="inlineStr">
        <is>
          <t>VÄSTERNORRLANDS LÄN</t>
        </is>
      </c>
      <c r="G573" t="inlineStr">
        <is>
          <t>KRAMFORS</t>
        </is>
      </c>
      <c r="I573" t="n">
        <v>3.5</v>
      </c>
      <c r="J573" t="n">
        <v>0</v>
      </c>
      <c r="K573" t="n">
        <v>0</v>
      </c>
      <c r="L573" t="n">
        <v>0</v>
      </c>
      <c r="M573" t="n">
        <v>0</v>
      </c>
      <c r="N573" t="n">
        <v>0</v>
      </c>
      <c r="O573" t="n">
        <v>0</v>
      </c>
      <c r="P573" t="n">
        <v>0</v>
      </c>
      <c r="Q573" t="n">
        <v>0</v>
      </c>
      <c r="R573" t="n">
        <v>0</v>
      </c>
      <c r="S573" t="n">
        <v>0</v>
      </c>
      <c r="T573" t="n">
        <v>0</v>
      </c>
      <c r="U573" s="2" t="inlineStr"/>
    </row>
    <row r="574" ht="15" customHeight="1">
      <c r="A574" t="inlineStr">
        <is>
          <t>A 38536-2022</t>
        </is>
      </c>
      <c r="B574" t="inlineStr">
        <is>
          <t>avverkningsanmälan</t>
        </is>
      </c>
      <c r="C574" t="inlineStr">
        <is>
          <t>Avverkning för att bevara och utveckla /försöksver</t>
        </is>
      </c>
      <c r="D574" s="1" t="n">
        <v>44813</v>
      </c>
      <c r="E574" s="1" t="n">
        <v>46220</v>
      </c>
      <c r="F574" t="inlineStr">
        <is>
          <t>VÄSTERNORRLANDS LÄN</t>
        </is>
      </c>
      <c r="G574" t="inlineStr">
        <is>
          <t>KRAMFORS</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17271-2026</t>
        </is>
      </c>
      <c r="B575" t="inlineStr">
        <is>
          <t>avverkningsanmälan</t>
        </is>
      </c>
      <c r="C575" t="inlineStr">
        <is>
          <t>Föryngringsavverkning</t>
        </is>
      </c>
      <c r="D575" s="1" t="n">
        <v>46119</v>
      </c>
      <c r="E575" s="1" t="n">
        <v>46220</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18618-2025</t>
        </is>
      </c>
      <c r="B576" t="inlineStr">
        <is>
          <t>avverkningsanmälan</t>
        </is>
      </c>
      <c r="C576" t="inlineStr">
        <is>
          <t>Föryngringsavverkning</t>
        </is>
      </c>
      <c r="D576" s="1" t="n">
        <v>45763</v>
      </c>
      <c r="E576" s="1" t="n">
        <v>46220</v>
      </c>
      <c r="F576" t="inlineStr">
        <is>
          <t>VÄSTERNORRLANDS LÄN</t>
        </is>
      </c>
      <c r="G576" t="inlineStr">
        <is>
          <t>KRAMFORS</t>
        </is>
      </c>
      <c r="H576" t="inlineStr">
        <is>
          <t>SCA</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4815-2024</t>
        </is>
      </c>
      <c r="B577" t="inlineStr">
        <is>
          <t>avverkningsanmälan</t>
        </is>
      </c>
      <c r="C577" t="inlineStr">
        <is>
          <t>Föryngringsavverkning</t>
        </is>
      </c>
      <c r="D577" s="1" t="n">
        <v>45328</v>
      </c>
      <c r="E577" s="1" t="n">
        <v>46220</v>
      </c>
      <c r="F577" t="inlineStr">
        <is>
          <t>VÄSTERNORRLANDS LÄN</t>
        </is>
      </c>
      <c r="G577" t="inlineStr">
        <is>
          <t>KRAMFORS</t>
        </is>
      </c>
      <c r="H577" t="inlineStr">
        <is>
          <t>SCA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19021-2025</t>
        </is>
      </c>
      <c r="B578" t="inlineStr">
        <is>
          <t>avverkningsanmälan</t>
        </is>
      </c>
      <c r="C578" t="inlineStr">
        <is>
          <t>Föryngringsavverkning</t>
        </is>
      </c>
      <c r="D578" s="1" t="n">
        <v>45764</v>
      </c>
      <c r="E578" s="1" t="n">
        <v>46220</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s="2" t="inlineStr"/>
    </row>
    <row r="579" ht="15" customHeight="1">
      <c r="A579" t="inlineStr">
        <is>
          <t>A 9389-2026</t>
        </is>
      </c>
      <c r="B579" t="inlineStr">
        <is>
          <t>avverkningsanmälan</t>
        </is>
      </c>
      <c r="C579" t="inlineStr">
        <is>
          <t>Föryngringsavverkning</t>
        </is>
      </c>
      <c r="D579" s="1" t="n">
        <v>46071</v>
      </c>
      <c r="E579" s="1" t="n">
        <v>46220</v>
      </c>
      <c r="F579" t="inlineStr">
        <is>
          <t>VÄSTERNORRLANDS LÄN</t>
        </is>
      </c>
      <c r="G579" t="inlineStr">
        <is>
          <t>KRAMFORS</t>
        </is>
      </c>
      <c r="I579" t="n">
        <v>6.1</v>
      </c>
      <c r="J579" t="n">
        <v>0</v>
      </c>
      <c r="K579" t="n">
        <v>0</v>
      </c>
      <c r="L579" t="n">
        <v>0</v>
      </c>
      <c r="M579" t="n">
        <v>0</v>
      </c>
      <c r="N579" t="n">
        <v>0</v>
      </c>
      <c r="O579" t="n">
        <v>0</v>
      </c>
      <c r="P579" t="n">
        <v>0</v>
      </c>
      <c r="Q579" t="n">
        <v>0</v>
      </c>
      <c r="R579" t="n">
        <v>0</v>
      </c>
      <c r="S579" t="n">
        <v>0</v>
      </c>
      <c r="T579" t="n">
        <v>0</v>
      </c>
      <c r="U579" s="2" t="inlineStr"/>
    </row>
    <row r="580" ht="15" customHeight="1">
      <c r="A580" t="inlineStr">
        <is>
          <t>A 28114-2024</t>
        </is>
      </c>
      <c r="B580" t="inlineStr">
        <is>
          <t>avverkningsanmälan</t>
        </is>
      </c>
      <c r="C580" t="inlineStr">
        <is>
          <t>Föryngringsavverkning</t>
        </is>
      </c>
      <c r="D580" s="1" t="n">
        <v>45476</v>
      </c>
      <c r="E580" s="1" t="n">
        <v>46220</v>
      </c>
      <c r="F580" t="inlineStr">
        <is>
          <t>VÄSTERNORRLANDS LÄN</t>
        </is>
      </c>
      <c r="G580" t="inlineStr">
        <is>
          <t>KRAMFORS</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58424-2022</t>
        </is>
      </c>
      <c r="B581" t="inlineStr">
        <is>
          <t>avverkningsanmälan</t>
        </is>
      </c>
      <c r="C581" t="inlineStr">
        <is>
          <t>Föryngringsavverkning</t>
        </is>
      </c>
      <c r="D581" s="1" t="n">
        <v>44901</v>
      </c>
      <c r="E581" s="1" t="n">
        <v>46220</v>
      </c>
      <c r="F581" t="inlineStr">
        <is>
          <t>VÄSTERNORRLANDS LÄN</t>
        </is>
      </c>
      <c r="G581" t="inlineStr">
        <is>
          <t>KRAMFORS</t>
        </is>
      </c>
      <c r="I581" t="n">
        <v>2.5</v>
      </c>
      <c r="J581" t="n">
        <v>0</v>
      </c>
      <c r="K581" t="n">
        <v>0</v>
      </c>
      <c r="L581" t="n">
        <v>0</v>
      </c>
      <c r="M581" t="n">
        <v>0</v>
      </c>
      <c r="N581" t="n">
        <v>0</v>
      </c>
      <c r="O581" t="n">
        <v>0</v>
      </c>
      <c r="P581" t="n">
        <v>0</v>
      </c>
      <c r="Q581" t="n">
        <v>0</v>
      </c>
      <c r="R581" t="n">
        <v>0</v>
      </c>
      <c r="S581" t="n">
        <v>0</v>
      </c>
      <c r="T581" t="n">
        <v>0</v>
      </c>
      <c r="U581" s="2" t="inlineStr"/>
    </row>
    <row r="582" ht="15" customHeight="1">
      <c r="A582" t="inlineStr">
        <is>
          <t>A 36594-2022</t>
        </is>
      </c>
      <c r="B582" t="inlineStr">
        <is>
          <t>avverkningsanmälan</t>
        </is>
      </c>
      <c r="C582" t="inlineStr">
        <is>
          <t>Föryngringsavverkning</t>
        </is>
      </c>
      <c r="D582" s="1" t="n">
        <v>44804</v>
      </c>
      <c r="E582" s="1" t="n">
        <v>46220</v>
      </c>
      <c r="F582" t="inlineStr">
        <is>
          <t>VÄSTERNORRLANDS LÄN</t>
        </is>
      </c>
      <c r="G582" t="inlineStr">
        <is>
          <t>KRAMFORS</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38247-2024</t>
        </is>
      </c>
      <c r="B583" t="inlineStr">
        <is>
          <t>avverkningsanmälan</t>
        </is>
      </c>
      <c r="C583" t="inlineStr">
        <is>
          <t>Föryngringsavverkning</t>
        </is>
      </c>
      <c r="D583" s="1" t="n">
        <v>45545</v>
      </c>
      <c r="E583" s="1" t="n">
        <v>46220</v>
      </c>
      <c r="F583" t="inlineStr">
        <is>
          <t>VÄSTERNORRLANDS LÄN</t>
        </is>
      </c>
      <c r="G583" t="inlineStr">
        <is>
          <t>KRAMFORS</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18439-2026</t>
        </is>
      </c>
      <c r="B584" t="inlineStr">
        <is>
          <t>avverkningsanmälan</t>
        </is>
      </c>
      <c r="C584" t="inlineStr">
        <is>
          <t>Föryngringsavverkning</t>
        </is>
      </c>
      <c r="D584" s="1" t="n">
        <v>46127</v>
      </c>
      <c r="E584" s="1" t="n">
        <v>46220</v>
      </c>
      <c r="F584" t="inlineStr">
        <is>
          <t>VÄSTERNORRLANDS LÄN</t>
        </is>
      </c>
      <c r="G584" t="inlineStr">
        <is>
          <t>KRAMFORS</t>
        </is>
      </c>
      <c r="I584" t="n">
        <v>6.6</v>
      </c>
      <c r="J584" t="n">
        <v>0</v>
      </c>
      <c r="K584" t="n">
        <v>0</v>
      </c>
      <c r="L584" t="n">
        <v>0</v>
      </c>
      <c r="M584" t="n">
        <v>0</v>
      </c>
      <c r="N584" t="n">
        <v>0</v>
      </c>
      <c r="O584" t="n">
        <v>0</v>
      </c>
      <c r="P584" t="n">
        <v>0</v>
      </c>
      <c r="Q584" t="n">
        <v>0</v>
      </c>
      <c r="R584" t="n">
        <v>0</v>
      </c>
      <c r="S584" t="n">
        <v>0</v>
      </c>
      <c r="T584" t="n">
        <v>0</v>
      </c>
      <c r="U584" s="2" t="inlineStr"/>
    </row>
    <row r="585" ht="15" customHeight="1">
      <c r="A585" t="inlineStr">
        <is>
          <t>A 18710-2026</t>
        </is>
      </c>
      <c r="B585" t="inlineStr">
        <is>
          <t>avverkningsanmälan</t>
        </is>
      </c>
      <c r="C585" t="inlineStr">
        <is>
          <t>Föryngringsavverkning</t>
        </is>
      </c>
      <c r="D585" s="1" t="n">
        <v>46128</v>
      </c>
      <c r="E585" s="1" t="n">
        <v>46220</v>
      </c>
      <c r="F585" t="inlineStr">
        <is>
          <t>VÄSTERNORRLANDS LÄN</t>
        </is>
      </c>
      <c r="G585" t="inlineStr">
        <is>
          <t>KRAMFORS</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16531-2026</t>
        </is>
      </c>
      <c r="B586" t="inlineStr">
        <is>
          <t>avverkningsanmälan</t>
        </is>
      </c>
      <c r="C586" t="inlineStr">
        <is>
          <t>Föryngringsavverkning</t>
        </is>
      </c>
      <c r="D586" s="1" t="n">
        <v>46112</v>
      </c>
      <c r="E586" s="1" t="n">
        <v>46220</v>
      </c>
      <c r="F586" t="inlineStr">
        <is>
          <t>VÄSTERNORRLANDS LÄN</t>
        </is>
      </c>
      <c r="G586" t="inlineStr">
        <is>
          <t>KRAMFORS</t>
        </is>
      </c>
      <c r="I586" t="n">
        <v>5.6</v>
      </c>
      <c r="J586" t="n">
        <v>0</v>
      </c>
      <c r="K586" t="n">
        <v>0</v>
      </c>
      <c r="L586" t="n">
        <v>0</v>
      </c>
      <c r="M586" t="n">
        <v>0</v>
      </c>
      <c r="N586" t="n">
        <v>0</v>
      </c>
      <c r="O586" t="n">
        <v>0</v>
      </c>
      <c r="P586" t="n">
        <v>0</v>
      </c>
      <c r="Q586" t="n">
        <v>0</v>
      </c>
      <c r="R586" t="n">
        <v>0</v>
      </c>
      <c r="S586" t="n">
        <v>0</v>
      </c>
      <c r="T586" t="n">
        <v>0</v>
      </c>
      <c r="U586" s="2" t="inlineStr"/>
    </row>
    <row r="587" ht="15" customHeight="1">
      <c r="A587" t="inlineStr">
        <is>
          <t>A 18646-2025</t>
        </is>
      </c>
      <c r="B587" t="inlineStr">
        <is>
          <t>avverkningsanmälan</t>
        </is>
      </c>
      <c r="C587" t="inlineStr">
        <is>
          <t>Föryngringsavverkning</t>
        </is>
      </c>
      <c r="D587" s="1" t="n">
        <v>45763</v>
      </c>
      <c r="E587" s="1" t="n">
        <v>46220</v>
      </c>
      <c r="F587" t="inlineStr">
        <is>
          <t>VÄSTERNORRLANDS LÄN</t>
        </is>
      </c>
      <c r="G587" t="inlineStr">
        <is>
          <t>KRAMFORS</t>
        </is>
      </c>
      <c r="H587" t="inlineStr">
        <is>
          <t>SCA</t>
        </is>
      </c>
      <c r="I587" t="n">
        <v>6.3</v>
      </c>
      <c r="J587" t="n">
        <v>0</v>
      </c>
      <c r="K587" t="n">
        <v>0</v>
      </c>
      <c r="L587" t="n">
        <v>0</v>
      </c>
      <c r="M587" t="n">
        <v>0</v>
      </c>
      <c r="N587" t="n">
        <v>0</v>
      </c>
      <c r="O587" t="n">
        <v>0</v>
      </c>
      <c r="P587" t="n">
        <v>0</v>
      </c>
      <c r="Q587" t="n">
        <v>0</v>
      </c>
      <c r="R587" t="n">
        <v>0</v>
      </c>
      <c r="S587" t="n">
        <v>0</v>
      </c>
      <c r="T587" t="n">
        <v>0</v>
      </c>
      <c r="U587" s="2" t="inlineStr"/>
    </row>
    <row r="588" ht="15" customHeight="1">
      <c r="A588" t="inlineStr">
        <is>
          <t>A 18652-2025</t>
        </is>
      </c>
      <c r="B588" t="inlineStr">
        <is>
          <t>avverkningsanmälan</t>
        </is>
      </c>
      <c r="C588" t="inlineStr">
        <is>
          <t>Föryngringsavverkning</t>
        </is>
      </c>
      <c r="D588" s="1" t="n">
        <v>45763</v>
      </c>
      <c r="E588" s="1" t="n">
        <v>46220</v>
      </c>
      <c r="F588" t="inlineStr">
        <is>
          <t>VÄSTERNORRLANDS LÄN</t>
        </is>
      </c>
      <c r="G588" t="inlineStr">
        <is>
          <t>KRAMFORS</t>
        </is>
      </c>
      <c r="H588" t="inlineStr">
        <is>
          <t>SCA</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31140-2024</t>
        </is>
      </c>
      <c r="B589" t="inlineStr">
        <is>
          <t>avverkningsanmälan</t>
        </is>
      </c>
      <c r="C589" t="inlineStr">
        <is>
          <t>Föryngringsavverkning</t>
        </is>
      </c>
      <c r="D589" s="1" t="n">
        <v>45502</v>
      </c>
      <c r="E589" s="1" t="n">
        <v>46220</v>
      </c>
      <c r="F589" t="inlineStr">
        <is>
          <t>VÄSTERNORRLANDS LÄN</t>
        </is>
      </c>
      <c r="G589" t="inlineStr">
        <is>
          <t>KRAMFORS</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68615-2021</t>
        </is>
      </c>
      <c r="B590" t="inlineStr">
        <is>
          <t>avverkningsanmälan</t>
        </is>
      </c>
      <c r="C590" t="inlineStr">
        <is>
          <t>Föryngringsavverkning</t>
        </is>
      </c>
      <c r="D590" s="1" t="n">
        <v>44529</v>
      </c>
      <c r="E590" s="1" t="n">
        <v>46220</v>
      </c>
      <c r="F590" t="inlineStr">
        <is>
          <t>VÄSTERNORRLANDS LÄN</t>
        </is>
      </c>
      <c r="G590" t="inlineStr">
        <is>
          <t>KRAMFORS</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18820-2026</t>
        </is>
      </c>
      <c r="B591" t="inlineStr">
        <is>
          <t>avverkningsanmälan</t>
        </is>
      </c>
      <c r="C591" t="inlineStr">
        <is>
          <t>Föryngringsavverkning</t>
        </is>
      </c>
      <c r="D591" s="1" t="n">
        <v>46127</v>
      </c>
      <c r="E591" s="1" t="n">
        <v>46220</v>
      </c>
      <c r="F591" t="inlineStr">
        <is>
          <t>VÄSTERNORRLANDS LÄN</t>
        </is>
      </c>
      <c r="G591" t="inlineStr">
        <is>
          <t>KRAMFORS</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6061-2024</t>
        </is>
      </c>
      <c r="B592" t="inlineStr">
        <is>
          <t>avverkningsanmälan</t>
        </is>
      </c>
      <c r="C592" t="inlineStr">
        <is>
          <t>Föryngringsavverkning</t>
        </is>
      </c>
      <c r="D592" s="1" t="n">
        <v>45336</v>
      </c>
      <c r="E592" s="1" t="n">
        <v>46220</v>
      </c>
      <c r="F592" t="inlineStr">
        <is>
          <t>VÄSTERNORRLANDS LÄN</t>
        </is>
      </c>
      <c r="G592" t="inlineStr">
        <is>
          <t>KRAMFORS</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12957-2025</t>
        </is>
      </c>
      <c r="B593" t="inlineStr">
        <is>
          <t>avverkningsanmälan</t>
        </is>
      </c>
      <c r="C593" t="inlineStr">
        <is>
          <t>Föryngringsavverkning</t>
        </is>
      </c>
      <c r="D593" s="1" t="n">
        <v>45734</v>
      </c>
      <c r="E593" s="1" t="n">
        <v>46220</v>
      </c>
      <c r="F593" t="inlineStr">
        <is>
          <t>VÄSTERNORRLANDS LÄN</t>
        </is>
      </c>
      <c r="G593" t="inlineStr">
        <is>
          <t>KRAMFORS</t>
        </is>
      </c>
      <c r="I593" t="n">
        <v>10.4</v>
      </c>
      <c r="J593" t="n">
        <v>0</v>
      </c>
      <c r="K593" t="n">
        <v>0</v>
      </c>
      <c r="L593" t="n">
        <v>0</v>
      </c>
      <c r="M593" t="n">
        <v>0</v>
      </c>
      <c r="N593" t="n">
        <v>0</v>
      </c>
      <c r="O593" t="n">
        <v>0</v>
      </c>
      <c r="P593" t="n">
        <v>0</v>
      </c>
      <c r="Q593" t="n">
        <v>0</v>
      </c>
      <c r="R593" t="n">
        <v>0</v>
      </c>
      <c r="S593" t="n">
        <v>0</v>
      </c>
      <c r="T593" t="n">
        <v>0</v>
      </c>
      <c r="U593" s="2" t="inlineStr"/>
    </row>
    <row r="594" ht="15" customHeight="1">
      <c r="A594" t="inlineStr">
        <is>
          <t>A 19496-2026</t>
        </is>
      </c>
      <c r="B594" t="inlineStr">
        <is>
          <t>avverkningsanmälan</t>
        </is>
      </c>
      <c r="C594" t="inlineStr">
        <is>
          <t>Föryngringsavverkning</t>
        </is>
      </c>
      <c r="D594" s="1" t="n">
        <v>46134</v>
      </c>
      <c r="E594" s="1" t="n">
        <v>46220</v>
      </c>
      <c r="F594" t="inlineStr">
        <is>
          <t>VÄSTERNORRLANDS LÄN</t>
        </is>
      </c>
      <c r="G594" t="inlineStr">
        <is>
          <t>KRAMFORS</t>
        </is>
      </c>
      <c r="I594" t="n">
        <v>9.300000000000001</v>
      </c>
      <c r="J594" t="n">
        <v>0</v>
      </c>
      <c r="K594" t="n">
        <v>0</v>
      </c>
      <c r="L594" t="n">
        <v>0</v>
      </c>
      <c r="M594" t="n">
        <v>0</v>
      </c>
      <c r="N594" t="n">
        <v>0</v>
      </c>
      <c r="O594" t="n">
        <v>0</v>
      </c>
      <c r="P594" t="n">
        <v>0</v>
      </c>
      <c r="Q594" t="n">
        <v>0</v>
      </c>
      <c r="R594" t="n">
        <v>0</v>
      </c>
      <c r="S594" t="n">
        <v>0</v>
      </c>
      <c r="T594" t="n">
        <v>0</v>
      </c>
      <c r="U594" s="2" t="inlineStr"/>
    </row>
    <row r="595" ht="15" customHeight="1">
      <c r="A595" t="inlineStr">
        <is>
          <t>A 19602-2026</t>
        </is>
      </c>
      <c r="B595" t="inlineStr">
        <is>
          <t>avverkningsanmälan</t>
        </is>
      </c>
      <c r="C595" t="inlineStr">
        <is>
          <t>Föryngringsavverkning</t>
        </is>
      </c>
      <c r="D595" s="1" t="n">
        <v>46134</v>
      </c>
      <c r="E595" s="1" t="n">
        <v>46220</v>
      </c>
      <c r="F595" t="inlineStr">
        <is>
          <t>VÄSTERNORRLANDS LÄN</t>
        </is>
      </c>
      <c r="G595" t="inlineStr">
        <is>
          <t>KRAMFORS</t>
        </is>
      </c>
      <c r="I595" t="n">
        <v>3.3</v>
      </c>
      <c r="J595" t="n">
        <v>0</v>
      </c>
      <c r="K595" t="n">
        <v>0</v>
      </c>
      <c r="L595" t="n">
        <v>0</v>
      </c>
      <c r="M595" t="n">
        <v>0</v>
      </c>
      <c r="N595" t="n">
        <v>0</v>
      </c>
      <c r="O595" t="n">
        <v>0</v>
      </c>
      <c r="P595" t="n">
        <v>0</v>
      </c>
      <c r="Q595" t="n">
        <v>0</v>
      </c>
      <c r="R595" t="n">
        <v>0</v>
      </c>
      <c r="S595" t="n">
        <v>0</v>
      </c>
      <c r="T595" t="n">
        <v>0</v>
      </c>
      <c r="U595" s="2" t="inlineStr"/>
    </row>
    <row r="596" ht="15" customHeight="1">
      <c r="A596" t="inlineStr">
        <is>
          <t>A 5360-2023</t>
        </is>
      </c>
      <c r="B596" t="inlineStr">
        <is>
          <t>avverkningsanmälan</t>
        </is>
      </c>
      <c r="C596" t="inlineStr">
        <is>
          <t>Föryngringsavverkning</t>
        </is>
      </c>
      <c r="D596" s="1" t="n">
        <v>44956</v>
      </c>
      <c r="E596" s="1" t="n">
        <v>46220</v>
      </c>
      <c r="F596" t="inlineStr">
        <is>
          <t>VÄSTERNORRLANDS LÄN</t>
        </is>
      </c>
      <c r="G596" t="inlineStr">
        <is>
          <t>KRAMFORS</t>
        </is>
      </c>
      <c r="I596" t="n">
        <v>11.4</v>
      </c>
      <c r="J596" t="n">
        <v>0</v>
      </c>
      <c r="K596" t="n">
        <v>0</v>
      </c>
      <c r="L596" t="n">
        <v>0</v>
      </c>
      <c r="M596" t="n">
        <v>0</v>
      </c>
      <c r="N596" t="n">
        <v>0</v>
      </c>
      <c r="O596" t="n">
        <v>0</v>
      </c>
      <c r="P596" t="n">
        <v>0</v>
      </c>
      <c r="Q596" t="n">
        <v>0</v>
      </c>
      <c r="R596" t="n">
        <v>0</v>
      </c>
      <c r="S596" t="n">
        <v>0</v>
      </c>
      <c r="T596" t="n">
        <v>0</v>
      </c>
      <c r="U596" s="2" t="inlineStr"/>
    </row>
    <row r="597" ht="15" customHeight="1">
      <c r="A597" t="inlineStr">
        <is>
          <t>A 5457-2023</t>
        </is>
      </c>
      <c r="B597" t="inlineStr">
        <is>
          <t>avverkningsanmälan</t>
        </is>
      </c>
      <c r="C597" t="inlineStr">
        <is>
          <t>Föryngringsavverkning</t>
        </is>
      </c>
      <c r="D597" s="1" t="n">
        <v>44959</v>
      </c>
      <c r="E597" s="1" t="n">
        <v>46220</v>
      </c>
      <c r="F597" t="inlineStr">
        <is>
          <t>VÄSTERNORRLANDS LÄN</t>
        </is>
      </c>
      <c r="G597" t="inlineStr">
        <is>
          <t>KRAMFORS</t>
        </is>
      </c>
      <c r="H597" t="inlineStr">
        <is>
          <t>SCA</t>
        </is>
      </c>
      <c r="I597" t="n">
        <v>4.4</v>
      </c>
      <c r="J597" t="n">
        <v>0</v>
      </c>
      <c r="K597" t="n">
        <v>0</v>
      </c>
      <c r="L597" t="n">
        <v>0</v>
      </c>
      <c r="M597" t="n">
        <v>0</v>
      </c>
      <c r="N597" t="n">
        <v>0</v>
      </c>
      <c r="O597" t="n">
        <v>0</v>
      </c>
      <c r="P597" t="n">
        <v>0</v>
      </c>
      <c r="Q597" t="n">
        <v>0</v>
      </c>
      <c r="R597" t="n">
        <v>0</v>
      </c>
      <c r="S597" t="n">
        <v>0</v>
      </c>
      <c r="T597" t="n">
        <v>0</v>
      </c>
      <c r="U597" s="2" t="inlineStr"/>
    </row>
    <row r="598" ht="15" customHeight="1">
      <c r="A598" t="inlineStr">
        <is>
          <t>A 61304-2022</t>
        </is>
      </c>
      <c r="B598" t="inlineStr">
        <is>
          <t>avverkningsanmälan</t>
        </is>
      </c>
      <c r="C598" t="inlineStr">
        <is>
          <t>Avverkning för annat ändamål</t>
        </is>
      </c>
      <c r="D598" s="1" t="n">
        <v>44915</v>
      </c>
      <c r="E598" s="1" t="n">
        <v>46220</v>
      </c>
      <c r="F598" t="inlineStr">
        <is>
          <t>VÄSTERNORRLANDS LÄN</t>
        </is>
      </c>
      <c r="G598" t="inlineStr">
        <is>
          <t>KRAMFORS</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26004-2026</t>
        </is>
      </c>
      <c r="B599" t="inlineStr">
        <is>
          <t>avverkningsanmälan</t>
        </is>
      </c>
      <c r="C599" t="inlineStr">
        <is>
          <t>Föryngringsavverkning</t>
        </is>
      </c>
      <c r="D599" s="1" t="n">
        <v>46181</v>
      </c>
      <c r="E599" s="1" t="n">
        <v>46220</v>
      </c>
      <c r="F599" t="inlineStr">
        <is>
          <t>VÄSTERNORRLANDS LÄN</t>
        </is>
      </c>
      <c r="G599" t="inlineStr">
        <is>
          <t>KRAMFORS</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26005-2026</t>
        </is>
      </c>
      <c r="B600" t="inlineStr">
        <is>
          <t>avverkningsanmälan</t>
        </is>
      </c>
      <c r="C600" t="inlineStr">
        <is>
          <t>Föryngringsavverkning</t>
        </is>
      </c>
      <c r="D600" s="1" t="n">
        <v>46181</v>
      </c>
      <c r="E600" s="1" t="n">
        <v>46220</v>
      </c>
      <c r="F600" t="inlineStr">
        <is>
          <t>VÄSTERNORRLANDS LÄN</t>
        </is>
      </c>
      <c r="G600" t="inlineStr">
        <is>
          <t>KRAMFORS</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63991-2023</t>
        </is>
      </c>
      <c r="B601" t="inlineStr">
        <is>
          <t>avverkningsanmälan</t>
        </is>
      </c>
      <c r="C601" t="inlineStr">
        <is>
          <t>Föryngringsavverkning</t>
        </is>
      </c>
      <c r="D601" s="1" t="n">
        <v>45278</v>
      </c>
      <c r="E601" s="1" t="n">
        <v>46220</v>
      </c>
      <c r="F601" t="inlineStr">
        <is>
          <t>VÄSTERNORRLANDS LÄN</t>
        </is>
      </c>
      <c r="G601" t="inlineStr">
        <is>
          <t>KRAMFORS</t>
        </is>
      </c>
      <c r="I601" t="n">
        <v>3.3</v>
      </c>
      <c r="J601" t="n">
        <v>0</v>
      </c>
      <c r="K601" t="n">
        <v>0</v>
      </c>
      <c r="L601" t="n">
        <v>0</v>
      </c>
      <c r="M601" t="n">
        <v>0</v>
      </c>
      <c r="N601" t="n">
        <v>0</v>
      </c>
      <c r="O601" t="n">
        <v>0</v>
      </c>
      <c r="P601" t="n">
        <v>0</v>
      </c>
      <c r="Q601" t="n">
        <v>0</v>
      </c>
      <c r="R601" t="n">
        <v>0</v>
      </c>
      <c r="S601" t="n">
        <v>0</v>
      </c>
      <c r="T601" t="n">
        <v>0</v>
      </c>
      <c r="U601" s="2" t="inlineStr"/>
    </row>
    <row r="602" ht="15" customHeight="1">
      <c r="A602" t="inlineStr">
        <is>
          <t>A 39664-2024</t>
        </is>
      </c>
      <c r="B602" t="inlineStr">
        <is>
          <t>avverkningsanmälan</t>
        </is>
      </c>
      <c r="C602" t="inlineStr">
        <is>
          <t>Föryngringsavverkning</t>
        </is>
      </c>
      <c r="D602" s="1" t="n">
        <v>45552</v>
      </c>
      <c r="E602" s="1" t="n">
        <v>46220</v>
      </c>
      <c r="F602" t="inlineStr">
        <is>
          <t>VÄSTERNORRLANDS LÄN</t>
        </is>
      </c>
      <c r="G602" t="inlineStr">
        <is>
          <t>KRAMFORS</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19777-2025</t>
        </is>
      </c>
      <c r="B603" t="inlineStr">
        <is>
          <t>avverkningsanmälan</t>
        </is>
      </c>
      <c r="C603" t="inlineStr">
        <is>
          <t>Föryngringsavverkning</t>
        </is>
      </c>
      <c r="D603" s="1" t="n">
        <v>45771</v>
      </c>
      <c r="E603" s="1" t="n">
        <v>46220</v>
      </c>
      <c r="F603" t="inlineStr">
        <is>
          <t>VÄSTERNORRLANDS LÄN</t>
        </is>
      </c>
      <c r="G603" t="inlineStr">
        <is>
          <t>KRAMFORS</t>
        </is>
      </c>
      <c r="I603" t="n">
        <v>5.3</v>
      </c>
      <c r="J603" t="n">
        <v>0</v>
      </c>
      <c r="K603" t="n">
        <v>0</v>
      </c>
      <c r="L603" t="n">
        <v>0</v>
      </c>
      <c r="M603" t="n">
        <v>0</v>
      </c>
      <c r="N603" t="n">
        <v>0</v>
      </c>
      <c r="O603" t="n">
        <v>0</v>
      </c>
      <c r="P603" t="n">
        <v>0</v>
      </c>
      <c r="Q603" t="n">
        <v>0</v>
      </c>
      <c r="R603" t="n">
        <v>0</v>
      </c>
      <c r="S603" t="n">
        <v>0</v>
      </c>
      <c r="T603" t="n">
        <v>0</v>
      </c>
      <c r="U603" s="2" t="inlineStr"/>
    </row>
    <row r="604" ht="15" customHeight="1">
      <c r="A604" t="inlineStr">
        <is>
          <t>A 19780-2025</t>
        </is>
      </c>
      <c r="B604" t="inlineStr">
        <is>
          <t>avverkningsanmälan</t>
        </is>
      </c>
      <c r="C604" t="inlineStr">
        <is>
          <t>Föryngringsavverkning</t>
        </is>
      </c>
      <c r="D604" s="1" t="n">
        <v>45771</v>
      </c>
      <c r="E604" s="1" t="n">
        <v>46220</v>
      </c>
      <c r="F604" t="inlineStr">
        <is>
          <t>VÄSTERNORRLANDS LÄN</t>
        </is>
      </c>
      <c r="G604" t="inlineStr">
        <is>
          <t>KRAMFORS</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12638-2025</t>
        </is>
      </c>
      <c r="B605" t="inlineStr">
        <is>
          <t>avverkningsanmälan</t>
        </is>
      </c>
      <c r="C605" t="inlineStr">
        <is>
          <t>Föryngringsavverkning</t>
        </is>
      </c>
      <c r="D605" s="1" t="n">
        <v>45733</v>
      </c>
      <c r="E605" s="1" t="n">
        <v>46220</v>
      </c>
      <c r="F605" t="inlineStr">
        <is>
          <t>VÄSTERNORRLANDS LÄN</t>
        </is>
      </c>
      <c r="G605" t="inlineStr">
        <is>
          <t>KRAMFORS</t>
        </is>
      </c>
      <c r="I605" t="n">
        <v>5.2</v>
      </c>
      <c r="J605" t="n">
        <v>0</v>
      </c>
      <c r="K605" t="n">
        <v>0</v>
      </c>
      <c r="L605" t="n">
        <v>0</v>
      </c>
      <c r="M605" t="n">
        <v>0</v>
      </c>
      <c r="N605" t="n">
        <v>0</v>
      </c>
      <c r="O605" t="n">
        <v>0</v>
      </c>
      <c r="P605" t="n">
        <v>0</v>
      </c>
      <c r="Q605" t="n">
        <v>0</v>
      </c>
      <c r="R605" t="n">
        <v>0</v>
      </c>
      <c r="S605" t="n">
        <v>0</v>
      </c>
      <c r="T605" t="n">
        <v>0</v>
      </c>
      <c r="U605" s="2" t="inlineStr"/>
    </row>
    <row r="606" ht="15" customHeight="1">
      <c r="A606" t="inlineStr">
        <is>
          <t>A 26723-2022</t>
        </is>
      </c>
      <c r="B606" t="inlineStr">
        <is>
          <t>avverkningsanmälan</t>
        </is>
      </c>
      <c r="C606" t="inlineStr">
        <is>
          <t>Föryngringsavverkning</t>
        </is>
      </c>
      <c r="D606" s="1" t="n">
        <v>44739</v>
      </c>
      <c r="E606" s="1" t="n">
        <v>46220</v>
      </c>
      <c r="F606" t="inlineStr">
        <is>
          <t>VÄSTERNORRLANDS LÄN</t>
        </is>
      </c>
      <c r="G606" t="inlineStr">
        <is>
          <t>KRAMFORS</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17211-2023</t>
        </is>
      </c>
      <c r="B607" t="inlineStr">
        <is>
          <t>avverkningsanmälan</t>
        </is>
      </c>
      <c r="C607" t="inlineStr">
        <is>
          <t>Föryngringsavverkning</t>
        </is>
      </c>
      <c r="D607" s="1" t="n">
        <v>45034</v>
      </c>
      <c r="E607" s="1" t="n">
        <v>46220</v>
      </c>
      <c r="F607" t="inlineStr">
        <is>
          <t>VÄSTERNORRLANDS LÄN</t>
        </is>
      </c>
      <c r="G607" t="inlineStr">
        <is>
          <t>KRAMFORS</t>
        </is>
      </c>
      <c r="I607" t="n">
        <v>4.9</v>
      </c>
      <c r="J607" t="n">
        <v>0</v>
      </c>
      <c r="K607" t="n">
        <v>0</v>
      </c>
      <c r="L607" t="n">
        <v>0</v>
      </c>
      <c r="M607" t="n">
        <v>0</v>
      </c>
      <c r="N607" t="n">
        <v>0</v>
      </c>
      <c r="O607" t="n">
        <v>0</v>
      </c>
      <c r="P607" t="n">
        <v>0</v>
      </c>
      <c r="Q607" t="n">
        <v>0</v>
      </c>
      <c r="R607" t="n">
        <v>0</v>
      </c>
      <c r="S607" t="n">
        <v>0</v>
      </c>
      <c r="T607" t="n">
        <v>0</v>
      </c>
      <c r="U607" s="2" t="inlineStr"/>
    </row>
    <row r="608" ht="15" customHeight="1">
      <c r="A608" t="inlineStr">
        <is>
          <t>A 50139-2025</t>
        </is>
      </c>
      <c r="B608" t="inlineStr">
        <is>
          <t>avverkningsanmälan</t>
        </is>
      </c>
      <c r="C608" t="inlineStr">
        <is>
          <t>Föryngringsavverkning</t>
        </is>
      </c>
      <c r="D608" s="1" t="n">
        <v>45943</v>
      </c>
      <c r="E608" s="1" t="n">
        <v>46220</v>
      </c>
      <c r="F608" t="inlineStr">
        <is>
          <t>VÄSTERNORRLANDS LÄN</t>
        </is>
      </c>
      <c r="G608" t="inlineStr">
        <is>
          <t>KRAMFORS</t>
        </is>
      </c>
      <c r="I608" t="n">
        <v>6.3</v>
      </c>
      <c r="J608" t="n">
        <v>0</v>
      </c>
      <c r="K608" t="n">
        <v>0</v>
      </c>
      <c r="L608" t="n">
        <v>0</v>
      </c>
      <c r="M608" t="n">
        <v>0</v>
      </c>
      <c r="N608" t="n">
        <v>0</v>
      </c>
      <c r="O608" t="n">
        <v>0</v>
      </c>
      <c r="P608" t="n">
        <v>0</v>
      </c>
      <c r="Q608" t="n">
        <v>0</v>
      </c>
      <c r="R608" t="n">
        <v>0</v>
      </c>
      <c r="S608" t="n">
        <v>0</v>
      </c>
      <c r="T608" t="n">
        <v>0</v>
      </c>
      <c r="U608" s="2" t="inlineStr"/>
    </row>
    <row r="609" ht="15" customHeight="1">
      <c r="A609" t="inlineStr">
        <is>
          <t>A 52002-2022</t>
        </is>
      </c>
      <c r="B609" t="inlineStr">
        <is>
          <t>avverkningsanmälan</t>
        </is>
      </c>
      <c r="C609" t="inlineStr">
        <is>
          <t>Föryngringsavverkning</t>
        </is>
      </c>
      <c r="D609" s="1" t="n">
        <v>44872</v>
      </c>
      <c r="E609" s="1" t="n">
        <v>46220</v>
      </c>
      <c r="F609" t="inlineStr">
        <is>
          <t>VÄSTERNORRLANDS LÄN</t>
        </is>
      </c>
      <c r="G609" t="inlineStr">
        <is>
          <t>KRAMFORS</t>
        </is>
      </c>
      <c r="I609" t="n">
        <v>7.7</v>
      </c>
      <c r="J609" t="n">
        <v>0</v>
      </c>
      <c r="K609" t="n">
        <v>0</v>
      </c>
      <c r="L609" t="n">
        <v>0</v>
      </c>
      <c r="M609" t="n">
        <v>0</v>
      </c>
      <c r="N609" t="n">
        <v>0</v>
      </c>
      <c r="O609" t="n">
        <v>0</v>
      </c>
      <c r="P609" t="n">
        <v>0</v>
      </c>
      <c r="Q609" t="n">
        <v>0</v>
      </c>
      <c r="R609" t="n">
        <v>0</v>
      </c>
      <c r="S609" t="n">
        <v>0</v>
      </c>
      <c r="T609" t="n">
        <v>0</v>
      </c>
      <c r="U609" s="2" t="inlineStr"/>
    </row>
    <row r="610" ht="15" customHeight="1">
      <c r="A610" t="inlineStr">
        <is>
          <t>A 18604-2024</t>
        </is>
      </c>
      <c r="B610" t="inlineStr">
        <is>
          <t>avverkningsanmälan</t>
        </is>
      </c>
      <c r="C610" t="inlineStr">
        <is>
          <t>Föryngringsavverkning</t>
        </is>
      </c>
      <c r="D610" s="1" t="n">
        <v>45425</v>
      </c>
      <c r="E610" s="1" t="n">
        <v>46220</v>
      </c>
      <c r="F610" t="inlineStr">
        <is>
          <t>VÄSTERNORRLANDS LÄN</t>
        </is>
      </c>
      <c r="G610" t="inlineStr">
        <is>
          <t>KRAMFORS</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27622-2024</t>
        </is>
      </c>
      <c r="B611" t="inlineStr">
        <is>
          <t>avverkningsanmälan</t>
        </is>
      </c>
      <c r="C611" t="inlineStr">
        <is>
          <t>Föryngringsavverkning</t>
        </is>
      </c>
      <c r="D611" s="1" t="n">
        <v>45474</v>
      </c>
      <c r="E611" s="1" t="n">
        <v>46220</v>
      </c>
      <c r="F611" t="inlineStr">
        <is>
          <t>VÄSTERNORRLANDS LÄN</t>
        </is>
      </c>
      <c r="G611" t="inlineStr">
        <is>
          <t>KRAMFORS</t>
        </is>
      </c>
      <c r="I611" t="n">
        <v>4.5</v>
      </c>
      <c r="J611" t="n">
        <v>0</v>
      </c>
      <c r="K611" t="n">
        <v>0</v>
      </c>
      <c r="L611" t="n">
        <v>0</v>
      </c>
      <c r="M611" t="n">
        <v>0</v>
      </c>
      <c r="N611" t="n">
        <v>0</v>
      </c>
      <c r="O611" t="n">
        <v>0</v>
      </c>
      <c r="P611" t="n">
        <v>0</v>
      </c>
      <c r="Q611" t="n">
        <v>0</v>
      </c>
      <c r="R611" t="n">
        <v>0</v>
      </c>
      <c r="S611" t="n">
        <v>0</v>
      </c>
      <c r="T611" t="n">
        <v>0</v>
      </c>
      <c r="U611" s="2" t="inlineStr"/>
    </row>
    <row r="612" ht="15" customHeight="1">
      <c r="A612" t="inlineStr">
        <is>
          <t>A 38553-2024</t>
        </is>
      </c>
      <c r="B612" t="inlineStr">
        <is>
          <t>avverkningsanmälan</t>
        </is>
      </c>
      <c r="C612" t="inlineStr">
        <is>
          <t>Föryngringsavverkning</t>
        </is>
      </c>
      <c r="D612" s="1" t="n">
        <v>45546</v>
      </c>
      <c r="E612" s="1" t="n">
        <v>46220</v>
      </c>
      <c r="F612" t="inlineStr">
        <is>
          <t>VÄSTERNORRLANDS LÄN</t>
        </is>
      </c>
      <c r="G612" t="inlineStr">
        <is>
          <t>KRAMFORS</t>
        </is>
      </c>
      <c r="I612" t="n">
        <v>5.8</v>
      </c>
      <c r="J612" t="n">
        <v>0</v>
      </c>
      <c r="K612" t="n">
        <v>0</v>
      </c>
      <c r="L612" t="n">
        <v>0</v>
      </c>
      <c r="M612" t="n">
        <v>0</v>
      </c>
      <c r="N612" t="n">
        <v>0</v>
      </c>
      <c r="O612" t="n">
        <v>0</v>
      </c>
      <c r="P612" t="n">
        <v>0</v>
      </c>
      <c r="Q612" t="n">
        <v>0</v>
      </c>
      <c r="R612" t="n">
        <v>0</v>
      </c>
      <c r="S612" t="n">
        <v>0</v>
      </c>
      <c r="T612" t="n">
        <v>0</v>
      </c>
      <c r="U612" s="2" t="inlineStr"/>
    </row>
    <row r="613" ht="15" customHeight="1">
      <c r="A613" t="inlineStr">
        <is>
          <t>A 31606-2022</t>
        </is>
      </c>
      <c r="B613" t="inlineStr">
        <is>
          <t>avverkningsanmälan</t>
        </is>
      </c>
      <c r="C613" t="inlineStr">
        <is>
          <t>Föryngringsavverkning</t>
        </is>
      </c>
      <c r="D613" s="1" t="n">
        <v>44775</v>
      </c>
      <c r="E613" s="1" t="n">
        <v>46220</v>
      </c>
      <c r="F613" t="inlineStr">
        <is>
          <t>VÄSTERNORRLANDS LÄN</t>
        </is>
      </c>
      <c r="G613" t="inlineStr">
        <is>
          <t>KRAMFORS</t>
        </is>
      </c>
      <c r="I613" t="n">
        <v>2.8</v>
      </c>
      <c r="J613" t="n">
        <v>0</v>
      </c>
      <c r="K613" t="n">
        <v>0</v>
      </c>
      <c r="L613" t="n">
        <v>0</v>
      </c>
      <c r="M613" t="n">
        <v>0</v>
      </c>
      <c r="N613" t="n">
        <v>0</v>
      </c>
      <c r="O613" t="n">
        <v>0</v>
      </c>
      <c r="P613" t="n">
        <v>0</v>
      </c>
      <c r="Q613" t="n">
        <v>0</v>
      </c>
      <c r="R613" t="n">
        <v>0</v>
      </c>
      <c r="S613" t="n">
        <v>0</v>
      </c>
      <c r="T613" t="n">
        <v>0</v>
      </c>
      <c r="U613" s="2" t="inlineStr"/>
    </row>
    <row r="614" ht="15" customHeight="1">
      <c r="A614" t="inlineStr">
        <is>
          <t>A 709-2026</t>
        </is>
      </c>
      <c r="B614" t="inlineStr">
        <is>
          <t>avverkningsanmälan</t>
        </is>
      </c>
      <c r="C614" t="inlineStr">
        <is>
          <t>Föryngringsavverkning</t>
        </is>
      </c>
      <c r="D614" s="1" t="n">
        <v>46029</v>
      </c>
      <c r="E614" s="1" t="n">
        <v>46220</v>
      </c>
      <c r="F614" t="inlineStr">
        <is>
          <t>VÄSTERNORRLANDS LÄN</t>
        </is>
      </c>
      <c r="G614" t="inlineStr">
        <is>
          <t>KRAMFORS</t>
        </is>
      </c>
      <c r="I614" t="n">
        <v>1.1</v>
      </c>
      <c r="J614" t="n">
        <v>0</v>
      </c>
      <c r="K614" t="n">
        <v>0</v>
      </c>
      <c r="L614" t="n">
        <v>0</v>
      </c>
      <c r="M614" t="n">
        <v>0</v>
      </c>
      <c r="N614" t="n">
        <v>0</v>
      </c>
      <c r="O614" t="n">
        <v>0</v>
      </c>
      <c r="P614" t="n">
        <v>0</v>
      </c>
      <c r="Q614" t="n">
        <v>0</v>
      </c>
      <c r="R614" t="n">
        <v>0</v>
      </c>
      <c r="S614" t="n">
        <v>0</v>
      </c>
      <c r="T614" t="n">
        <v>0</v>
      </c>
      <c r="U614" s="2" t="inlineStr"/>
    </row>
    <row r="615" ht="15" customHeight="1">
      <c r="A615" t="inlineStr">
        <is>
          <t>A 20021-2026</t>
        </is>
      </c>
      <c r="B615" t="inlineStr">
        <is>
          <t>avverkningsanmälan</t>
        </is>
      </c>
      <c r="C615" t="inlineStr">
        <is>
          <t>Föryngringsavverkning</t>
        </is>
      </c>
      <c r="D615" s="1" t="n">
        <v>46136</v>
      </c>
      <c r="E615" s="1" t="n">
        <v>46220</v>
      </c>
      <c r="F615" t="inlineStr">
        <is>
          <t>VÄSTERNORRLANDS LÄN</t>
        </is>
      </c>
      <c r="G615" t="inlineStr">
        <is>
          <t>KRAMFORS</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25982-2026</t>
        </is>
      </c>
      <c r="B616" t="inlineStr">
        <is>
          <t>avverkningsanmälan</t>
        </is>
      </c>
      <c r="C616" t="inlineStr">
        <is>
          <t>Föryngringsavverkning</t>
        </is>
      </c>
      <c r="D616" s="1" t="n">
        <v>46181</v>
      </c>
      <c r="E616" s="1" t="n">
        <v>46220</v>
      </c>
      <c r="F616" t="inlineStr">
        <is>
          <t>VÄSTERNORRLANDS LÄN</t>
        </is>
      </c>
      <c r="G616" t="inlineStr">
        <is>
          <t>KRAMFORS</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815-2024</t>
        </is>
      </c>
      <c r="B617" t="inlineStr">
        <is>
          <t>avverkningsanmälan</t>
        </is>
      </c>
      <c r="C617" t="inlineStr">
        <is>
          <t>Föryngringsavverkning</t>
        </is>
      </c>
      <c r="D617" s="1" t="n">
        <v>45300</v>
      </c>
      <c r="E617" s="1" t="n">
        <v>46220</v>
      </c>
      <c r="F617" t="inlineStr">
        <is>
          <t>VÄSTERNORRLANDS LÄN</t>
        </is>
      </c>
      <c r="G617" t="inlineStr">
        <is>
          <t>KRAMFORS</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24406-2025</t>
        </is>
      </c>
      <c r="B618" t="inlineStr">
        <is>
          <t>avverkningsanmälan</t>
        </is>
      </c>
      <c r="C618" t="inlineStr">
        <is>
          <t>Föryngringsavverkning</t>
        </is>
      </c>
      <c r="D618" s="1" t="n">
        <v>45797</v>
      </c>
      <c r="E618" s="1" t="n">
        <v>46220</v>
      </c>
      <c r="F618" t="inlineStr">
        <is>
          <t>VÄSTERNORRLANDS LÄN</t>
        </is>
      </c>
      <c r="G618" t="inlineStr">
        <is>
          <t>KRAMFORS</t>
        </is>
      </c>
      <c r="I618" t="n">
        <v>4.8</v>
      </c>
      <c r="J618" t="n">
        <v>0</v>
      </c>
      <c r="K618" t="n">
        <v>0</v>
      </c>
      <c r="L618" t="n">
        <v>0</v>
      </c>
      <c r="M618" t="n">
        <v>0</v>
      </c>
      <c r="N618" t="n">
        <v>0</v>
      </c>
      <c r="O618" t="n">
        <v>0</v>
      </c>
      <c r="P618" t="n">
        <v>0</v>
      </c>
      <c r="Q618" t="n">
        <v>0</v>
      </c>
      <c r="R618" t="n">
        <v>0</v>
      </c>
      <c r="S618" t="n">
        <v>0</v>
      </c>
      <c r="T618" t="n">
        <v>0</v>
      </c>
      <c r="U618" s="2" t="inlineStr"/>
    </row>
    <row r="619" ht="15" customHeight="1">
      <c r="A619" t="inlineStr">
        <is>
          <t>A 52272-2024</t>
        </is>
      </c>
      <c r="B619" t="inlineStr">
        <is>
          <t>avverkningsanmälan</t>
        </is>
      </c>
      <c r="C619" t="inlineStr">
        <is>
          <t>Föryngringsavverkning</t>
        </is>
      </c>
      <c r="D619" s="1" t="n">
        <v>45608</v>
      </c>
      <c r="E619" s="1" t="n">
        <v>46220</v>
      </c>
      <c r="F619" t="inlineStr">
        <is>
          <t>VÄSTERNORRLANDS LÄN</t>
        </is>
      </c>
      <c r="G619" t="inlineStr">
        <is>
          <t>KRAMFORS</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8946-2026</t>
        </is>
      </c>
      <c r="B620" t="inlineStr">
        <is>
          <t>avverkningsanmälan</t>
        </is>
      </c>
      <c r="C620" t="inlineStr">
        <is>
          <t>Föryngringsavverkning</t>
        </is>
      </c>
      <c r="D620" s="1" t="n">
        <v>46069</v>
      </c>
      <c r="E620" s="1" t="n">
        <v>46220</v>
      </c>
      <c r="F620" t="inlineStr">
        <is>
          <t>VÄSTERNORRLANDS LÄN</t>
        </is>
      </c>
      <c r="G620" t="inlineStr">
        <is>
          <t>KRAMFORS</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53373-2025</t>
        </is>
      </c>
      <c r="B621" t="inlineStr">
        <is>
          <t>avverkningsanmälan</t>
        </is>
      </c>
      <c r="C621" t="inlineStr">
        <is>
          <t>Föryngringsavverkning</t>
        </is>
      </c>
      <c r="D621" s="1" t="n">
        <v>45959</v>
      </c>
      <c r="E621" s="1" t="n">
        <v>46220</v>
      </c>
      <c r="F621" t="inlineStr">
        <is>
          <t>VÄSTERNORRLANDS LÄN</t>
        </is>
      </c>
      <c r="G621" t="inlineStr">
        <is>
          <t>KRAMFORS</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68797-2021</t>
        </is>
      </c>
      <c r="B622" t="inlineStr">
        <is>
          <t>avverkningsanmälan</t>
        </is>
      </c>
      <c r="C622" t="inlineStr">
        <is>
          <t>Föryngringsavverkning</t>
        </is>
      </c>
      <c r="D622" s="1" t="n">
        <v>44529</v>
      </c>
      <c r="E622" s="1" t="n">
        <v>46220</v>
      </c>
      <c r="F622" t="inlineStr">
        <is>
          <t>VÄSTERNORRLANDS LÄN</t>
        </is>
      </c>
      <c r="G622" t="inlineStr">
        <is>
          <t>KRAMFORS</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26089-2026</t>
        </is>
      </c>
      <c r="B623" t="inlineStr">
        <is>
          <t>avverkningsanmälan</t>
        </is>
      </c>
      <c r="C623" t="inlineStr">
        <is>
          <t>Föryngringsavverkning</t>
        </is>
      </c>
      <c r="D623" s="1" t="n">
        <v>46181</v>
      </c>
      <c r="E623" s="1" t="n">
        <v>46220</v>
      </c>
      <c r="F623" t="inlineStr">
        <is>
          <t>VÄSTERNORRLANDS LÄN</t>
        </is>
      </c>
      <c r="G623" t="inlineStr">
        <is>
          <t>KRAMFORS</t>
        </is>
      </c>
      <c r="H623" t="inlineStr">
        <is>
          <t>SCA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8711-2025</t>
        </is>
      </c>
      <c r="B624" t="inlineStr">
        <is>
          <t>avverkningsanmälan</t>
        </is>
      </c>
      <c r="C624" t="inlineStr">
        <is>
          <t>Föryngringsavverkning</t>
        </is>
      </c>
      <c r="D624" s="1" t="n">
        <v>45712</v>
      </c>
      <c r="E624" s="1" t="n">
        <v>46220</v>
      </c>
      <c r="F624" t="inlineStr">
        <is>
          <t>VÄSTERNORRLANDS LÄN</t>
        </is>
      </c>
      <c r="G624" t="inlineStr">
        <is>
          <t>KRAMFORS</t>
        </is>
      </c>
      <c r="I624" t="n">
        <v>2.6</v>
      </c>
      <c r="J624" t="n">
        <v>0</v>
      </c>
      <c r="K624" t="n">
        <v>0</v>
      </c>
      <c r="L624" t="n">
        <v>0</v>
      </c>
      <c r="M624" t="n">
        <v>0</v>
      </c>
      <c r="N624" t="n">
        <v>0</v>
      </c>
      <c r="O624" t="n">
        <v>0</v>
      </c>
      <c r="P624" t="n">
        <v>0</v>
      </c>
      <c r="Q624" t="n">
        <v>0</v>
      </c>
      <c r="R624" t="n">
        <v>0</v>
      </c>
      <c r="S624" t="n">
        <v>0</v>
      </c>
      <c r="T624" t="n">
        <v>0</v>
      </c>
      <c r="U624" s="2" t="inlineStr"/>
    </row>
    <row r="625" ht="15" customHeight="1">
      <c r="A625" t="inlineStr">
        <is>
          <t>A 17113-2023</t>
        </is>
      </c>
      <c r="B625" t="inlineStr">
        <is>
          <t>avverkningsanmälan</t>
        </is>
      </c>
      <c r="C625" t="inlineStr">
        <is>
          <t>Föryngringsavverkning</t>
        </is>
      </c>
      <c r="D625" s="1" t="n">
        <v>45034</v>
      </c>
      <c r="E625" s="1" t="n">
        <v>46220</v>
      </c>
      <c r="F625" t="inlineStr">
        <is>
          <t>VÄSTERNORRLANDS LÄN</t>
        </is>
      </c>
      <c r="G625" t="inlineStr">
        <is>
          <t>KRAMFORS</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17946-2023</t>
        </is>
      </c>
      <c r="B626" t="inlineStr">
        <is>
          <t>avverkningsanmälan</t>
        </is>
      </c>
      <c r="C626" t="inlineStr">
        <is>
          <t>Föryngringsavverkning</t>
        </is>
      </c>
      <c r="D626" s="1" t="n">
        <v>45040</v>
      </c>
      <c r="E626" s="1" t="n">
        <v>46220</v>
      </c>
      <c r="F626" t="inlineStr">
        <is>
          <t>VÄSTERNORRLANDS LÄN</t>
        </is>
      </c>
      <c r="G626" t="inlineStr">
        <is>
          <t>KRAMFORS</t>
        </is>
      </c>
      <c r="I626" t="n">
        <v>2.4</v>
      </c>
      <c r="J626" t="n">
        <v>0</v>
      </c>
      <c r="K626" t="n">
        <v>0</v>
      </c>
      <c r="L626" t="n">
        <v>0</v>
      </c>
      <c r="M626" t="n">
        <v>0</v>
      </c>
      <c r="N626" t="n">
        <v>0</v>
      </c>
      <c r="O626" t="n">
        <v>0</v>
      </c>
      <c r="P626" t="n">
        <v>0</v>
      </c>
      <c r="Q626" t="n">
        <v>0</v>
      </c>
      <c r="R626" t="n">
        <v>0</v>
      </c>
      <c r="S626" t="n">
        <v>0</v>
      </c>
      <c r="T626" t="n">
        <v>0</v>
      </c>
      <c r="U626" s="2" t="inlineStr"/>
    </row>
    <row r="627" ht="15" customHeight="1">
      <c r="A627" t="inlineStr">
        <is>
          <t>A 27173-2022</t>
        </is>
      </c>
      <c r="B627" t="inlineStr">
        <is>
          <t>avverkningsanmälan</t>
        </is>
      </c>
      <c r="C627" t="inlineStr">
        <is>
          <t>Föryngringsavverkning</t>
        </is>
      </c>
      <c r="D627" s="1" t="n">
        <v>44741</v>
      </c>
      <c r="E627" s="1" t="n">
        <v>46220</v>
      </c>
      <c r="F627" t="inlineStr">
        <is>
          <t>VÄSTERNORRLANDS LÄN</t>
        </is>
      </c>
      <c r="G627" t="inlineStr">
        <is>
          <t>KRAMFORS</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56058-2025</t>
        </is>
      </c>
      <c r="B628" t="inlineStr">
        <is>
          <t>avverkningsanmälan</t>
        </is>
      </c>
      <c r="C628" t="inlineStr">
        <is>
          <t>Föryngringsavverkning</t>
        </is>
      </c>
      <c r="D628" s="1" t="n">
        <v>45973</v>
      </c>
      <c r="E628" s="1" t="n">
        <v>46220</v>
      </c>
      <c r="F628" t="inlineStr">
        <is>
          <t>VÄSTERNORRLANDS LÄN</t>
        </is>
      </c>
      <c r="G628" t="inlineStr">
        <is>
          <t>KRAMFORS</t>
        </is>
      </c>
      <c r="I628" t="n">
        <v>4.8</v>
      </c>
      <c r="J628" t="n">
        <v>0</v>
      </c>
      <c r="K628" t="n">
        <v>0</v>
      </c>
      <c r="L628" t="n">
        <v>0</v>
      </c>
      <c r="M628" t="n">
        <v>0</v>
      </c>
      <c r="N628" t="n">
        <v>0</v>
      </c>
      <c r="O628" t="n">
        <v>0</v>
      </c>
      <c r="P628" t="n">
        <v>0</v>
      </c>
      <c r="Q628" t="n">
        <v>0</v>
      </c>
      <c r="R628" t="n">
        <v>0</v>
      </c>
      <c r="S628" t="n">
        <v>0</v>
      </c>
      <c r="T628" t="n">
        <v>0</v>
      </c>
      <c r="U628" s="2" t="inlineStr"/>
    </row>
    <row r="629" ht="15" customHeight="1">
      <c r="A629" t="inlineStr">
        <is>
          <t>A 2150-2025</t>
        </is>
      </c>
      <c r="B629" t="inlineStr">
        <is>
          <t>avverkningsanmälan</t>
        </is>
      </c>
      <c r="C629" t="inlineStr">
        <is>
          <t>Föryngringsavverkning</t>
        </is>
      </c>
      <c r="D629" s="1" t="n">
        <v>45672</v>
      </c>
      <c r="E629" s="1" t="n">
        <v>46220</v>
      </c>
      <c r="F629" t="inlineStr">
        <is>
          <t>VÄSTERNORRLANDS LÄN</t>
        </is>
      </c>
      <c r="G629" t="inlineStr">
        <is>
          <t>KRAMFORS</t>
        </is>
      </c>
      <c r="I629" t="n">
        <v>5.4</v>
      </c>
      <c r="J629" t="n">
        <v>0</v>
      </c>
      <c r="K629" t="n">
        <v>0</v>
      </c>
      <c r="L629" t="n">
        <v>0</v>
      </c>
      <c r="M629" t="n">
        <v>0</v>
      </c>
      <c r="N629" t="n">
        <v>0</v>
      </c>
      <c r="O629" t="n">
        <v>0</v>
      </c>
      <c r="P629" t="n">
        <v>0</v>
      </c>
      <c r="Q629" t="n">
        <v>0</v>
      </c>
      <c r="R629" t="n">
        <v>0</v>
      </c>
      <c r="S629" t="n">
        <v>0</v>
      </c>
      <c r="T629" t="n">
        <v>0</v>
      </c>
      <c r="U629" s="2" t="inlineStr"/>
    </row>
    <row r="630" ht="15" customHeight="1">
      <c r="A630" t="inlineStr">
        <is>
          <t>A 53792-2025</t>
        </is>
      </c>
      <c r="B630" t="inlineStr">
        <is>
          <t>avverkningsanmälan</t>
        </is>
      </c>
      <c r="C630" t="inlineStr">
        <is>
          <t>Föryngringsavverkning</t>
        </is>
      </c>
      <c r="D630" s="1" t="n">
        <v>45960</v>
      </c>
      <c r="E630" s="1" t="n">
        <v>46220</v>
      </c>
      <c r="F630" t="inlineStr">
        <is>
          <t>VÄSTERNORRLANDS LÄN</t>
        </is>
      </c>
      <c r="G630" t="inlineStr">
        <is>
          <t>KRAMFORS</t>
        </is>
      </c>
      <c r="I630" t="n">
        <v>2</v>
      </c>
      <c r="J630" t="n">
        <v>0</v>
      </c>
      <c r="K630" t="n">
        <v>0</v>
      </c>
      <c r="L630" t="n">
        <v>0</v>
      </c>
      <c r="M630" t="n">
        <v>0</v>
      </c>
      <c r="N630" t="n">
        <v>0</v>
      </c>
      <c r="O630" t="n">
        <v>0</v>
      </c>
      <c r="P630" t="n">
        <v>0</v>
      </c>
      <c r="Q630" t="n">
        <v>0</v>
      </c>
      <c r="R630" t="n">
        <v>0</v>
      </c>
      <c r="S630" t="n">
        <v>0</v>
      </c>
      <c r="T630" t="n">
        <v>0</v>
      </c>
      <c r="U630" s="2" t="inlineStr"/>
    </row>
    <row r="631" ht="15" customHeight="1">
      <c r="A631" t="inlineStr">
        <is>
          <t>A 20061-2026</t>
        </is>
      </c>
      <c r="B631" t="inlineStr">
        <is>
          <t>avverkningsanmälan</t>
        </is>
      </c>
      <c r="C631" t="inlineStr">
        <is>
          <t>Föryngringsavverkning</t>
        </is>
      </c>
      <c r="D631" s="1" t="n">
        <v>46136</v>
      </c>
      <c r="E631" s="1" t="n">
        <v>46220</v>
      </c>
      <c r="F631" t="inlineStr">
        <is>
          <t>VÄSTERNORRLANDS LÄN</t>
        </is>
      </c>
      <c r="G631" t="inlineStr">
        <is>
          <t>KRAMFORS</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29148-2025</t>
        </is>
      </c>
      <c r="B632" t="inlineStr">
        <is>
          <t>avverkningsanmälan</t>
        </is>
      </c>
      <c r="C632" t="inlineStr">
        <is>
          <t>Föryngringsavverkning</t>
        </is>
      </c>
      <c r="D632" s="1" t="n">
        <v>45821</v>
      </c>
      <c r="E632" s="1" t="n">
        <v>46220</v>
      </c>
      <c r="F632" t="inlineStr">
        <is>
          <t>VÄSTERNORRLANDS LÄN</t>
        </is>
      </c>
      <c r="G632" t="inlineStr">
        <is>
          <t>KRAMFORS</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42975-2025</t>
        </is>
      </c>
      <c r="B633" t="inlineStr">
        <is>
          <t>avverkningsanmälan</t>
        </is>
      </c>
      <c r="C633" t="inlineStr">
        <is>
          <t>Föryngringsavverkning</t>
        </is>
      </c>
      <c r="D633" s="1" t="n">
        <v>45909</v>
      </c>
      <c r="E633" s="1" t="n">
        <v>46220</v>
      </c>
      <c r="F633" t="inlineStr">
        <is>
          <t>VÄSTERNORRLANDS LÄN</t>
        </is>
      </c>
      <c r="G633" t="inlineStr">
        <is>
          <t>KRAMFORS</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56753-2022</t>
        </is>
      </c>
      <c r="B634" t="inlineStr">
        <is>
          <t>avverkningsanmälan</t>
        </is>
      </c>
      <c r="C634" t="inlineStr">
        <is>
          <t>Föryngringsavverkning</t>
        </is>
      </c>
      <c r="D634" s="1" t="n">
        <v>44894</v>
      </c>
      <c r="E634" s="1" t="n">
        <v>46220</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61909-2023</t>
        </is>
      </c>
      <c r="B635" t="inlineStr">
        <is>
          <t>avverkningsanmälan</t>
        </is>
      </c>
      <c r="C635" t="inlineStr">
        <is>
          <t>Föryngringsavverkning</t>
        </is>
      </c>
      <c r="D635" s="1" t="n">
        <v>45265</v>
      </c>
      <c r="E635" s="1" t="n">
        <v>46220</v>
      </c>
      <c r="F635" t="inlineStr">
        <is>
          <t>VÄSTERNORRLANDS LÄN</t>
        </is>
      </c>
      <c r="G635" t="inlineStr">
        <is>
          <t>KRAMFORS</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33522-2025</t>
        </is>
      </c>
      <c r="B636" t="inlineStr">
        <is>
          <t>avverkningsanmälan</t>
        </is>
      </c>
      <c r="C636" t="inlineStr">
        <is>
          <t>Föryngringsavverkning</t>
        </is>
      </c>
      <c r="D636" s="1" t="n">
        <v>45841</v>
      </c>
      <c r="E636" s="1" t="n">
        <v>46220</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s="2" t="inlineStr"/>
    </row>
    <row r="637" ht="15" customHeight="1">
      <c r="A637" t="inlineStr">
        <is>
          <t>A 26003-2026</t>
        </is>
      </c>
      <c r="B637" t="inlineStr">
        <is>
          <t>avverkningsanmälan</t>
        </is>
      </c>
      <c r="C637" t="inlineStr">
        <is>
          <t>Föryngringsavverkning</t>
        </is>
      </c>
      <c r="D637" s="1" t="n">
        <v>46181</v>
      </c>
      <c r="E637" s="1" t="n">
        <v>46220</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878-2022</t>
        </is>
      </c>
      <c r="B638" t="inlineStr">
        <is>
          <t>avverkningsanmälan</t>
        </is>
      </c>
      <c r="C638" t="inlineStr">
        <is>
          <t>Föryngringsavverkning</t>
        </is>
      </c>
      <c r="D638" s="1" t="n">
        <v>44571</v>
      </c>
      <c r="E638" s="1" t="n">
        <v>46220</v>
      </c>
      <c r="F638" t="inlineStr">
        <is>
          <t>VÄSTERNORRLANDS LÄN</t>
        </is>
      </c>
      <c r="G638" t="inlineStr">
        <is>
          <t>KRAMFORS</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17061-2023</t>
        </is>
      </c>
      <c r="B639" t="inlineStr">
        <is>
          <t>avverkningsanmälan</t>
        </is>
      </c>
      <c r="C639" t="inlineStr">
        <is>
          <t>Föryngringsavverkning</t>
        </is>
      </c>
      <c r="D639" s="1" t="n">
        <v>45034</v>
      </c>
      <c r="E639" s="1" t="n">
        <v>46220</v>
      </c>
      <c r="F639" t="inlineStr">
        <is>
          <t>VÄSTERNORRLANDS LÄN</t>
        </is>
      </c>
      <c r="G639" t="inlineStr">
        <is>
          <t>KRAMFORS</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516-2025</t>
        </is>
      </c>
      <c r="B640" t="inlineStr">
        <is>
          <t>avverkningsanmälan</t>
        </is>
      </c>
      <c r="C640" t="inlineStr">
        <is>
          <t>Föryngringsavverkning</t>
        </is>
      </c>
      <c r="D640" s="1" t="n">
        <v>45664</v>
      </c>
      <c r="E640" s="1" t="n">
        <v>46220</v>
      </c>
      <c r="F640" t="inlineStr">
        <is>
          <t>VÄSTERNORRLANDS LÄN</t>
        </is>
      </c>
      <c r="G640" t="inlineStr">
        <is>
          <t>KRAMFORS</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37825-2025</t>
        </is>
      </c>
      <c r="B641" t="inlineStr">
        <is>
          <t>avverkningsanmälan</t>
        </is>
      </c>
      <c r="C641" t="inlineStr">
        <is>
          <t>Föryngringsavverkning</t>
        </is>
      </c>
      <c r="D641" s="1" t="n">
        <v>45881</v>
      </c>
      <c r="E641" s="1" t="n">
        <v>46220</v>
      </c>
      <c r="F641" t="inlineStr">
        <is>
          <t>VÄSTERNORRLANDS LÄN</t>
        </is>
      </c>
      <c r="G641" t="inlineStr">
        <is>
          <t>KRAMFORS</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43989-2024</t>
        </is>
      </c>
      <c r="B642" t="inlineStr">
        <is>
          <t>avverkningsanmälan</t>
        </is>
      </c>
      <c r="C642" t="inlineStr">
        <is>
          <t>Föryngringsavverkning</t>
        </is>
      </c>
      <c r="D642" s="1" t="n">
        <v>45572</v>
      </c>
      <c r="E642" s="1" t="n">
        <v>46220</v>
      </c>
      <c r="F642" t="inlineStr">
        <is>
          <t>VÄSTERNORRLANDS LÄN</t>
        </is>
      </c>
      <c r="G642" t="inlineStr">
        <is>
          <t>KRAMFORS</t>
        </is>
      </c>
      <c r="I642" t="n">
        <v>3.5</v>
      </c>
      <c r="J642" t="n">
        <v>0</v>
      </c>
      <c r="K642" t="n">
        <v>0</v>
      </c>
      <c r="L642" t="n">
        <v>0</v>
      </c>
      <c r="M642" t="n">
        <v>0</v>
      </c>
      <c r="N642" t="n">
        <v>0</v>
      </c>
      <c r="O642" t="n">
        <v>0</v>
      </c>
      <c r="P642" t="n">
        <v>0</v>
      </c>
      <c r="Q642" t="n">
        <v>0</v>
      </c>
      <c r="R642" t="n">
        <v>0</v>
      </c>
      <c r="S642" t="n">
        <v>0</v>
      </c>
      <c r="T642" t="n">
        <v>0</v>
      </c>
      <c r="U642" s="2" t="inlineStr"/>
    </row>
    <row r="643" ht="15" customHeight="1">
      <c r="A643" t="inlineStr">
        <is>
          <t>A 73988-2021</t>
        </is>
      </c>
      <c r="B643" t="inlineStr">
        <is>
          <t>avverkningsanmälan</t>
        </is>
      </c>
      <c r="C643" t="inlineStr">
        <is>
          <t>Avverkning för annat ändamål</t>
        </is>
      </c>
      <c r="D643" s="1" t="n">
        <v>44556</v>
      </c>
      <c r="E643" s="1" t="n">
        <v>46220</v>
      </c>
      <c r="F643" t="inlineStr">
        <is>
          <t>VÄSTERNORRLANDS LÄN</t>
        </is>
      </c>
      <c r="G643" t="inlineStr">
        <is>
          <t>KRAMFORS</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42918-2023</t>
        </is>
      </c>
      <c r="B644" t="inlineStr">
        <is>
          <t>avverkningsanmälan</t>
        </is>
      </c>
      <c r="C644" t="inlineStr">
        <is>
          <t>Avverkning för annat ändamål</t>
        </is>
      </c>
      <c r="D644" s="1" t="n">
        <v>45182</v>
      </c>
      <c r="E644" s="1" t="n">
        <v>46220</v>
      </c>
      <c r="F644" t="inlineStr">
        <is>
          <t>VÄSTERNORRLANDS LÄN</t>
        </is>
      </c>
      <c r="G644" t="inlineStr">
        <is>
          <t>KRAMFORS</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40109-2025</t>
        </is>
      </c>
      <c r="B645" t="inlineStr">
        <is>
          <t>avverkningsanmälan</t>
        </is>
      </c>
      <c r="C645" t="inlineStr">
        <is>
          <t>Föryngringsavverkning</t>
        </is>
      </c>
      <c r="D645" s="1" t="n">
        <v>45894</v>
      </c>
      <c r="E645" s="1" t="n">
        <v>46220</v>
      </c>
      <c r="F645" t="inlineStr">
        <is>
          <t>VÄSTERNORRLANDS LÄN</t>
        </is>
      </c>
      <c r="G645" t="inlineStr">
        <is>
          <t>KRAMFORS</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15820-2026</t>
        </is>
      </c>
      <c r="B646" t="inlineStr">
        <is>
          <t>avverkningsanmälan</t>
        </is>
      </c>
      <c r="C646" t="inlineStr">
        <is>
          <t>Föryngringsavverkning</t>
        </is>
      </c>
      <c r="D646" s="1" t="n">
        <v>46107</v>
      </c>
      <c r="E646" s="1" t="n">
        <v>46220</v>
      </c>
      <c r="F646" t="inlineStr">
        <is>
          <t>VÄSTERNORRLANDS LÄN</t>
        </is>
      </c>
      <c r="G646" t="inlineStr">
        <is>
          <t>KRAMFORS</t>
        </is>
      </c>
      <c r="I646" t="n">
        <v>10.1</v>
      </c>
      <c r="J646" t="n">
        <v>0</v>
      </c>
      <c r="K646" t="n">
        <v>0</v>
      </c>
      <c r="L646" t="n">
        <v>0</v>
      </c>
      <c r="M646" t="n">
        <v>0</v>
      </c>
      <c r="N646" t="n">
        <v>0</v>
      </c>
      <c r="O646" t="n">
        <v>0</v>
      </c>
      <c r="P646" t="n">
        <v>0</v>
      </c>
      <c r="Q646" t="n">
        <v>0</v>
      </c>
      <c r="R646" t="n">
        <v>0</v>
      </c>
      <c r="S646" t="n">
        <v>0</v>
      </c>
      <c r="T646" t="n">
        <v>0</v>
      </c>
      <c r="U646" s="2" t="inlineStr"/>
    </row>
    <row r="647" ht="15" customHeight="1">
      <c r="A647" t="inlineStr">
        <is>
          <t>A 19708-2025</t>
        </is>
      </c>
      <c r="B647" t="inlineStr">
        <is>
          <t>avverkningsanmälan</t>
        </is>
      </c>
      <c r="C647" t="inlineStr">
        <is>
          <t>Avverkning för annat ändamål</t>
        </is>
      </c>
      <c r="D647" s="1" t="n">
        <v>45771</v>
      </c>
      <c r="E647" s="1" t="n">
        <v>46220</v>
      </c>
      <c r="F647" t="inlineStr">
        <is>
          <t>VÄSTERNORRLANDS LÄN</t>
        </is>
      </c>
      <c r="G647" t="inlineStr">
        <is>
          <t>KRAMFORS</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4144-2025</t>
        </is>
      </c>
      <c r="B648" t="inlineStr">
        <is>
          <t>avverkningsanmälan</t>
        </is>
      </c>
      <c r="C648" t="inlineStr">
        <is>
          <t>Föryngringsavverkning</t>
        </is>
      </c>
      <c r="D648" s="1" t="n">
        <v>45685</v>
      </c>
      <c r="E648" s="1" t="n">
        <v>46220</v>
      </c>
      <c r="F648" t="inlineStr">
        <is>
          <t>VÄSTERNORRLANDS LÄN</t>
        </is>
      </c>
      <c r="G648" t="inlineStr">
        <is>
          <t>KRAMFORS</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59370-2025</t>
        </is>
      </c>
      <c r="B649" t="inlineStr">
        <is>
          <t>avverkningsanmälan</t>
        </is>
      </c>
      <c r="C649" t="inlineStr">
        <is>
          <t>Föryngringsavverkning</t>
        </is>
      </c>
      <c r="D649" s="1" t="n">
        <v>45989</v>
      </c>
      <c r="E649" s="1" t="n">
        <v>46220</v>
      </c>
      <c r="F649" t="inlineStr">
        <is>
          <t>VÄSTERNORRLANDS LÄN</t>
        </is>
      </c>
      <c r="G649" t="inlineStr">
        <is>
          <t>KRAMFORS</t>
        </is>
      </c>
      <c r="I649" t="n">
        <v>3.4</v>
      </c>
      <c r="J649" t="n">
        <v>0</v>
      </c>
      <c r="K649" t="n">
        <v>0</v>
      </c>
      <c r="L649" t="n">
        <v>0</v>
      </c>
      <c r="M649" t="n">
        <v>0</v>
      </c>
      <c r="N649" t="n">
        <v>0</v>
      </c>
      <c r="O649" t="n">
        <v>0</v>
      </c>
      <c r="P649" t="n">
        <v>0</v>
      </c>
      <c r="Q649" t="n">
        <v>0</v>
      </c>
      <c r="R649" t="n">
        <v>0</v>
      </c>
      <c r="S649" t="n">
        <v>0</v>
      </c>
      <c r="T649" t="n">
        <v>0</v>
      </c>
      <c r="U649" s="2" t="inlineStr"/>
    </row>
    <row r="650" ht="15" customHeight="1">
      <c r="A650" t="inlineStr">
        <is>
          <t>A 38997-2023</t>
        </is>
      </c>
      <c r="B650" t="inlineStr">
        <is>
          <t>avverkningsanmälan</t>
        </is>
      </c>
      <c r="C650" t="inlineStr">
        <is>
          <t>Föryngringsavverkning</t>
        </is>
      </c>
      <c r="D650" s="1" t="n">
        <v>45161</v>
      </c>
      <c r="E650" s="1" t="n">
        <v>46220</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1077-2024</t>
        </is>
      </c>
      <c r="B651" t="inlineStr">
        <is>
          <t>avverkningsanmälan</t>
        </is>
      </c>
      <c r="C651" t="inlineStr">
        <is>
          <t>Föryngringsavverkning</t>
        </is>
      </c>
      <c r="D651" s="1" t="n">
        <v>45302</v>
      </c>
      <c r="E651" s="1" t="n">
        <v>46220</v>
      </c>
      <c r="F651" t="inlineStr">
        <is>
          <t>VÄSTERNORRLANDS LÄN</t>
        </is>
      </c>
      <c r="G651" t="inlineStr">
        <is>
          <t>KRAMFORS</t>
        </is>
      </c>
      <c r="I651" t="n">
        <v>3.6</v>
      </c>
      <c r="J651" t="n">
        <v>0</v>
      </c>
      <c r="K651" t="n">
        <v>0</v>
      </c>
      <c r="L651" t="n">
        <v>0</v>
      </c>
      <c r="M651" t="n">
        <v>0</v>
      </c>
      <c r="N651" t="n">
        <v>0</v>
      </c>
      <c r="O651" t="n">
        <v>0</v>
      </c>
      <c r="P651" t="n">
        <v>0</v>
      </c>
      <c r="Q651" t="n">
        <v>0</v>
      </c>
      <c r="R651" t="n">
        <v>0</v>
      </c>
      <c r="S651" t="n">
        <v>0</v>
      </c>
      <c r="T651" t="n">
        <v>0</v>
      </c>
      <c r="U651" s="2" t="inlineStr"/>
    </row>
    <row r="652" ht="15" customHeight="1">
      <c r="A652" t="inlineStr">
        <is>
          <t>A 53326-2025</t>
        </is>
      </c>
      <c r="B652" t="inlineStr">
        <is>
          <t>avverkningsanmälan</t>
        </is>
      </c>
      <c r="C652" t="inlineStr">
        <is>
          <t>Föryngringsavverkning</t>
        </is>
      </c>
      <c r="D652" s="1" t="n">
        <v>45959</v>
      </c>
      <c r="E652" s="1" t="n">
        <v>46220</v>
      </c>
      <c r="F652" t="inlineStr">
        <is>
          <t>VÄSTERNORRLANDS LÄN</t>
        </is>
      </c>
      <c r="G652" t="inlineStr">
        <is>
          <t>KRAMFORS</t>
        </is>
      </c>
      <c r="I652" t="n">
        <v>4.6</v>
      </c>
      <c r="J652" t="n">
        <v>0</v>
      </c>
      <c r="K652" t="n">
        <v>0</v>
      </c>
      <c r="L652" t="n">
        <v>0</v>
      </c>
      <c r="M652" t="n">
        <v>0</v>
      </c>
      <c r="N652" t="n">
        <v>0</v>
      </c>
      <c r="O652" t="n">
        <v>0</v>
      </c>
      <c r="P652" t="n">
        <v>0</v>
      </c>
      <c r="Q652" t="n">
        <v>0</v>
      </c>
      <c r="R652" t="n">
        <v>0</v>
      </c>
      <c r="S652" t="n">
        <v>0</v>
      </c>
      <c r="T652" t="n">
        <v>0</v>
      </c>
      <c r="U652" s="2" t="inlineStr"/>
    </row>
    <row r="653" ht="15" customHeight="1">
      <c r="A653" t="inlineStr">
        <is>
          <t>A 62224-2022</t>
        </is>
      </c>
      <c r="B653" t="inlineStr">
        <is>
          <t>avverkningsanmälan</t>
        </is>
      </c>
      <c r="C653" t="inlineStr">
        <is>
          <t>Föryngringsavverkning</t>
        </is>
      </c>
      <c r="D653" s="1" t="n">
        <v>44916</v>
      </c>
      <c r="E653" s="1" t="n">
        <v>46220</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18633-2024</t>
        </is>
      </c>
      <c r="B654" t="inlineStr">
        <is>
          <t>avverkningsanmälan</t>
        </is>
      </c>
      <c r="C654" t="inlineStr">
        <is>
          <t>Avverkning för att bevara och utveckla /försöksver</t>
        </is>
      </c>
      <c r="D654" s="1" t="n">
        <v>45425</v>
      </c>
      <c r="E654" s="1" t="n">
        <v>46220</v>
      </c>
      <c r="F654" t="inlineStr">
        <is>
          <t>VÄSTERNORRLANDS LÄN</t>
        </is>
      </c>
      <c r="G654" t="inlineStr">
        <is>
          <t>KRAMFORS</t>
        </is>
      </c>
      <c r="H654" t="inlineStr">
        <is>
          <t>SCA</t>
        </is>
      </c>
      <c r="I654" t="n">
        <v>2.8</v>
      </c>
      <c r="J654" t="n">
        <v>0</v>
      </c>
      <c r="K654" t="n">
        <v>0</v>
      </c>
      <c r="L654" t="n">
        <v>0</v>
      </c>
      <c r="M654" t="n">
        <v>0</v>
      </c>
      <c r="N654" t="n">
        <v>0</v>
      </c>
      <c r="O654" t="n">
        <v>0</v>
      </c>
      <c r="P654" t="n">
        <v>0</v>
      </c>
      <c r="Q654" t="n">
        <v>0</v>
      </c>
      <c r="R654" t="n">
        <v>0</v>
      </c>
      <c r="S654" t="n">
        <v>0</v>
      </c>
      <c r="T654" t="n">
        <v>0</v>
      </c>
      <c r="U654" s="2" t="inlineStr"/>
    </row>
    <row r="655" ht="15" customHeight="1">
      <c r="A655" t="inlineStr">
        <is>
          <t>A 37867-2024</t>
        </is>
      </c>
      <c r="B655" t="inlineStr">
        <is>
          <t>avverkningsanmälan</t>
        </is>
      </c>
      <c r="C655" t="inlineStr">
        <is>
          <t>Föryngringsavverkning</t>
        </is>
      </c>
      <c r="D655" s="1" t="n">
        <v>45544</v>
      </c>
      <c r="E655" s="1" t="n">
        <v>46220</v>
      </c>
      <c r="F655" t="inlineStr">
        <is>
          <t>VÄSTERNORRLANDS LÄN</t>
        </is>
      </c>
      <c r="G655" t="inlineStr">
        <is>
          <t>KRAMFORS</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11574-2026</t>
        </is>
      </c>
      <c r="B656" t="inlineStr">
        <is>
          <t>avverkningsanmälan</t>
        </is>
      </c>
      <c r="C656" t="inlineStr">
        <is>
          <t>Föryngringsavverkning</t>
        </is>
      </c>
      <c r="D656" s="1" t="n">
        <v>46084</v>
      </c>
      <c r="E656" s="1" t="n">
        <v>46220</v>
      </c>
      <c r="F656" t="inlineStr">
        <is>
          <t>VÄSTERNORRLANDS LÄN</t>
        </is>
      </c>
      <c r="G656" t="inlineStr">
        <is>
          <t>KRAMFORS</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18653-2025</t>
        </is>
      </c>
      <c r="B657" t="inlineStr">
        <is>
          <t>avverkningsanmälan</t>
        </is>
      </c>
      <c r="C657" t="inlineStr">
        <is>
          <t>Föryngringsavverkning</t>
        </is>
      </c>
      <c r="D657" s="1" t="n">
        <v>45763</v>
      </c>
      <c r="E657" s="1" t="n">
        <v>46220</v>
      </c>
      <c r="F657" t="inlineStr">
        <is>
          <t>VÄSTERNORRLANDS LÄN</t>
        </is>
      </c>
      <c r="G657" t="inlineStr">
        <is>
          <t>KRAMFORS</t>
        </is>
      </c>
      <c r="H657" t="inlineStr">
        <is>
          <t>SCA</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18917-2023</t>
        </is>
      </c>
      <c r="B658" t="inlineStr">
        <is>
          <t>avverkningsanmälan</t>
        </is>
      </c>
      <c r="C658" t="inlineStr">
        <is>
          <t>Föryngringsavverkning</t>
        </is>
      </c>
      <c r="D658" s="1" t="n">
        <v>45044</v>
      </c>
      <c r="E658" s="1" t="n">
        <v>46220</v>
      </c>
      <c r="F658" t="inlineStr">
        <is>
          <t>VÄSTERNORRLANDS LÄN</t>
        </is>
      </c>
      <c r="G658" t="inlineStr">
        <is>
          <t>KRAMFORS</t>
        </is>
      </c>
      <c r="I658" t="n">
        <v>6.9</v>
      </c>
      <c r="J658" t="n">
        <v>0</v>
      </c>
      <c r="K658" t="n">
        <v>0</v>
      </c>
      <c r="L658" t="n">
        <v>0</v>
      </c>
      <c r="M658" t="n">
        <v>0</v>
      </c>
      <c r="N658" t="n">
        <v>0</v>
      </c>
      <c r="O658" t="n">
        <v>0</v>
      </c>
      <c r="P658" t="n">
        <v>0</v>
      </c>
      <c r="Q658" t="n">
        <v>0</v>
      </c>
      <c r="R658" t="n">
        <v>0</v>
      </c>
      <c r="S658" t="n">
        <v>0</v>
      </c>
      <c r="T658" t="n">
        <v>0</v>
      </c>
      <c r="U658" s="2" t="inlineStr"/>
    </row>
    <row r="659" ht="15" customHeight="1">
      <c r="A659" t="inlineStr">
        <is>
          <t>A 20673-2026</t>
        </is>
      </c>
      <c r="B659" t="inlineStr">
        <is>
          <t>avverkningsanmälan</t>
        </is>
      </c>
      <c r="C659" t="inlineStr">
        <is>
          <t>Föryngringsavverkning</t>
        </is>
      </c>
      <c r="D659" s="1" t="n">
        <v>46141</v>
      </c>
      <c r="E659" s="1" t="n">
        <v>46220</v>
      </c>
      <c r="F659" t="inlineStr">
        <is>
          <t>VÄSTERNORRLANDS LÄN</t>
        </is>
      </c>
      <c r="G659" t="inlineStr">
        <is>
          <t>KRAMFORS</t>
        </is>
      </c>
      <c r="I659" t="n">
        <v>2.6</v>
      </c>
      <c r="J659" t="n">
        <v>0</v>
      </c>
      <c r="K659" t="n">
        <v>0</v>
      </c>
      <c r="L659" t="n">
        <v>0</v>
      </c>
      <c r="M659" t="n">
        <v>0</v>
      </c>
      <c r="N659" t="n">
        <v>0</v>
      </c>
      <c r="O659" t="n">
        <v>0</v>
      </c>
      <c r="P659" t="n">
        <v>0</v>
      </c>
      <c r="Q659" t="n">
        <v>0</v>
      </c>
      <c r="R659" t="n">
        <v>0</v>
      </c>
      <c r="S659" t="n">
        <v>0</v>
      </c>
      <c r="T659" t="n">
        <v>0</v>
      </c>
      <c r="U659" s="2" t="inlineStr"/>
    </row>
    <row r="660" ht="15" customHeight="1">
      <c r="A660" t="inlineStr">
        <is>
          <t>A 2607-2025</t>
        </is>
      </c>
      <c r="B660" t="inlineStr">
        <is>
          <t>avverkningsanmälan</t>
        </is>
      </c>
      <c r="C660" t="inlineStr">
        <is>
          <t>Föryngringsavverkning</t>
        </is>
      </c>
      <c r="D660" s="1" t="n">
        <v>45674</v>
      </c>
      <c r="E660" s="1" t="n">
        <v>46220</v>
      </c>
      <c r="F660" t="inlineStr">
        <is>
          <t>VÄSTERNORRLANDS LÄN</t>
        </is>
      </c>
      <c r="G660" t="inlineStr">
        <is>
          <t>KRAMFORS</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20437-2026</t>
        </is>
      </c>
      <c r="B661" t="inlineStr">
        <is>
          <t>avverkningsanmälan</t>
        </is>
      </c>
      <c r="C661" t="inlineStr">
        <is>
          <t>Föryngringsavverkning</t>
        </is>
      </c>
      <c r="D661" s="1" t="n">
        <v>46140</v>
      </c>
      <c r="E661" s="1" t="n">
        <v>46220</v>
      </c>
      <c r="F661" t="inlineStr">
        <is>
          <t>VÄSTERNORRLANDS LÄN</t>
        </is>
      </c>
      <c r="G661" t="inlineStr">
        <is>
          <t>KRAMFORS</t>
        </is>
      </c>
      <c r="I661" t="n">
        <v>2.7</v>
      </c>
      <c r="J661" t="n">
        <v>0</v>
      </c>
      <c r="K661" t="n">
        <v>0</v>
      </c>
      <c r="L661" t="n">
        <v>0</v>
      </c>
      <c r="M661" t="n">
        <v>0</v>
      </c>
      <c r="N661" t="n">
        <v>0</v>
      </c>
      <c r="O661" t="n">
        <v>0</v>
      </c>
      <c r="P661" t="n">
        <v>0</v>
      </c>
      <c r="Q661" t="n">
        <v>0</v>
      </c>
      <c r="R661" t="n">
        <v>0</v>
      </c>
      <c r="S661" t="n">
        <v>0</v>
      </c>
      <c r="T661" t="n">
        <v>0</v>
      </c>
      <c r="U661" s="2" t="inlineStr"/>
    </row>
    <row r="662" ht="15" customHeight="1">
      <c r="A662" t="inlineStr">
        <is>
          <t>A 37307-2025</t>
        </is>
      </c>
      <c r="B662" t="inlineStr">
        <is>
          <t>avverkningsanmälan</t>
        </is>
      </c>
      <c r="C662" t="inlineStr">
        <is>
          <t>Föryngringsavverkning</t>
        </is>
      </c>
      <c r="D662" s="1" t="n">
        <v>45876</v>
      </c>
      <c r="E662" s="1" t="n">
        <v>46220</v>
      </c>
      <c r="F662" t="inlineStr">
        <is>
          <t>VÄSTERNORRLANDS LÄN</t>
        </is>
      </c>
      <c r="G662" t="inlineStr">
        <is>
          <t>KRAMFORS</t>
        </is>
      </c>
      <c r="I662" t="n">
        <v>8.199999999999999</v>
      </c>
      <c r="J662" t="n">
        <v>0</v>
      </c>
      <c r="K662" t="n">
        <v>0</v>
      </c>
      <c r="L662" t="n">
        <v>0</v>
      </c>
      <c r="M662" t="n">
        <v>0</v>
      </c>
      <c r="N662" t="n">
        <v>0</v>
      </c>
      <c r="O662" t="n">
        <v>0</v>
      </c>
      <c r="P662" t="n">
        <v>0</v>
      </c>
      <c r="Q662" t="n">
        <v>0</v>
      </c>
      <c r="R662" t="n">
        <v>0</v>
      </c>
      <c r="S662" t="n">
        <v>0</v>
      </c>
      <c r="T662" t="n">
        <v>0</v>
      </c>
      <c r="U662" s="2" t="inlineStr"/>
    </row>
    <row r="663" ht="15" customHeight="1">
      <c r="A663" t="inlineStr">
        <is>
          <t>A 33940-2025</t>
        </is>
      </c>
      <c r="B663" t="inlineStr">
        <is>
          <t>avverkningsanmälan</t>
        </is>
      </c>
      <c r="C663" t="inlineStr">
        <is>
          <t>Föryngringsavverkning</t>
        </is>
      </c>
      <c r="D663" s="1" t="n">
        <v>45842</v>
      </c>
      <c r="E663" s="1" t="n">
        <v>46220</v>
      </c>
      <c r="F663" t="inlineStr">
        <is>
          <t>VÄSTERNORRLANDS LÄN</t>
        </is>
      </c>
      <c r="G663" t="inlineStr">
        <is>
          <t>KRAMFORS</t>
        </is>
      </c>
      <c r="I663" t="n">
        <v>4.2</v>
      </c>
      <c r="J663" t="n">
        <v>0</v>
      </c>
      <c r="K663" t="n">
        <v>0</v>
      </c>
      <c r="L663" t="n">
        <v>0</v>
      </c>
      <c r="M663" t="n">
        <v>0</v>
      </c>
      <c r="N663" t="n">
        <v>0</v>
      </c>
      <c r="O663" t="n">
        <v>0</v>
      </c>
      <c r="P663" t="n">
        <v>0</v>
      </c>
      <c r="Q663" t="n">
        <v>0</v>
      </c>
      <c r="R663" t="n">
        <v>0</v>
      </c>
      <c r="S663" t="n">
        <v>0</v>
      </c>
      <c r="T663" t="n">
        <v>0</v>
      </c>
      <c r="U663" s="2" t="inlineStr"/>
    </row>
    <row r="664" ht="15" customHeight="1">
      <c r="A664" t="inlineStr">
        <is>
          <t>A 8219-2026</t>
        </is>
      </c>
      <c r="B664" t="inlineStr">
        <is>
          <t>avverkningsanmälan</t>
        </is>
      </c>
      <c r="C664" t="inlineStr">
        <is>
          <t>Föryngringsavverkning</t>
        </is>
      </c>
      <c r="D664" s="1" t="n">
        <v>46064</v>
      </c>
      <c r="E664" s="1" t="n">
        <v>46220</v>
      </c>
      <c r="F664" t="inlineStr">
        <is>
          <t>VÄSTERNORRLANDS LÄN</t>
        </is>
      </c>
      <c r="G664" t="inlineStr">
        <is>
          <t>KRAMFORS</t>
        </is>
      </c>
      <c r="I664" t="n">
        <v>4.3</v>
      </c>
      <c r="J664" t="n">
        <v>0</v>
      </c>
      <c r="K664" t="n">
        <v>0</v>
      </c>
      <c r="L664" t="n">
        <v>0</v>
      </c>
      <c r="M664" t="n">
        <v>0</v>
      </c>
      <c r="N664" t="n">
        <v>0</v>
      </c>
      <c r="O664" t="n">
        <v>0</v>
      </c>
      <c r="P664" t="n">
        <v>0</v>
      </c>
      <c r="Q664" t="n">
        <v>0</v>
      </c>
      <c r="R664" t="n">
        <v>0</v>
      </c>
      <c r="S664" t="n">
        <v>0</v>
      </c>
      <c r="T664" t="n">
        <v>0</v>
      </c>
      <c r="U664" s="2" t="inlineStr"/>
    </row>
    <row r="665" ht="15" customHeight="1">
      <c r="A665" t="inlineStr">
        <is>
          <t>A 8742-2024</t>
        </is>
      </c>
      <c r="B665" t="inlineStr">
        <is>
          <t>avverkningsanmälan</t>
        </is>
      </c>
      <c r="C665" t="inlineStr">
        <is>
          <t>Föryngringsavverkning</t>
        </is>
      </c>
      <c r="D665" s="1" t="n">
        <v>45356</v>
      </c>
      <c r="E665" s="1" t="n">
        <v>46220</v>
      </c>
      <c r="F665" t="inlineStr">
        <is>
          <t>VÄSTERNORRLANDS LÄN</t>
        </is>
      </c>
      <c r="G665" t="inlineStr">
        <is>
          <t>KRAMFORS</t>
        </is>
      </c>
      <c r="I665" t="n">
        <v>5.5</v>
      </c>
      <c r="J665" t="n">
        <v>0</v>
      </c>
      <c r="K665" t="n">
        <v>0</v>
      </c>
      <c r="L665" t="n">
        <v>0</v>
      </c>
      <c r="M665" t="n">
        <v>0</v>
      </c>
      <c r="N665" t="n">
        <v>0</v>
      </c>
      <c r="O665" t="n">
        <v>0</v>
      </c>
      <c r="P665" t="n">
        <v>0</v>
      </c>
      <c r="Q665" t="n">
        <v>0</v>
      </c>
      <c r="R665" t="n">
        <v>0</v>
      </c>
      <c r="S665" t="n">
        <v>0</v>
      </c>
      <c r="T665" t="n">
        <v>0</v>
      </c>
      <c r="U665" s="2" t="inlineStr"/>
    </row>
    <row r="666" ht="15" customHeight="1">
      <c r="A666" t="inlineStr">
        <is>
          <t>A 8455-2023</t>
        </is>
      </c>
      <c r="B666" t="inlineStr">
        <is>
          <t>avverkningsanmälan</t>
        </is>
      </c>
      <c r="C666" t="inlineStr">
        <is>
          <t>Avverkning för annat ändamål</t>
        </is>
      </c>
      <c r="D666" s="1" t="n">
        <v>44971</v>
      </c>
      <c r="E666" s="1" t="n">
        <v>46220</v>
      </c>
      <c r="F666" t="inlineStr">
        <is>
          <t>VÄSTERNORRLANDS LÄN</t>
        </is>
      </c>
      <c r="G666" t="inlineStr">
        <is>
          <t>KRAMFORS</t>
        </is>
      </c>
      <c r="I666" t="n">
        <v>0.4</v>
      </c>
      <c r="J666" t="n">
        <v>0</v>
      </c>
      <c r="K666" t="n">
        <v>0</v>
      </c>
      <c r="L666" t="n">
        <v>0</v>
      </c>
      <c r="M666" t="n">
        <v>0</v>
      </c>
      <c r="N666" t="n">
        <v>0</v>
      </c>
      <c r="O666" t="n">
        <v>0</v>
      </c>
      <c r="P666" t="n">
        <v>0</v>
      </c>
      <c r="Q666" t="n">
        <v>0</v>
      </c>
      <c r="R666" t="n">
        <v>0</v>
      </c>
      <c r="S666" t="n">
        <v>0</v>
      </c>
      <c r="T666" t="n">
        <v>0</v>
      </c>
      <c r="U666" s="2" t="inlineStr"/>
    </row>
    <row r="667" ht="15" customHeight="1">
      <c r="A667" t="inlineStr">
        <is>
          <t>A 48046-2022</t>
        </is>
      </c>
      <c r="B667" t="inlineStr">
        <is>
          <t>avverkningsanmälan</t>
        </is>
      </c>
      <c r="C667" t="inlineStr">
        <is>
          <t>Föryngringsavverkning</t>
        </is>
      </c>
      <c r="D667" s="1" t="n">
        <v>44855</v>
      </c>
      <c r="E667" s="1" t="n">
        <v>46220</v>
      </c>
      <c r="F667" t="inlineStr">
        <is>
          <t>VÄSTERNORRLANDS LÄN</t>
        </is>
      </c>
      <c r="G667" t="inlineStr">
        <is>
          <t>KRAMFORS</t>
        </is>
      </c>
      <c r="I667" t="n">
        <v>10</v>
      </c>
      <c r="J667" t="n">
        <v>0</v>
      </c>
      <c r="K667" t="n">
        <v>0</v>
      </c>
      <c r="L667" t="n">
        <v>0</v>
      </c>
      <c r="M667" t="n">
        <v>0</v>
      </c>
      <c r="N667" t="n">
        <v>0</v>
      </c>
      <c r="O667" t="n">
        <v>0</v>
      </c>
      <c r="P667" t="n">
        <v>0</v>
      </c>
      <c r="Q667" t="n">
        <v>0</v>
      </c>
      <c r="R667" t="n">
        <v>0</v>
      </c>
      <c r="S667" t="n">
        <v>0</v>
      </c>
      <c r="T667" t="n">
        <v>0</v>
      </c>
      <c r="U667" s="2" t="inlineStr"/>
    </row>
    <row r="668" ht="15" customHeight="1">
      <c r="A668" t="inlineStr">
        <is>
          <t>A 37148-2025</t>
        </is>
      </c>
      <c r="B668" t="inlineStr">
        <is>
          <t>avverkningsanmälan</t>
        </is>
      </c>
      <c r="C668" t="inlineStr">
        <is>
          <t>Föryngringsavverkning</t>
        </is>
      </c>
      <c r="D668" s="1" t="n">
        <v>45875</v>
      </c>
      <c r="E668" s="1" t="n">
        <v>46220</v>
      </c>
      <c r="F668" t="inlineStr">
        <is>
          <t>VÄSTERNORRLANDS LÄN</t>
        </is>
      </c>
      <c r="G668" t="inlineStr">
        <is>
          <t>KRAMFORS</t>
        </is>
      </c>
      <c r="I668" t="n">
        <v>2.7</v>
      </c>
      <c r="J668" t="n">
        <v>0</v>
      </c>
      <c r="K668" t="n">
        <v>0</v>
      </c>
      <c r="L668" t="n">
        <v>0</v>
      </c>
      <c r="M668" t="n">
        <v>0</v>
      </c>
      <c r="N668" t="n">
        <v>0</v>
      </c>
      <c r="O668" t="n">
        <v>0</v>
      </c>
      <c r="P668" t="n">
        <v>0</v>
      </c>
      <c r="Q668" t="n">
        <v>0</v>
      </c>
      <c r="R668" t="n">
        <v>0</v>
      </c>
      <c r="S668" t="n">
        <v>0</v>
      </c>
      <c r="T668" t="n">
        <v>0</v>
      </c>
      <c r="U668" s="2" t="inlineStr"/>
    </row>
    <row r="669" ht="15" customHeight="1">
      <c r="A669" t="inlineStr">
        <is>
          <t>A 47582-2025</t>
        </is>
      </c>
      <c r="B669" t="inlineStr">
        <is>
          <t>avverkningsanmälan</t>
        </is>
      </c>
      <c r="C669" t="inlineStr">
        <is>
          <t>Föryngringsavverkning</t>
        </is>
      </c>
      <c r="D669" s="1" t="n">
        <v>45931</v>
      </c>
      <c r="E669" s="1" t="n">
        <v>46220</v>
      </c>
      <c r="F669" t="inlineStr">
        <is>
          <t>VÄSTERNORRLANDS LÄN</t>
        </is>
      </c>
      <c r="G669" t="inlineStr">
        <is>
          <t>KRAMFORS</t>
        </is>
      </c>
      <c r="I669" t="n">
        <v>3.2</v>
      </c>
      <c r="J669" t="n">
        <v>0</v>
      </c>
      <c r="K669" t="n">
        <v>0</v>
      </c>
      <c r="L669" t="n">
        <v>0</v>
      </c>
      <c r="M669" t="n">
        <v>0</v>
      </c>
      <c r="N669" t="n">
        <v>0</v>
      </c>
      <c r="O669" t="n">
        <v>0</v>
      </c>
      <c r="P669" t="n">
        <v>0</v>
      </c>
      <c r="Q669" t="n">
        <v>0</v>
      </c>
      <c r="R669" t="n">
        <v>0</v>
      </c>
      <c r="S669" t="n">
        <v>0</v>
      </c>
      <c r="T669" t="n">
        <v>0</v>
      </c>
      <c r="U669" s="2" t="inlineStr"/>
    </row>
    <row r="670" ht="15" customHeight="1">
      <c r="A670" t="inlineStr">
        <is>
          <t>A 23129-2024</t>
        </is>
      </c>
      <c r="B670" t="inlineStr">
        <is>
          <t>avverkningsanmälan</t>
        </is>
      </c>
      <c r="C670" t="inlineStr">
        <is>
          <t>Föryngringsavverkning</t>
        </is>
      </c>
      <c r="D670" s="1" t="n">
        <v>45450</v>
      </c>
      <c r="E670" s="1" t="n">
        <v>46220</v>
      </c>
      <c r="F670" t="inlineStr">
        <is>
          <t>VÄSTERNORRLANDS LÄN</t>
        </is>
      </c>
      <c r="G670" t="inlineStr">
        <is>
          <t>KRAMFORS</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40879-2023</t>
        </is>
      </c>
      <c r="B671" t="inlineStr">
        <is>
          <t>avverkningsanmälan</t>
        </is>
      </c>
      <c r="C671" t="inlineStr">
        <is>
          <t>Föryngringsavverkning</t>
        </is>
      </c>
      <c r="D671" s="1" t="n">
        <v>45173</v>
      </c>
      <c r="E671" s="1" t="n">
        <v>46220</v>
      </c>
      <c r="F671" t="inlineStr">
        <is>
          <t>VÄSTERNORRLANDS LÄN</t>
        </is>
      </c>
      <c r="G671" t="inlineStr">
        <is>
          <t>KRAMFORS</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345-2025</t>
        </is>
      </c>
      <c r="B672" t="inlineStr">
        <is>
          <t>avverkningsanmälan</t>
        </is>
      </c>
      <c r="C672" t="inlineStr">
        <is>
          <t>Föryngringsavverkning</t>
        </is>
      </c>
      <c r="D672" s="1" t="n">
        <v>45660</v>
      </c>
      <c r="E672" s="1" t="n">
        <v>46220</v>
      </c>
      <c r="F672" t="inlineStr">
        <is>
          <t>VÄSTERNORRLANDS LÄN</t>
        </is>
      </c>
      <c r="G672" t="inlineStr">
        <is>
          <t>KRAMFORS</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40871-2023</t>
        </is>
      </c>
      <c r="B673" t="inlineStr">
        <is>
          <t>avverkningsanmälan</t>
        </is>
      </c>
      <c r="C673" t="inlineStr">
        <is>
          <t>Föryngringsavverkning</t>
        </is>
      </c>
      <c r="D673" s="1" t="n">
        <v>45173</v>
      </c>
      <c r="E673" s="1" t="n">
        <v>46220</v>
      </c>
      <c r="F673" t="inlineStr">
        <is>
          <t>VÄSTERNORRLANDS LÄN</t>
        </is>
      </c>
      <c r="G673" t="inlineStr">
        <is>
          <t>KRAMFORS</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28175-2025</t>
        </is>
      </c>
      <c r="B674" t="inlineStr">
        <is>
          <t>avverkningsanmälan</t>
        </is>
      </c>
      <c r="C674" t="inlineStr">
        <is>
          <t>Föryngringsavverkning</t>
        </is>
      </c>
      <c r="D674" s="1" t="n">
        <v>45818</v>
      </c>
      <c r="E674" s="1" t="n">
        <v>46220</v>
      </c>
      <c r="F674" t="inlineStr">
        <is>
          <t>VÄSTERNORRLANDS LÄN</t>
        </is>
      </c>
      <c r="G674" t="inlineStr">
        <is>
          <t>KRAMFORS</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40514-2025</t>
        </is>
      </c>
      <c r="B675" t="inlineStr">
        <is>
          <t>avverkningsanmälan</t>
        </is>
      </c>
      <c r="C675" t="inlineStr">
        <is>
          <t>Föryngringsavverkning</t>
        </is>
      </c>
      <c r="D675" s="1" t="n">
        <v>45896</v>
      </c>
      <c r="E675" s="1" t="n">
        <v>46220</v>
      </c>
      <c r="F675" t="inlineStr">
        <is>
          <t>VÄSTERNORRLANDS LÄN</t>
        </is>
      </c>
      <c r="G675" t="inlineStr">
        <is>
          <t>KRAMFORS</t>
        </is>
      </c>
      <c r="I675" t="n">
        <v>7.4</v>
      </c>
      <c r="J675" t="n">
        <v>0</v>
      </c>
      <c r="K675" t="n">
        <v>0</v>
      </c>
      <c r="L675" t="n">
        <v>0</v>
      </c>
      <c r="M675" t="n">
        <v>0</v>
      </c>
      <c r="N675" t="n">
        <v>0</v>
      </c>
      <c r="O675" t="n">
        <v>0</v>
      </c>
      <c r="P675" t="n">
        <v>0</v>
      </c>
      <c r="Q675" t="n">
        <v>0</v>
      </c>
      <c r="R675" t="n">
        <v>0</v>
      </c>
      <c r="S675" t="n">
        <v>0</v>
      </c>
      <c r="T675" t="n">
        <v>0</v>
      </c>
      <c r="U675" s="2" t="inlineStr"/>
    </row>
    <row r="676" ht="15" customHeight="1">
      <c r="A676" t="inlineStr">
        <is>
          <t>A 27549-2025</t>
        </is>
      </c>
      <c r="B676" t="inlineStr">
        <is>
          <t>avverkningsanmälan</t>
        </is>
      </c>
      <c r="C676" t="inlineStr">
        <is>
          <t>Föryngringsavverkning</t>
        </is>
      </c>
      <c r="D676" s="1" t="n">
        <v>45813</v>
      </c>
      <c r="E676" s="1" t="n">
        <v>46220</v>
      </c>
      <c r="F676" t="inlineStr">
        <is>
          <t>VÄSTERNORRLANDS LÄN</t>
        </is>
      </c>
      <c r="G676" t="inlineStr">
        <is>
          <t>KRAMFORS</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17876-2024</t>
        </is>
      </c>
      <c r="B677" t="inlineStr">
        <is>
          <t>avverkningsanmälan</t>
        </is>
      </c>
      <c r="C677" t="inlineStr">
        <is>
          <t>Föryngringsavverkning</t>
        </is>
      </c>
      <c r="D677" s="1" t="n">
        <v>45419</v>
      </c>
      <c r="E677" s="1" t="n">
        <v>46220</v>
      </c>
      <c r="F677" t="inlineStr">
        <is>
          <t>VÄSTERNORRLANDS LÄN</t>
        </is>
      </c>
      <c r="G677" t="inlineStr">
        <is>
          <t>KRAMFORS</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12106-2025</t>
        </is>
      </c>
      <c r="B678" t="inlineStr">
        <is>
          <t>avverkningsanmälan</t>
        </is>
      </c>
      <c r="C678" t="inlineStr">
        <is>
          <t>Föryngringsavverkning</t>
        </is>
      </c>
      <c r="D678" s="1" t="n">
        <v>45729</v>
      </c>
      <c r="E678" s="1" t="n">
        <v>46220</v>
      </c>
      <c r="F678" t="inlineStr">
        <is>
          <t>VÄSTERNORRLANDS LÄN</t>
        </is>
      </c>
      <c r="G678" t="inlineStr">
        <is>
          <t>KRAMFORS</t>
        </is>
      </c>
      <c r="I678" t="n">
        <v>4.6</v>
      </c>
      <c r="J678" t="n">
        <v>0</v>
      </c>
      <c r="K678" t="n">
        <v>0</v>
      </c>
      <c r="L678" t="n">
        <v>0</v>
      </c>
      <c r="M678" t="n">
        <v>0</v>
      </c>
      <c r="N678" t="n">
        <v>0</v>
      </c>
      <c r="O678" t="n">
        <v>0</v>
      </c>
      <c r="P678" t="n">
        <v>0</v>
      </c>
      <c r="Q678" t="n">
        <v>0</v>
      </c>
      <c r="R678" t="n">
        <v>0</v>
      </c>
      <c r="S678" t="n">
        <v>0</v>
      </c>
      <c r="T678" t="n">
        <v>0</v>
      </c>
      <c r="U678" s="2" t="inlineStr"/>
    </row>
    <row r="679" ht="15" customHeight="1">
      <c r="A679" t="inlineStr">
        <is>
          <t>A 39846-2024</t>
        </is>
      </c>
      <c r="B679" t="inlineStr">
        <is>
          <t>avverkningsanmälan</t>
        </is>
      </c>
      <c r="C679" t="inlineStr">
        <is>
          <t>Föryngringsavverkning</t>
        </is>
      </c>
      <c r="D679" s="1" t="n">
        <v>45553</v>
      </c>
      <c r="E679" s="1" t="n">
        <v>46220</v>
      </c>
      <c r="F679" t="inlineStr">
        <is>
          <t>VÄSTERNORRLANDS LÄN</t>
        </is>
      </c>
      <c r="G679" t="inlineStr">
        <is>
          <t>KRAMFORS</t>
        </is>
      </c>
      <c r="I679" t="n">
        <v>3.5</v>
      </c>
      <c r="J679" t="n">
        <v>0</v>
      </c>
      <c r="K679" t="n">
        <v>0</v>
      </c>
      <c r="L679" t="n">
        <v>0</v>
      </c>
      <c r="M679" t="n">
        <v>0</v>
      </c>
      <c r="N679" t="n">
        <v>0</v>
      </c>
      <c r="O679" t="n">
        <v>0</v>
      </c>
      <c r="P679" t="n">
        <v>0</v>
      </c>
      <c r="Q679" t="n">
        <v>0</v>
      </c>
      <c r="R679" t="n">
        <v>0</v>
      </c>
      <c r="S679" t="n">
        <v>0</v>
      </c>
      <c r="T679" t="n">
        <v>0</v>
      </c>
      <c r="U679" s="2" t="inlineStr"/>
    </row>
    <row r="680" ht="15" customHeight="1">
      <c r="A680" t="inlineStr">
        <is>
          <t>A 20454-2026</t>
        </is>
      </c>
      <c r="B680" t="inlineStr">
        <is>
          <t>avverkningsanmälan</t>
        </is>
      </c>
      <c r="C680" t="inlineStr">
        <is>
          <t>Föryngringsavverkning</t>
        </is>
      </c>
      <c r="D680" s="1" t="n">
        <v>46140</v>
      </c>
      <c r="E680" s="1" t="n">
        <v>46220</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2161-2026</t>
        </is>
      </c>
      <c r="B681" t="inlineStr">
        <is>
          <t>avverkningsanmälan</t>
        </is>
      </c>
      <c r="C681" t="inlineStr">
        <is>
          <t>Föryngringsavverkning</t>
        </is>
      </c>
      <c r="D681" s="1" t="n">
        <v>46036</v>
      </c>
      <c r="E681" s="1" t="n">
        <v>46220</v>
      </c>
      <c r="F681" t="inlineStr">
        <is>
          <t>VÄSTERNORRLANDS LÄN</t>
        </is>
      </c>
      <c r="G681" t="inlineStr">
        <is>
          <t>KRAMFORS</t>
        </is>
      </c>
      <c r="I681" t="n">
        <v>7.5</v>
      </c>
      <c r="J681" t="n">
        <v>0</v>
      </c>
      <c r="K681" t="n">
        <v>0</v>
      </c>
      <c r="L681" t="n">
        <v>0</v>
      </c>
      <c r="M681" t="n">
        <v>0</v>
      </c>
      <c r="N681" t="n">
        <v>0</v>
      </c>
      <c r="O681" t="n">
        <v>0</v>
      </c>
      <c r="P681" t="n">
        <v>0</v>
      </c>
      <c r="Q681" t="n">
        <v>0</v>
      </c>
      <c r="R681" t="n">
        <v>0</v>
      </c>
      <c r="S681" t="n">
        <v>0</v>
      </c>
      <c r="T681" t="n">
        <v>0</v>
      </c>
      <c r="U681" s="2" t="inlineStr"/>
    </row>
    <row r="682" ht="15" customHeight="1">
      <c r="A682" t="inlineStr">
        <is>
          <t>A 32513-2024</t>
        </is>
      </c>
      <c r="B682" t="inlineStr">
        <is>
          <t>avverkningsanmälan</t>
        </is>
      </c>
      <c r="C682" t="inlineStr">
        <is>
          <t>Föryngringsavverkning</t>
        </is>
      </c>
      <c r="D682" s="1" t="n">
        <v>45513</v>
      </c>
      <c r="E682" s="1" t="n">
        <v>46220</v>
      </c>
      <c r="F682" t="inlineStr">
        <is>
          <t>VÄSTERNORRLANDS LÄN</t>
        </is>
      </c>
      <c r="G682" t="inlineStr">
        <is>
          <t>KRAMFORS</t>
        </is>
      </c>
      <c r="I682" t="n">
        <v>4.3</v>
      </c>
      <c r="J682" t="n">
        <v>0</v>
      </c>
      <c r="K682" t="n">
        <v>0</v>
      </c>
      <c r="L682" t="n">
        <v>0</v>
      </c>
      <c r="M682" t="n">
        <v>0</v>
      </c>
      <c r="N682" t="n">
        <v>0</v>
      </c>
      <c r="O682" t="n">
        <v>0</v>
      </c>
      <c r="P682" t="n">
        <v>0</v>
      </c>
      <c r="Q682" t="n">
        <v>0</v>
      </c>
      <c r="R682" t="n">
        <v>0</v>
      </c>
      <c r="S682" t="n">
        <v>0</v>
      </c>
      <c r="T682" t="n">
        <v>0</v>
      </c>
      <c r="U682" s="2" t="inlineStr"/>
    </row>
    <row r="683" ht="15" customHeight="1">
      <c r="A683" t="inlineStr">
        <is>
          <t>A 21328-2026</t>
        </is>
      </c>
      <c r="B683" t="inlineStr">
        <is>
          <t>avverkningsanmälan</t>
        </is>
      </c>
      <c r="C683" t="inlineStr">
        <is>
          <t>Föryngringsavverkning</t>
        </is>
      </c>
      <c r="D683" s="1" t="n">
        <v>46142</v>
      </c>
      <c r="E683" s="1" t="n">
        <v>46220</v>
      </c>
      <c r="F683" t="inlineStr">
        <is>
          <t>VÄSTERNORRLANDS LÄN</t>
        </is>
      </c>
      <c r="G683" t="inlineStr">
        <is>
          <t>KRAMFORS</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18794-2025</t>
        </is>
      </c>
      <c r="B684" t="inlineStr">
        <is>
          <t>avverkningsanmälan</t>
        </is>
      </c>
      <c r="C684" t="inlineStr">
        <is>
          <t>Föryngringsavverkning</t>
        </is>
      </c>
      <c r="D684" s="1" t="n">
        <v>45764</v>
      </c>
      <c r="E684" s="1" t="n">
        <v>46220</v>
      </c>
      <c r="F684" t="inlineStr">
        <is>
          <t>VÄSTERNORRLANDS LÄN</t>
        </is>
      </c>
      <c r="G684" t="inlineStr">
        <is>
          <t>KRAMFORS</t>
        </is>
      </c>
      <c r="H684" t="inlineStr">
        <is>
          <t>SCA</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18187-2024</t>
        </is>
      </c>
      <c r="B685" t="inlineStr">
        <is>
          <t>avverkningsanmälan</t>
        </is>
      </c>
      <c r="C685" t="inlineStr">
        <is>
          <t>Avverkning för annat ändamål</t>
        </is>
      </c>
      <c r="D685" s="1" t="n">
        <v>45420</v>
      </c>
      <c r="E685" s="1" t="n">
        <v>46220</v>
      </c>
      <c r="F685" t="inlineStr">
        <is>
          <t>VÄSTERNORRLANDS LÄN</t>
        </is>
      </c>
      <c r="G685" t="inlineStr">
        <is>
          <t>KRAMFORS</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58075-2024</t>
        </is>
      </c>
      <c r="B686" t="inlineStr">
        <is>
          <t>avverkningsanmälan</t>
        </is>
      </c>
      <c r="C686" t="inlineStr">
        <is>
          <t>Föryngringsavverkning</t>
        </is>
      </c>
      <c r="D686" s="1" t="n">
        <v>45632</v>
      </c>
      <c r="E686" s="1" t="n">
        <v>46220</v>
      </c>
      <c r="F686" t="inlineStr">
        <is>
          <t>VÄSTERNORRLANDS LÄN</t>
        </is>
      </c>
      <c r="G686" t="inlineStr">
        <is>
          <t>KRAMFORS</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44615-2023</t>
        </is>
      </c>
      <c r="B687" t="inlineStr">
        <is>
          <t>avverkningsanmälan</t>
        </is>
      </c>
      <c r="C687" t="inlineStr">
        <is>
          <t>Föryngringsavverkning</t>
        </is>
      </c>
      <c r="D687" s="1" t="n">
        <v>45189</v>
      </c>
      <c r="E687" s="1" t="n">
        <v>46220</v>
      </c>
      <c r="F687" t="inlineStr">
        <is>
          <t>VÄSTERNORRLANDS LÄN</t>
        </is>
      </c>
      <c r="G687" t="inlineStr">
        <is>
          <t>KRAMFORS</t>
        </is>
      </c>
      <c r="I687" t="n">
        <v>10</v>
      </c>
      <c r="J687" t="n">
        <v>0</v>
      </c>
      <c r="K687" t="n">
        <v>0</v>
      </c>
      <c r="L687" t="n">
        <v>0</v>
      </c>
      <c r="M687" t="n">
        <v>0</v>
      </c>
      <c r="N687" t="n">
        <v>0</v>
      </c>
      <c r="O687" t="n">
        <v>0</v>
      </c>
      <c r="P687" t="n">
        <v>0</v>
      </c>
      <c r="Q687" t="n">
        <v>0</v>
      </c>
      <c r="R687" t="n">
        <v>0</v>
      </c>
      <c r="S687" t="n">
        <v>0</v>
      </c>
      <c r="T687" t="n">
        <v>0</v>
      </c>
      <c r="U687" s="2" t="inlineStr"/>
    </row>
    <row r="688" ht="15" customHeight="1">
      <c r="A688" t="inlineStr">
        <is>
          <t>A 53824-2022</t>
        </is>
      </c>
      <c r="B688" t="inlineStr">
        <is>
          <t>avverkningsanmälan</t>
        </is>
      </c>
      <c r="C688" t="inlineStr">
        <is>
          <t>Föryngringsavverkning</t>
        </is>
      </c>
      <c r="D688" s="1" t="n">
        <v>44880</v>
      </c>
      <c r="E688" s="1" t="n">
        <v>46220</v>
      </c>
      <c r="F688" t="inlineStr">
        <is>
          <t>VÄSTERNORRLANDS LÄN</t>
        </is>
      </c>
      <c r="G688" t="inlineStr">
        <is>
          <t>KRAMFORS</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44829-2021</t>
        </is>
      </c>
      <c r="B689" t="inlineStr">
        <is>
          <t>avverkningsanmälan</t>
        </is>
      </c>
      <c r="C689" t="inlineStr">
        <is>
          <t>Föryngringsavverkning</t>
        </is>
      </c>
      <c r="D689" s="1" t="n">
        <v>44438</v>
      </c>
      <c r="E689" s="1" t="n">
        <v>46220</v>
      </c>
      <c r="F689" t="inlineStr">
        <is>
          <t>VÄSTERNORRLANDS LÄN</t>
        </is>
      </c>
      <c r="G689" t="inlineStr">
        <is>
          <t>KRAMFORS</t>
        </is>
      </c>
      <c r="I689" t="n">
        <v>2.5</v>
      </c>
      <c r="J689" t="n">
        <v>0</v>
      </c>
      <c r="K689" t="n">
        <v>0</v>
      </c>
      <c r="L689" t="n">
        <v>0</v>
      </c>
      <c r="M689" t="n">
        <v>0</v>
      </c>
      <c r="N689" t="n">
        <v>0</v>
      </c>
      <c r="O689" t="n">
        <v>0</v>
      </c>
      <c r="P689" t="n">
        <v>0</v>
      </c>
      <c r="Q689" t="n">
        <v>0</v>
      </c>
      <c r="R689" t="n">
        <v>0</v>
      </c>
      <c r="S689" t="n">
        <v>0</v>
      </c>
      <c r="T689" t="n">
        <v>0</v>
      </c>
      <c r="U689" s="2" t="inlineStr"/>
    </row>
    <row r="690" ht="15" customHeight="1">
      <c r="A690" t="inlineStr">
        <is>
          <t>A 25989-2026</t>
        </is>
      </c>
      <c r="B690" t="inlineStr">
        <is>
          <t>avverkningsanmälan</t>
        </is>
      </c>
      <c r="C690" t="inlineStr">
        <is>
          <t>Föryngringsavverkning</t>
        </is>
      </c>
      <c r="D690" s="1" t="n">
        <v>46181</v>
      </c>
      <c r="E690" s="1" t="n">
        <v>46220</v>
      </c>
      <c r="F690" t="inlineStr">
        <is>
          <t>VÄSTERNORRLANDS LÄN</t>
        </is>
      </c>
      <c r="G690" t="inlineStr">
        <is>
          <t>KRAMFORS</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38985-2023</t>
        </is>
      </c>
      <c r="B691" t="inlineStr">
        <is>
          <t>avverkningsanmälan</t>
        </is>
      </c>
      <c r="C691" t="inlineStr">
        <is>
          <t>Föryngringsavverkning</t>
        </is>
      </c>
      <c r="D691" s="1" t="n">
        <v>45163</v>
      </c>
      <c r="E691" s="1" t="n">
        <v>46220</v>
      </c>
      <c r="F691" t="inlineStr">
        <is>
          <t>VÄSTERNORRLANDS LÄN</t>
        </is>
      </c>
      <c r="G691" t="inlineStr">
        <is>
          <t>KRAMFORS</t>
        </is>
      </c>
      <c r="H691" t="inlineStr">
        <is>
          <t>Kommuner</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21359-2026</t>
        </is>
      </c>
      <c r="B692" t="inlineStr">
        <is>
          <t>avverkningsanmälan</t>
        </is>
      </c>
      <c r="C692" t="inlineStr">
        <is>
          <t>Föryngringsavverkning</t>
        </is>
      </c>
      <c r="D692" s="1" t="n">
        <v>46147</v>
      </c>
      <c r="E692" s="1" t="n">
        <v>46220</v>
      </c>
      <c r="F692" t="inlineStr">
        <is>
          <t>VÄSTERNORRLANDS LÄN</t>
        </is>
      </c>
      <c r="G692" t="inlineStr">
        <is>
          <t>KRAMFORS</t>
        </is>
      </c>
      <c r="H692" t="inlineStr">
        <is>
          <t>SCA</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21046-2026</t>
        </is>
      </c>
      <c r="B693" t="inlineStr">
        <is>
          <t>avverkningsanmälan</t>
        </is>
      </c>
      <c r="C693" t="inlineStr">
        <is>
          <t>Föryngringsavverkning</t>
        </is>
      </c>
      <c r="D693" s="1" t="n">
        <v>46146</v>
      </c>
      <c r="E693" s="1" t="n">
        <v>46220</v>
      </c>
      <c r="F693" t="inlineStr">
        <is>
          <t>VÄSTERNORRLANDS LÄN</t>
        </is>
      </c>
      <c r="G693" t="inlineStr">
        <is>
          <t>KRAMFORS</t>
        </is>
      </c>
      <c r="I693" t="n">
        <v>3.6</v>
      </c>
      <c r="J693" t="n">
        <v>0</v>
      </c>
      <c r="K693" t="n">
        <v>0</v>
      </c>
      <c r="L693" t="n">
        <v>0</v>
      </c>
      <c r="M693" t="n">
        <v>0</v>
      </c>
      <c r="N693" t="n">
        <v>0</v>
      </c>
      <c r="O693" t="n">
        <v>0</v>
      </c>
      <c r="P693" t="n">
        <v>0</v>
      </c>
      <c r="Q693" t="n">
        <v>0</v>
      </c>
      <c r="R693" t="n">
        <v>0</v>
      </c>
      <c r="S693" t="n">
        <v>0</v>
      </c>
      <c r="T693" t="n">
        <v>0</v>
      </c>
      <c r="U693" s="2" t="inlineStr"/>
    </row>
    <row r="694" ht="15" customHeight="1">
      <c r="A694" t="inlineStr">
        <is>
          <t>A 27217-2026</t>
        </is>
      </c>
      <c r="B694" t="inlineStr">
        <is>
          <t>avverkningsanmälan</t>
        </is>
      </c>
      <c r="C694" t="inlineStr">
        <is>
          <t>Föryngringsavverkning</t>
        </is>
      </c>
      <c r="D694" s="1" t="n">
        <v>46188</v>
      </c>
      <c r="E694" s="1" t="n">
        <v>46220</v>
      </c>
      <c r="F694" t="inlineStr">
        <is>
          <t>VÄSTERNORRLANDS LÄN</t>
        </is>
      </c>
      <c r="G694" t="inlineStr">
        <is>
          <t>KRAMFORS</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21078-2026</t>
        </is>
      </c>
      <c r="B695" t="inlineStr">
        <is>
          <t>avverkningsanmälan</t>
        </is>
      </c>
      <c r="C695" t="inlineStr">
        <is>
          <t>Föryngringsavverkning</t>
        </is>
      </c>
      <c r="D695" s="1" t="n">
        <v>46146</v>
      </c>
      <c r="E695" s="1" t="n">
        <v>46220</v>
      </c>
      <c r="F695" t="inlineStr">
        <is>
          <t>VÄSTERNORRLANDS LÄN</t>
        </is>
      </c>
      <c r="G695" t="inlineStr">
        <is>
          <t>KRAMFORS</t>
        </is>
      </c>
      <c r="I695" t="n">
        <v>2.7</v>
      </c>
      <c r="J695" t="n">
        <v>0</v>
      </c>
      <c r="K695" t="n">
        <v>0</v>
      </c>
      <c r="L695" t="n">
        <v>0</v>
      </c>
      <c r="M695" t="n">
        <v>0</v>
      </c>
      <c r="N695" t="n">
        <v>0</v>
      </c>
      <c r="O695" t="n">
        <v>0</v>
      </c>
      <c r="P695" t="n">
        <v>0</v>
      </c>
      <c r="Q695" t="n">
        <v>0</v>
      </c>
      <c r="R695" t="n">
        <v>0</v>
      </c>
      <c r="S695" t="n">
        <v>0</v>
      </c>
      <c r="T695" t="n">
        <v>0</v>
      </c>
      <c r="U695" s="2" t="inlineStr"/>
    </row>
    <row r="696" ht="15" customHeight="1">
      <c r="A696" t="inlineStr">
        <is>
          <t>A 56863-2023</t>
        </is>
      </c>
      <c r="B696" t="inlineStr">
        <is>
          <t>avverkningsanmälan</t>
        </is>
      </c>
      <c r="C696" t="inlineStr">
        <is>
          <t>Föryngringsavverkning</t>
        </is>
      </c>
      <c r="D696" s="1" t="n">
        <v>45239</v>
      </c>
      <c r="E696" s="1" t="n">
        <v>46220</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27339-2026</t>
        </is>
      </c>
      <c r="B697" t="inlineStr">
        <is>
          <t>avverkningsanmälan</t>
        </is>
      </c>
      <c r="C697" t="inlineStr">
        <is>
          <t>Föryngringsavverkning</t>
        </is>
      </c>
      <c r="D697" s="1" t="n">
        <v>46188</v>
      </c>
      <c r="E697" s="1" t="n">
        <v>46220</v>
      </c>
      <c r="F697" t="inlineStr">
        <is>
          <t>VÄSTERNORRLANDS LÄN</t>
        </is>
      </c>
      <c r="G697" t="inlineStr">
        <is>
          <t>KRAMFORS</t>
        </is>
      </c>
      <c r="H697" t="inlineStr">
        <is>
          <t>SCA</t>
        </is>
      </c>
      <c r="I697" t="n">
        <v>11.3</v>
      </c>
      <c r="J697" t="n">
        <v>0</v>
      </c>
      <c r="K697" t="n">
        <v>0</v>
      </c>
      <c r="L697" t="n">
        <v>0</v>
      </c>
      <c r="M697" t="n">
        <v>0</v>
      </c>
      <c r="N697" t="n">
        <v>0</v>
      </c>
      <c r="O697" t="n">
        <v>0</v>
      </c>
      <c r="P697" t="n">
        <v>0</v>
      </c>
      <c r="Q697" t="n">
        <v>0</v>
      </c>
      <c r="R697" t="n">
        <v>0</v>
      </c>
      <c r="S697" t="n">
        <v>0</v>
      </c>
      <c r="T697" t="n">
        <v>0</v>
      </c>
      <c r="U697" s="2" t="inlineStr"/>
    </row>
    <row r="698" ht="15" customHeight="1">
      <c r="A698" t="inlineStr">
        <is>
          <t>A 61175-2024</t>
        </is>
      </c>
      <c r="B698" t="inlineStr">
        <is>
          <t>avverkningsanmälan</t>
        </is>
      </c>
      <c r="C698" t="inlineStr">
        <is>
          <t>Föryngringsavverkning</t>
        </is>
      </c>
      <c r="D698" s="1" t="n">
        <v>45645</v>
      </c>
      <c r="E698" s="1" t="n">
        <v>46220</v>
      </c>
      <c r="F698" t="inlineStr">
        <is>
          <t>VÄSTERNORRLANDS LÄN</t>
        </is>
      </c>
      <c r="G698" t="inlineStr">
        <is>
          <t>KRAMFORS</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21065-2026</t>
        </is>
      </c>
      <c r="B699" t="inlineStr">
        <is>
          <t>avverkningsanmälan</t>
        </is>
      </c>
      <c r="C699" t="inlineStr">
        <is>
          <t>Föryngringsavverkning</t>
        </is>
      </c>
      <c r="D699" s="1" t="n">
        <v>46146</v>
      </c>
      <c r="E699" s="1" t="n">
        <v>46220</v>
      </c>
      <c r="F699" t="inlineStr">
        <is>
          <t>VÄSTERNORRLANDS LÄN</t>
        </is>
      </c>
      <c r="G699" t="inlineStr">
        <is>
          <t>KRAMFORS</t>
        </is>
      </c>
      <c r="I699" t="n">
        <v>5.9</v>
      </c>
      <c r="J699" t="n">
        <v>0</v>
      </c>
      <c r="K699" t="n">
        <v>0</v>
      </c>
      <c r="L699" t="n">
        <v>0</v>
      </c>
      <c r="M699" t="n">
        <v>0</v>
      </c>
      <c r="N699" t="n">
        <v>0</v>
      </c>
      <c r="O699" t="n">
        <v>0</v>
      </c>
      <c r="P699" t="n">
        <v>0</v>
      </c>
      <c r="Q699" t="n">
        <v>0</v>
      </c>
      <c r="R699" t="n">
        <v>0</v>
      </c>
      <c r="S699" t="n">
        <v>0</v>
      </c>
      <c r="T699" t="n">
        <v>0</v>
      </c>
      <c r="U699" s="2" t="inlineStr"/>
    </row>
    <row r="700" ht="15" customHeight="1">
      <c r="A700" t="inlineStr">
        <is>
          <t>A 45628-2024</t>
        </is>
      </c>
      <c r="B700" t="inlineStr">
        <is>
          <t>avverkningsanmälan</t>
        </is>
      </c>
      <c r="C700" t="inlineStr">
        <is>
          <t>Avverkning för att bevara och utveckla /försöksver</t>
        </is>
      </c>
      <c r="D700" s="1" t="n">
        <v>45579</v>
      </c>
      <c r="E700" s="1" t="n">
        <v>46220</v>
      </c>
      <c r="F700" t="inlineStr">
        <is>
          <t>VÄSTERNORRLANDS LÄN</t>
        </is>
      </c>
      <c r="G700" t="inlineStr">
        <is>
          <t>KRAMFORS</t>
        </is>
      </c>
      <c r="H700" t="inlineStr">
        <is>
          <t>SCA</t>
        </is>
      </c>
      <c r="I700" t="n">
        <v>5.4</v>
      </c>
      <c r="J700" t="n">
        <v>0</v>
      </c>
      <c r="K700" t="n">
        <v>0</v>
      </c>
      <c r="L700" t="n">
        <v>0</v>
      </c>
      <c r="M700" t="n">
        <v>0</v>
      </c>
      <c r="N700" t="n">
        <v>0</v>
      </c>
      <c r="O700" t="n">
        <v>0</v>
      </c>
      <c r="P700" t="n">
        <v>0</v>
      </c>
      <c r="Q700" t="n">
        <v>0</v>
      </c>
      <c r="R700" t="n">
        <v>0</v>
      </c>
      <c r="S700" t="n">
        <v>0</v>
      </c>
      <c r="T700" t="n">
        <v>0</v>
      </c>
      <c r="U700" s="2" t="inlineStr"/>
    </row>
    <row r="701" ht="15" customHeight="1">
      <c r="A701" t="inlineStr">
        <is>
          <t>A 36896-2024</t>
        </is>
      </c>
      <c r="B701" t="inlineStr">
        <is>
          <t>avverkningsanmälan</t>
        </is>
      </c>
      <c r="C701" t="inlineStr">
        <is>
          <t>Föryngringsavverkning</t>
        </is>
      </c>
      <c r="D701" s="1" t="n">
        <v>45538</v>
      </c>
      <c r="E701" s="1" t="n">
        <v>46220</v>
      </c>
      <c r="F701" t="inlineStr">
        <is>
          <t>VÄSTERNORRLANDS LÄN</t>
        </is>
      </c>
      <c r="G701" t="inlineStr">
        <is>
          <t>KRAMFORS</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23127-2024</t>
        </is>
      </c>
      <c r="B702" t="inlineStr">
        <is>
          <t>avverkningsanmälan</t>
        </is>
      </c>
      <c r="C702" t="inlineStr">
        <is>
          <t>Föryngringsavverkning</t>
        </is>
      </c>
      <c r="D702" s="1" t="n">
        <v>45450</v>
      </c>
      <c r="E702" s="1" t="n">
        <v>46220</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22106-2026</t>
        </is>
      </c>
      <c r="B703" t="inlineStr">
        <is>
          <t>avverkningsanmälan</t>
        </is>
      </c>
      <c r="C703" t="inlineStr">
        <is>
          <t>Föryngringsavverkning</t>
        </is>
      </c>
      <c r="D703" s="1" t="n">
        <v>46149</v>
      </c>
      <c r="E703" s="1" t="n">
        <v>46220</v>
      </c>
      <c r="F703" t="inlineStr">
        <is>
          <t>VÄSTERNORRLANDS LÄN</t>
        </is>
      </c>
      <c r="G703" t="inlineStr">
        <is>
          <t>KRAMFORS</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27229-2026</t>
        </is>
      </c>
      <c r="B704" t="inlineStr">
        <is>
          <t>avverkningsanmälan</t>
        </is>
      </c>
      <c r="C704" t="inlineStr">
        <is>
          <t>Föryngringsavverkning</t>
        </is>
      </c>
      <c r="D704" s="1" t="n">
        <v>46188</v>
      </c>
      <c r="E704" s="1" t="n">
        <v>46220</v>
      </c>
      <c r="F704" t="inlineStr">
        <is>
          <t>VÄSTERNORRLANDS LÄN</t>
        </is>
      </c>
      <c r="G704" t="inlineStr">
        <is>
          <t>KRAMFORS</t>
        </is>
      </c>
      <c r="I704" t="n">
        <v>9.199999999999999</v>
      </c>
      <c r="J704" t="n">
        <v>0</v>
      </c>
      <c r="K704" t="n">
        <v>0</v>
      </c>
      <c r="L704" t="n">
        <v>0</v>
      </c>
      <c r="M704" t="n">
        <v>0</v>
      </c>
      <c r="N704" t="n">
        <v>0</v>
      </c>
      <c r="O704" t="n">
        <v>0</v>
      </c>
      <c r="P704" t="n">
        <v>0</v>
      </c>
      <c r="Q704" t="n">
        <v>0</v>
      </c>
      <c r="R704" t="n">
        <v>0</v>
      </c>
      <c r="S704" t="n">
        <v>0</v>
      </c>
      <c r="T704" t="n">
        <v>0</v>
      </c>
      <c r="U704" s="2" t="inlineStr"/>
    </row>
    <row r="705" ht="15" customHeight="1">
      <c r="A705" t="inlineStr">
        <is>
          <t>A 41287-2021</t>
        </is>
      </c>
      <c r="B705" t="inlineStr">
        <is>
          <t>avverkningsanmälan</t>
        </is>
      </c>
      <c r="C705" t="inlineStr">
        <is>
          <t>Föryngringsavverkning</t>
        </is>
      </c>
      <c r="D705" s="1" t="n">
        <v>44424</v>
      </c>
      <c r="E705" s="1" t="n">
        <v>46220</v>
      </c>
      <c r="F705" t="inlineStr">
        <is>
          <t>VÄSTERNORRLANDS LÄN</t>
        </is>
      </c>
      <c r="G705" t="inlineStr">
        <is>
          <t>KRAMFORS</t>
        </is>
      </c>
      <c r="I705" t="n">
        <v>3</v>
      </c>
      <c r="J705" t="n">
        <v>0</v>
      </c>
      <c r="K705" t="n">
        <v>0</v>
      </c>
      <c r="L705" t="n">
        <v>0</v>
      </c>
      <c r="M705" t="n">
        <v>0</v>
      </c>
      <c r="N705" t="n">
        <v>0</v>
      </c>
      <c r="O705" t="n">
        <v>0</v>
      </c>
      <c r="P705" t="n">
        <v>0</v>
      </c>
      <c r="Q705" t="n">
        <v>0</v>
      </c>
      <c r="R705" t="n">
        <v>0</v>
      </c>
      <c r="S705" t="n">
        <v>0</v>
      </c>
      <c r="T705" t="n">
        <v>0</v>
      </c>
      <c r="U705" s="2" t="inlineStr"/>
    </row>
    <row r="706" ht="15" customHeight="1">
      <c r="A706" t="inlineStr">
        <is>
          <t>A 31071-2022</t>
        </is>
      </c>
      <c r="B706" t="inlineStr">
        <is>
          <t>avverkningsanmälan</t>
        </is>
      </c>
      <c r="C706" t="inlineStr">
        <is>
          <t>Föryngringsavverkning</t>
        </is>
      </c>
      <c r="D706" s="1" t="n">
        <v>44769</v>
      </c>
      <c r="E706" s="1" t="n">
        <v>46220</v>
      </c>
      <c r="F706" t="inlineStr">
        <is>
          <t>VÄSTERNORRLANDS LÄN</t>
        </is>
      </c>
      <c r="G706" t="inlineStr">
        <is>
          <t>KRAMFORS</t>
        </is>
      </c>
      <c r="I706" t="n">
        <v>4.3</v>
      </c>
      <c r="J706" t="n">
        <v>0</v>
      </c>
      <c r="K706" t="n">
        <v>0</v>
      </c>
      <c r="L706" t="n">
        <v>0</v>
      </c>
      <c r="M706" t="n">
        <v>0</v>
      </c>
      <c r="N706" t="n">
        <v>0</v>
      </c>
      <c r="O706" t="n">
        <v>0</v>
      </c>
      <c r="P706" t="n">
        <v>0</v>
      </c>
      <c r="Q706" t="n">
        <v>0</v>
      </c>
      <c r="R706" t="n">
        <v>0</v>
      </c>
      <c r="S706" t="n">
        <v>0</v>
      </c>
      <c r="T706" t="n">
        <v>0</v>
      </c>
      <c r="U706" s="2" t="inlineStr"/>
    </row>
    <row r="707" ht="15" customHeight="1">
      <c r="A707" t="inlineStr">
        <is>
          <t>A 22107-2026</t>
        </is>
      </c>
      <c r="B707" t="inlineStr">
        <is>
          <t>avverkningsanmälan</t>
        </is>
      </c>
      <c r="C707" t="inlineStr">
        <is>
          <t>Föryngringsavverkning</t>
        </is>
      </c>
      <c r="D707" s="1" t="n">
        <v>46149</v>
      </c>
      <c r="E707" s="1" t="n">
        <v>46220</v>
      </c>
      <c r="F707" t="inlineStr">
        <is>
          <t>VÄSTERNORRLANDS LÄN</t>
        </is>
      </c>
      <c r="G707" t="inlineStr">
        <is>
          <t>KRAMFORS</t>
        </is>
      </c>
      <c r="I707" t="n">
        <v>2.7</v>
      </c>
      <c r="J707" t="n">
        <v>0</v>
      </c>
      <c r="K707" t="n">
        <v>0</v>
      </c>
      <c r="L707" t="n">
        <v>0</v>
      </c>
      <c r="M707" t="n">
        <v>0</v>
      </c>
      <c r="N707" t="n">
        <v>0</v>
      </c>
      <c r="O707" t="n">
        <v>0</v>
      </c>
      <c r="P707" t="n">
        <v>0</v>
      </c>
      <c r="Q707" t="n">
        <v>0</v>
      </c>
      <c r="R707" t="n">
        <v>0</v>
      </c>
      <c r="S707" t="n">
        <v>0</v>
      </c>
      <c r="T707" t="n">
        <v>0</v>
      </c>
      <c r="U707" s="2" t="inlineStr"/>
    </row>
    <row r="708" ht="15" customHeight="1">
      <c r="A708" t="inlineStr">
        <is>
          <t>A 6448-2023</t>
        </is>
      </c>
      <c r="B708" t="inlineStr">
        <is>
          <t>avverkningsanmälan</t>
        </is>
      </c>
      <c r="C708" t="inlineStr">
        <is>
          <t>Föryngringsavverkning</t>
        </is>
      </c>
      <c r="D708" s="1" t="n">
        <v>44965</v>
      </c>
      <c r="E708" s="1" t="n">
        <v>46220</v>
      </c>
      <c r="F708" t="inlineStr">
        <is>
          <t>VÄSTERNORRLANDS LÄN</t>
        </is>
      </c>
      <c r="G708" t="inlineStr">
        <is>
          <t>KRAMFORS</t>
        </is>
      </c>
      <c r="I708" t="n">
        <v>3.9</v>
      </c>
      <c r="J708" t="n">
        <v>0</v>
      </c>
      <c r="K708" t="n">
        <v>0</v>
      </c>
      <c r="L708" t="n">
        <v>0</v>
      </c>
      <c r="M708" t="n">
        <v>0</v>
      </c>
      <c r="N708" t="n">
        <v>0</v>
      </c>
      <c r="O708" t="n">
        <v>0</v>
      </c>
      <c r="P708" t="n">
        <v>0</v>
      </c>
      <c r="Q708" t="n">
        <v>0</v>
      </c>
      <c r="R708" t="n">
        <v>0</v>
      </c>
      <c r="S708" t="n">
        <v>0</v>
      </c>
      <c r="T708" t="n">
        <v>0</v>
      </c>
      <c r="U708" s="2" t="inlineStr"/>
    </row>
    <row r="709" ht="15" customHeight="1">
      <c r="A709" t="inlineStr">
        <is>
          <t>A 11177-2025</t>
        </is>
      </c>
      <c r="B709" t="inlineStr">
        <is>
          <t>avverkningsanmälan</t>
        </is>
      </c>
      <c r="C709" t="inlineStr">
        <is>
          <t>Föryngringsavverkning</t>
        </is>
      </c>
      <c r="D709" s="1" t="n">
        <v>45724</v>
      </c>
      <c r="E709" s="1" t="n">
        <v>46220</v>
      </c>
      <c r="F709" t="inlineStr">
        <is>
          <t>VÄSTERNORRLANDS LÄN</t>
        </is>
      </c>
      <c r="G709" t="inlineStr">
        <is>
          <t>KRAMFORS</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27250-2026</t>
        </is>
      </c>
      <c r="B710" t="inlineStr">
        <is>
          <t>avverkningsanmälan</t>
        </is>
      </c>
      <c r="C710" t="inlineStr">
        <is>
          <t>Föryngringsavverkning</t>
        </is>
      </c>
      <c r="D710" s="1" t="n">
        <v>46188</v>
      </c>
      <c r="E710" s="1" t="n">
        <v>46220</v>
      </c>
      <c r="F710" t="inlineStr">
        <is>
          <t>VÄSTERNORRLANDS LÄN</t>
        </is>
      </c>
      <c r="G710" t="inlineStr">
        <is>
          <t>KRAMFORS</t>
        </is>
      </c>
      <c r="I710" t="n">
        <v>13.2</v>
      </c>
      <c r="J710" t="n">
        <v>0</v>
      </c>
      <c r="K710" t="n">
        <v>0</v>
      </c>
      <c r="L710" t="n">
        <v>0</v>
      </c>
      <c r="M710" t="n">
        <v>0</v>
      </c>
      <c r="N710" t="n">
        <v>0</v>
      </c>
      <c r="O710" t="n">
        <v>0</v>
      </c>
      <c r="P710" t="n">
        <v>0</v>
      </c>
      <c r="Q710" t="n">
        <v>0</v>
      </c>
      <c r="R710" t="n">
        <v>0</v>
      </c>
      <c r="S710" t="n">
        <v>0</v>
      </c>
      <c r="T710" t="n">
        <v>0</v>
      </c>
      <c r="U710" s="2" t="inlineStr"/>
    </row>
    <row r="711" ht="15" customHeight="1">
      <c r="A711" t="inlineStr">
        <is>
          <t>A 21406-2026</t>
        </is>
      </c>
      <c r="B711" t="inlineStr">
        <is>
          <t>avverkningsanmälan</t>
        </is>
      </c>
      <c r="C711" t="inlineStr">
        <is>
          <t>Avverkning för att bevara och utveckla /försöksver</t>
        </is>
      </c>
      <c r="D711" s="1" t="n">
        <v>46148</v>
      </c>
      <c r="E711" s="1" t="n">
        <v>46220</v>
      </c>
      <c r="F711" t="inlineStr">
        <is>
          <t>VÄSTERNORRLANDS LÄN</t>
        </is>
      </c>
      <c r="G711" t="inlineStr">
        <is>
          <t>KRAMFORS</t>
        </is>
      </c>
      <c r="H711" t="inlineStr">
        <is>
          <t>SCA</t>
        </is>
      </c>
      <c r="I711" t="n">
        <v>5.6</v>
      </c>
      <c r="J711" t="n">
        <v>0</v>
      </c>
      <c r="K711" t="n">
        <v>0</v>
      </c>
      <c r="L711" t="n">
        <v>0</v>
      </c>
      <c r="M711" t="n">
        <v>0</v>
      </c>
      <c r="N711" t="n">
        <v>0</v>
      </c>
      <c r="O711" t="n">
        <v>0</v>
      </c>
      <c r="P711" t="n">
        <v>0</v>
      </c>
      <c r="Q711" t="n">
        <v>0</v>
      </c>
      <c r="R711" t="n">
        <v>0</v>
      </c>
      <c r="S711" t="n">
        <v>0</v>
      </c>
      <c r="T711" t="n">
        <v>0</v>
      </c>
      <c r="U711" s="2" t="inlineStr"/>
    </row>
    <row r="712" ht="15" customHeight="1">
      <c r="A712" t="inlineStr">
        <is>
          <t>A 10413-2024</t>
        </is>
      </c>
      <c r="B712" t="inlineStr">
        <is>
          <t>avverkningsanmälan</t>
        </is>
      </c>
      <c r="C712" t="inlineStr">
        <is>
          <t>Föryngringsavverkning</t>
        </is>
      </c>
      <c r="D712" s="1" t="n">
        <v>45365</v>
      </c>
      <c r="E712" s="1" t="n">
        <v>46220</v>
      </c>
      <c r="F712" t="inlineStr">
        <is>
          <t>VÄSTERNORRLANDS LÄN</t>
        </is>
      </c>
      <c r="G712" t="inlineStr">
        <is>
          <t>KRAMFORS</t>
        </is>
      </c>
      <c r="I712" t="n">
        <v>3.6</v>
      </c>
      <c r="J712" t="n">
        <v>0</v>
      </c>
      <c r="K712" t="n">
        <v>0</v>
      </c>
      <c r="L712" t="n">
        <v>0</v>
      </c>
      <c r="M712" t="n">
        <v>0</v>
      </c>
      <c r="N712" t="n">
        <v>0</v>
      </c>
      <c r="O712" t="n">
        <v>0</v>
      </c>
      <c r="P712" t="n">
        <v>0</v>
      </c>
      <c r="Q712" t="n">
        <v>0</v>
      </c>
      <c r="R712" t="n">
        <v>0</v>
      </c>
      <c r="S712" t="n">
        <v>0</v>
      </c>
      <c r="T712" t="n">
        <v>0</v>
      </c>
      <c r="U712" s="2" t="inlineStr"/>
    </row>
    <row r="713" ht="15" customHeight="1">
      <c r="A713" t="inlineStr">
        <is>
          <t>A 27635-2026</t>
        </is>
      </c>
      <c r="B713" t="inlineStr">
        <is>
          <t>avverkningsanmälan</t>
        </is>
      </c>
      <c r="C713" t="inlineStr">
        <is>
          <t>Föryngringsavverkning</t>
        </is>
      </c>
      <c r="D713" s="1" t="n">
        <v>46190</v>
      </c>
      <c r="E713" s="1" t="n">
        <v>46220</v>
      </c>
      <c r="F713" t="inlineStr">
        <is>
          <t>VÄSTERNORRLANDS LÄN</t>
        </is>
      </c>
      <c r="G713" t="inlineStr">
        <is>
          <t>KRAMFORS</t>
        </is>
      </c>
      <c r="I713" t="n">
        <v>3.7</v>
      </c>
      <c r="J713" t="n">
        <v>0</v>
      </c>
      <c r="K713" t="n">
        <v>0</v>
      </c>
      <c r="L713" t="n">
        <v>0</v>
      </c>
      <c r="M713" t="n">
        <v>0</v>
      </c>
      <c r="N713" t="n">
        <v>0</v>
      </c>
      <c r="O713" t="n">
        <v>0</v>
      </c>
      <c r="P713" t="n">
        <v>0</v>
      </c>
      <c r="Q713" t="n">
        <v>0</v>
      </c>
      <c r="R713" t="n">
        <v>0</v>
      </c>
      <c r="S713" t="n">
        <v>0</v>
      </c>
      <c r="T713" t="n">
        <v>0</v>
      </c>
      <c r="U713" s="2" t="inlineStr"/>
    </row>
    <row r="714" ht="15" customHeight="1">
      <c r="A714" t="inlineStr">
        <is>
          <t>A 56933-2022</t>
        </is>
      </c>
      <c r="B714" t="inlineStr">
        <is>
          <t>avverkningsanmälan</t>
        </is>
      </c>
      <c r="C714" t="inlineStr">
        <is>
          <t>Föryngringsavverkning</t>
        </is>
      </c>
      <c r="D714" s="1" t="n">
        <v>44888</v>
      </c>
      <c r="E714" s="1" t="n">
        <v>46220</v>
      </c>
      <c r="F714" t="inlineStr">
        <is>
          <t>VÄSTERNORRLANDS LÄN</t>
        </is>
      </c>
      <c r="G714" t="inlineStr">
        <is>
          <t>KRAMFORS</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27657-2026</t>
        </is>
      </c>
      <c r="B715" t="inlineStr">
        <is>
          <t>avverkningsanmälan</t>
        </is>
      </c>
      <c r="C715" t="inlineStr">
        <is>
          <t>Föryngringsavverkning</t>
        </is>
      </c>
      <c r="D715" s="1" t="n">
        <v>46190</v>
      </c>
      <c r="E715" s="1" t="n">
        <v>46220</v>
      </c>
      <c r="F715" t="inlineStr">
        <is>
          <t>VÄSTERNORRLANDS LÄN</t>
        </is>
      </c>
      <c r="G715" t="inlineStr">
        <is>
          <t>KRAMFORS</t>
        </is>
      </c>
      <c r="I715" t="n">
        <v>7.5</v>
      </c>
      <c r="J715" t="n">
        <v>0</v>
      </c>
      <c r="K715" t="n">
        <v>0</v>
      </c>
      <c r="L715" t="n">
        <v>0</v>
      </c>
      <c r="M715" t="n">
        <v>0</v>
      </c>
      <c r="N715" t="n">
        <v>0</v>
      </c>
      <c r="O715" t="n">
        <v>0</v>
      </c>
      <c r="P715" t="n">
        <v>0</v>
      </c>
      <c r="Q715" t="n">
        <v>0</v>
      </c>
      <c r="R715" t="n">
        <v>0</v>
      </c>
      <c r="S715" t="n">
        <v>0</v>
      </c>
      <c r="T715" t="n">
        <v>0</v>
      </c>
      <c r="U715" s="2" t="inlineStr"/>
    </row>
    <row r="716" ht="15" customHeight="1">
      <c r="A716" t="inlineStr">
        <is>
          <t>A 60865-2022</t>
        </is>
      </c>
      <c r="B716" t="inlineStr">
        <is>
          <t>avverkningsanmälan</t>
        </is>
      </c>
      <c r="C716" t="inlineStr">
        <is>
          <t>Föryngringsavverkning</t>
        </is>
      </c>
      <c r="D716" s="1" t="n">
        <v>44908</v>
      </c>
      <c r="E716" s="1" t="n">
        <v>46220</v>
      </c>
      <c r="F716" t="inlineStr">
        <is>
          <t>VÄSTERNORRLANDS LÄN</t>
        </is>
      </c>
      <c r="G716" t="inlineStr">
        <is>
          <t>KRAMFORS</t>
        </is>
      </c>
      <c r="I716" t="n">
        <v>2.3</v>
      </c>
      <c r="J716" t="n">
        <v>0</v>
      </c>
      <c r="K716" t="n">
        <v>0</v>
      </c>
      <c r="L716" t="n">
        <v>0</v>
      </c>
      <c r="M716" t="n">
        <v>0</v>
      </c>
      <c r="N716" t="n">
        <v>0</v>
      </c>
      <c r="O716" t="n">
        <v>0</v>
      </c>
      <c r="P716" t="n">
        <v>0</v>
      </c>
      <c r="Q716" t="n">
        <v>0</v>
      </c>
      <c r="R716" t="n">
        <v>0</v>
      </c>
      <c r="S716" t="n">
        <v>0</v>
      </c>
      <c r="T716" t="n">
        <v>0</v>
      </c>
      <c r="U716" s="2" t="inlineStr"/>
    </row>
    <row r="717" ht="15" customHeight="1">
      <c r="A717" t="inlineStr">
        <is>
          <t>A 27648-2026</t>
        </is>
      </c>
      <c r="B717" t="inlineStr">
        <is>
          <t>avverkningsanmälan</t>
        </is>
      </c>
      <c r="C717" t="inlineStr">
        <is>
          <t>Föryngringsavverkning</t>
        </is>
      </c>
      <c r="D717" s="1" t="n">
        <v>46190</v>
      </c>
      <c r="E717" s="1" t="n">
        <v>46220</v>
      </c>
      <c r="F717" t="inlineStr">
        <is>
          <t>VÄSTERNORRLANDS LÄN</t>
        </is>
      </c>
      <c r="G717" t="inlineStr">
        <is>
          <t>KRAMFORS</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10365-2024</t>
        </is>
      </c>
      <c r="B718" t="inlineStr">
        <is>
          <t>avverkningsanmälan</t>
        </is>
      </c>
      <c r="C718" t="inlineStr">
        <is>
          <t>Föryngringsavverkning</t>
        </is>
      </c>
      <c r="D718" s="1" t="n">
        <v>45365</v>
      </c>
      <c r="E718" s="1" t="n">
        <v>46220</v>
      </c>
      <c r="F718" t="inlineStr">
        <is>
          <t>VÄSTERNORRLANDS LÄN</t>
        </is>
      </c>
      <c r="G718" t="inlineStr">
        <is>
          <t>KRAMFORS</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17112-2023</t>
        </is>
      </c>
      <c r="B719" t="inlineStr">
        <is>
          <t>avverkningsanmälan</t>
        </is>
      </c>
      <c r="C719" t="inlineStr">
        <is>
          <t>Föryngringsavverkning</t>
        </is>
      </c>
      <c r="D719" s="1" t="n">
        <v>45034</v>
      </c>
      <c r="E719" s="1" t="n">
        <v>46220</v>
      </c>
      <c r="F719" t="inlineStr">
        <is>
          <t>VÄSTERNORRLANDS LÄN</t>
        </is>
      </c>
      <c r="G719" t="inlineStr">
        <is>
          <t>KRAMFORS</t>
        </is>
      </c>
      <c r="I719" t="n">
        <v>4.5</v>
      </c>
      <c r="J719" t="n">
        <v>0</v>
      </c>
      <c r="K719" t="n">
        <v>0</v>
      </c>
      <c r="L719" t="n">
        <v>0</v>
      </c>
      <c r="M719" t="n">
        <v>0</v>
      </c>
      <c r="N719" t="n">
        <v>0</v>
      </c>
      <c r="O719" t="n">
        <v>0</v>
      </c>
      <c r="P719" t="n">
        <v>0</v>
      </c>
      <c r="Q719" t="n">
        <v>0</v>
      </c>
      <c r="R719" t="n">
        <v>0</v>
      </c>
      <c r="S719" t="n">
        <v>0</v>
      </c>
      <c r="T719" t="n">
        <v>0</v>
      </c>
      <c r="U719" s="2" t="inlineStr"/>
    </row>
    <row r="720" ht="15" customHeight="1">
      <c r="A720" t="inlineStr">
        <is>
          <t>A 28036-2026</t>
        </is>
      </c>
      <c r="B720" t="inlineStr">
        <is>
          <t>avverkningsanmälan</t>
        </is>
      </c>
      <c r="C720" t="inlineStr">
        <is>
          <t>Föryngringsavverkning</t>
        </is>
      </c>
      <c r="D720" s="1" t="n">
        <v>46195</v>
      </c>
      <c r="E720" s="1" t="n">
        <v>46220</v>
      </c>
      <c r="F720" t="inlineStr">
        <is>
          <t>VÄSTERNORRLANDS LÄN</t>
        </is>
      </c>
      <c r="G720" t="inlineStr">
        <is>
          <t>KRAMFORS</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32465-2023</t>
        </is>
      </c>
      <c r="B721" t="inlineStr">
        <is>
          <t>avverkningsanmälan</t>
        </is>
      </c>
      <c r="C721" t="inlineStr">
        <is>
          <t>Föryngringsavverkning</t>
        </is>
      </c>
      <c r="D721" s="1" t="n">
        <v>45120</v>
      </c>
      <c r="E721" s="1" t="n">
        <v>46220</v>
      </c>
      <c r="F721" t="inlineStr">
        <is>
          <t>VÄSTERNORRLANDS LÄN</t>
        </is>
      </c>
      <c r="G721" t="inlineStr">
        <is>
          <t>KRAMFORS</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28052-2026</t>
        </is>
      </c>
      <c r="B722" t="inlineStr">
        <is>
          <t>avverkningsanmälan</t>
        </is>
      </c>
      <c r="C722" t="inlineStr">
        <is>
          <t>Föryngringsavverkning</t>
        </is>
      </c>
      <c r="D722" s="1" t="n">
        <v>46195</v>
      </c>
      <c r="E722" s="1" t="n">
        <v>46220</v>
      </c>
      <c r="F722" t="inlineStr">
        <is>
          <t>VÄSTERNORRLANDS LÄN</t>
        </is>
      </c>
      <c r="G722" t="inlineStr">
        <is>
          <t>KRAMFORS</t>
        </is>
      </c>
      <c r="I722" t="n">
        <v>3.8</v>
      </c>
      <c r="J722" t="n">
        <v>0</v>
      </c>
      <c r="K722" t="n">
        <v>0</v>
      </c>
      <c r="L722" t="n">
        <v>0</v>
      </c>
      <c r="M722" t="n">
        <v>0</v>
      </c>
      <c r="N722" t="n">
        <v>0</v>
      </c>
      <c r="O722" t="n">
        <v>0</v>
      </c>
      <c r="P722" t="n">
        <v>0</v>
      </c>
      <c r="Q722" t="n">
        <v>0</v>
      </c>
      <c r="R722" t="n">
        <v>0</v>
      </c>
      <c r="S722" t="n">
        <v>0</v>
      </c>
      <c r="T722" t="n">
        <v>0</v>
      </c>
      <c r="U722" s="2" t="inlineStr"/>
    </row>
    <row r="723" ht="15" customHeight="1">
      <c r="A723" t="inlineStr">
        <is>
          <t>A 22064-2026</t>
        </is>
      </c>
      <c r="B723" t="inlineStr">
        <is>
          <t>avverkningsanmälan</t>
        </is>
      </c>
      <c r="C723" t="inlineStr">
        <is>
          <t>Föryngringsavverkning</t>
        </is>
      </c>
      <c r="D723" s="1" t="n">
        <v>46153</v>
      </c>
      <c r="E723" s="1" t="n">
        <v>46220</v>
      </c>
      <c r="F723" t="inlineStr">
        <is>
          <t>VÄSTERNORRLANDS LÄN</t>
        </is>
      </c>
      <c r="G723" t="inlineStr">
        <is>
          <t>KRAMFORS</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27632-2026</t>
        </is>
      </c>
      <c r="B724" t="inlineStr">
        <is>
          <t>avverkningsanmälan</t>
        </is>
      </c>
      <c r="C724" t="inlineStr">
        <is>
          <t>Föryngringsavverkning</t>
        </is>
      </c>
      <c r="D724" s="1" t="n">
        <v>46190</v>
      </c>
      <c r="E724" s="1" t="n">
        <v>46220</v>
      </c>
      <c r="F724" t="inlineStr">
        <is>
          <t>VÄSTERNORRLANDS LÄN</t>
        </is>
      </c>
      <c r="G724" t="inlineStr">
        <is>
          <t>KRAMFORS</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28055-2026</t>
        </is>
      </c>
      <c r="B725" t="inlineStr">
        <is>
          <t>avverkningsanmälan</t>
        </is>
      </c>
      <c r="C725" t="inlineStr">
        <is>
          <t>Föryngringsavverkning</t>
        </is>
      </c>
      <c r="D725" s="1" t="n">
        <v>46195</v>
      </c>
      <c r="E725" s="1" t="n">
        <v>46220</v>
      </c>
      <c r="F725" t="inlineStr">
        <is>
          <t>VÄSTERNORRLANDS LÄN</t>
        </is>
      </c>
      <c r="G725" t="inlineStr">
        <is>
          <t>KRAMFORS</t>
        </is>
      </c>
      <c r="I725" t="n">
        <v>4.1</v>
      </c>
      <c r="J725" t="n">
        <v>0</v>
      </c>
      <c r="K725" t="n">
        <v>0</v>
      </c>
      <c r="L725" t="n">
        <v>0</v>
      </c>
      <c r="M725" t="n">
        <v>0</v>
      </c>
      <c r="N725" t="n">
        <v>0</v>
      </c>
      <c r="O725" t="n">
        <v>0</v>
      </c>
      <c r="P725" t="n">
        <v>0</v>
      </c>
      <c r="Q725" t="n">
        <v>0</v>
      </c>
      <c r="R725" t="n">
        <v>0</v>
      </c>
      <c r="S725" t="n">
        <v>0</v>
      </c>
      <c r="T725" t="n">
        <v>0</v>
      </c>
      <c r="U725" s="2" t="inlineStr"/>
    </row>
    <row r="726" ht="15" customHeight="1">
      <c r="A726" t="inlineStr">
        <is>
          <t>A 51313-2025</t>
        </is>
      </c>
      <c r="B726" t="inlineStr">
        <is>
          <t>avverkningsanmälan</t>
        </is>
      </c>
      <c r="C726" t="inlineStr">
        <is>
          <t>Föryngringsavverkning</t>
        </is>
      </c>
      <c r="D726" s="1" t="n">
        <v>45950</v>
      </c>
      <c r="E726" s="1" t="n">
        <v>46220</v>
      </c>
      <c r="F726" t="inlineStr">
        <is>
          <t>VÄSTERNORRLANDS LÄN</t>
        </is>
      </c>
      <c r="G726" t="inlineStr">
        <is>
          <t>KRAMFORS</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22613-2026</t>
        </is>
      </c>
      <c r="B727" t="inlineStr">
        <is>
          <t>avverkningsanmälan</t>
        </is>
      </c>
      <c r="C727" t="inlineStr">
        <is>
          <t>Föryngringsavverkning</t>
        </is>
      </c>
      <c r="D727" s="1" t="n">
        <v>46155</v>
      </c>
      <c r="E727" s="1" t="n">
        <v>46220</v>
      </c>
      <c r="F727" t="inlineStr">
        <is>
          <t>VÄSTERNORRLANDS LÄN</t>
        </is>
      </c>
      <c r="G727" t="inlineStr">
        <is>
          <t>KRAMFORS</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53431-2025</t>
        </is>
      </c>
      <c r="B728" t="inlineStr">
        <is>
          <t>avverkningsanmälan</t>
        </is>
      </c>
      <c r="C728" t="inlineStr">
        <is>
          <t>Föryngringsavverkning</t>
        </is>
      </c>
      <c r="D728" s="1" t="n">
        <v>45959</v>
      </c>
      <c r="E728" s="1" t="n">
        <v>46220</v>
      </c>
      <c r="F728" t="inlineStr">
        <is>
          <t>VÄSTERNORRLANDS LÄN</t>
        </is>
      </c>
      <c r="G728" t="inlineStr">
        <is>
          <t>KRAMFORS</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22612-2026</t>
        </is>
      </c>
      <c r="B729" t="inlineStr">
        <is>
          <t>avverkningsanmälan</t>
        </is>
      </c>
      <c r="C729" t="inlineStr">
        <is>
          <t>Föryngringsavverkning</t>
        </is>
      </c>
      <c r="D729" s="1" t="n">
        <v>46155</v>
      </c>
      <c r="E729" s="1" t="n">
        <v>46220</v>
      </c>
      <c r="F729" t="inlineStr">
        <is>
          <t>VÄSTERNORRLANDS LÄN</t>
        </is>
      </c>
      <c r="G729" t="inlineStr">
        <is>
          <t>KRAMFORS</t>
        </is>
      </c>
      <c r="I729" t="n">
        <v>3.2</v>
      </c>
      <c r="J729" t="n">
        <v>0</v>
      </c>
      <c r="K729" t="n">
        <v>0</v>
      </c>
      <c r="L729" t="n">
        <v>0</v>
      </c>
      <c r="M729" t="n">
        <v>0</v>
      </c>
      <c r="N729" t="n">
        <v>0</v>
      </c>
      <c r="O729" t="n">
        <v>0</v>
      </c>
      <c r="P729" t="n">
        <v>0</v>
      </c>
      <c r="Q729" t="n">
        <v>0</v>
      </c>
      <c r="R729" t="n">
        <v>0</v>
      </c>
      <c r="S729" t="n">
        <v>0</v>
      </c>
      <c r="T729" t="n">
        <v>0</v>
      </c>
      <c r="U729" s="2" t="inlineStr"/>
    </row>
    <row r="730" ht="15" customHeight="1">
      <c r="A730" t="inlineStr">
        <is>
          <t>A 22595-2026</t>
        </is>
      </c>
      <c r="B730" t="inlineStr">
        <is>
          <t>avverkningsanmälan</t>
        </is>
      </c>
      <c r="C730" t="inlineStr">
        <is>
          <t>Föryngringsavverkning</t>
        </is>
      </c>
      <c r="D730" s="1" t="n">
        <v>46155</v>
      </c>
      <c r="E730" s="1" t="n">
        <v>46220</v>
      </c>
      <c r="F730" t="inlineStr">
        <is>
          <t>VÄSTERNORRLANDS LÄN</t>
        </is>
      </c>
      <c r="G730" t="inlineStr">
        <is>
          <t>KRAMFORS</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28611-2026</t>
        </is>
      </c>
      <c r="B731" t="inlineStr">
        <is>
          <t>avverkningsanmälan</t>
        </is>
      </c>
      <c r="C731" t="inlineStr">
        <is>
          <t>Föryngringsavverkning</t>
        </is>
      </c>
      <c r="D731" s="1" t="n">
        <v>46190</v>
      </c>
      <c r="E731" s="1" t="n">
        <v>46220</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70638-2021</t>
        </is>
      </c>
      <c r="B732" t="inlineStr">
        <is>
          <t>avverkningsanmälan</t>
        </is>
      </c>
      <c r="C732" t="inlineStr">
        <is>
          <t>Avverkning för annat ändamål</t>
        </is>
      </c>
      <c r="D732" s="1" t="n">
        <v>44536</v>
      </c>
      <c r="E732" s="1" t="n">
        <v>46220</v>
      </c>
      <c r="F732" t="inlineStr">
        <is>
          <t>VÄSTERNORRLANDS LÄN</t>
        </is>
      </c>
      <c r="G732" t="inlineStr">
        <is>
          <t>KRAMFORS</t>
        </is>
      </c>
      <c r="H732" t="inlineStr">
        <is>
          <t>Kyrkan</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28709-2026</t>
        </is>
      </c>
      <c r="B733" t="inlineStr">
        <is>
          <t>avverkningsanmälan</t>
        </is>
      </c>
      <c r="C733" t="inlineStr">
        <is>
          <t>Föryngringsavverkning</t>
        </is>
      </c>
      <c r="D733" s="1" t="n">
        <v>46198</v>
      </c>
      <c r="E733" s="1" t="n">
        <v>46220</v>
      </c>
      <c r="F733" t="inlineStr">
        <is>
          <t>VÄSTERNORRLANDS LÄN</t>
        </is>
      </c>
      <c r="G733" t="inlineStr">
        <is>
          <t>KRAMFORS</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28730-2026</t>
        </is>
      </c>
      <c r="B734" t="inlineStr">
        <is>
          <t>avverkningsanmälan</t>
        </is>
      </c>
      <c r="C734" t="inlineStr">
        <is>
          <t>Föryngringsavverkning</t>
        </is>
      </c>
      <c r="D734" s="1" t="n">
        <v>46198</v>
      </c>
      <c r="E734" s="1" t="n">
        <v>46220</v>
      </c>
      <c r="F734" t="inlineStr">
        <is>
          <t>VÄSTERNORRLANDS LÄN</t>
        </is>
      </c>
      <c r="G734" t="inlineStr">
        <is>
          <t>KRAMFORS</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28905-2026</t>
        </is>
      </c>
      <c r="B735" t="inlineStr">
        <is>
          <t>avverkningsanmälan</t>
        </is>
      </c>
      <c r="C735" t="inlineStr">
        <is>
          <t>Föryngringsavverkning</t>
        </is>
      </c>
      <c r="D735" s="1" t="n">
        <v>46199</v>
      </c>
      <c r="E735" s="1" t="n">
        <v>46220</v>
      </c>
      <c r="F735" t="inlineStr">
        <is>
          <t>VÄSTERNORRLANDS LÄN</t>
        </is>
      </c>
      <c r="G735" t="inlineStr">
        <is>
          <t>KRAMFORS</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29004-2026</t>
        </is>
      </c>
      <c r="B736" t="inlineStr">
        <is>
          <t>avverkningsanmälan</t>
        </is>
      </c>
      <c r="C736" t="inlineStr">
        <is>
          <t>Föryngringsavverkning</t>
        </is>
      </c>
      <c r="D736" s="1" t="n">
        <v>46199</v>
      </c>
      <c r="E736" s="1" t="n">
        <v>46220</v>
      </c>
      <c r="F736" t="inlineStr">
        <is>
          <t>VÄSTERNORRLANDS LÄN</t>
        </is>
      </c>
      <c r="G736" t="inlineStr">
        <is>
          <t>KRAMFORS</t>
        </is>
      </c>
      <c r="I736" t="n">
        <v>1.7</v>
      </c>
      <c r="J736" t="n">
        <v>0</v>
      </c>
      <c r="K736" t="n">
        <v>0</v>
      </c>
      <c r="L736" t="n">
        <v>0</v>
      </c>
      <c r="M736" t="n">
        <v>0</v>
      </c>
      <c r="N736" t="n">
        <v>0</v>
      </c>
      <c r="O736" t="n">
        <v>0</v>
      </c>
      <c r="P736" t="n">
        <v>0</v>
      </c>
      <c r="Q736" t="n">
        <v>0</v>
      </c>
      <c r="R736" t="n">
        <v>0</v>
      </c>
      <c r="S736" t="n">
        <v>0</v>
      </c>
      <c r="T736" t="n">
        <v>0</v>
      </c>
      <c r="U736" s="2" t="inlineStr"/>
    </row>
    <row r="737" ht="15" customHeight="1">
      <c r="A737" t="inlineStr">
        <is>
          <t>A 28674-2026</t>
        </is>
      </c>
      <c r="B737" t="inlineStr">
        <is>
          <t>avverkningsanmälan</t>
        </is>
      </c>
      <c r="C737" t="inlineStr">
        <is>
          <t>Föryngringsavverkning</t>
        </is>
      </c>
      <c r="D737" s="1" t="n">
        <v>46198</v>
      </c>
      <c r="E737" s="1" t="n">
        <v>46220</v>
      </c>
      <c r="F737" t="inlineStr">
        <is>
          <t>VÄSTERNORRLANDS LÄN</t>
        </is>
      </c>
      <c r="G737" t="inlineStr">
        <is>
          <t>KRAMFORS</t>
        </is>
      </c>
      <c r="I737" t="n">
        <v>0.3</v>
      </c>
      <c r="J737" t="n">
        <v>0</v>
      </c>
      <c r="K737" t="n">
        <v>0</v>
      </c>
      <c r="L737" t="n">
        <v>0</v>
      </c>
      <c r="M737" t="n">
        <v>0</v>
      </c>
      <c r="N737" t="n">
        <v>0</v>
      </c>
      <c r="O737" t="n">
        <v>0</v>
      </c>
      <c r="P737" t="n">
        <v>0</v>
      </c>
      <c r="Q737" t="n">
        <v>0</v>
      </c>
      <c r="R737" t="n">
        <v>0</v>
      </c>
      <c r="S737" t="n">
        <v>0</v>
      </c>
      <c r="T737" t="n">
        <v>0</v>
      </c>
      <c r="U737" s="2" t="inlineStr"/>
    </row>
    <row r="738" ht="15" customHeight="1">
      <c r="A738" t="inlineStr">
        <is>
          <t>A 8732-2022</t>
        </is>
      </c>
      <c r="B738" t="inlineStr">
        <is>
          <t>avverkningsanmälan</t>
        </is>
      </c>
      <c r="C738" t="inlineStr">
        <is>
          <t>Föryngringsavverkning</t>
        </is>
      </c>
      <c r="D738" s="1" t="n">
        <v>44613</v>
      </c>
      <c r="E738" s="1" t="n">
        <v>46220</v>
      </c>
      <c r="F738" t="inlineStr">
        <is>
          <t>VÄSTERNORRLANDS LÄN</t>
        </is>
      </c>
      <c r="G738" t="inlineStr">
        <is>
          <t>KRAMFORS</t>
        </is>
      </c>
      <c r="H738" t="inlineStr">
        <is>
          <t>SCA</t>
        </is>
      </c>
      <c r="I738" t="n">
        <v>11.7</v>
      </c>
      <c r="J738" t="n">
        <v>0</v>
      </c>
      <c r="K738" t="n">
        <v>0</v>
      </c>
      <c r="L738" t="n">
        <v>0</v>
      </c>
      <c r="M738" t="n">
        <v>0</v>
      </c>
      <c r="N738" t="n">
        <v>0</v>
      </c>
      <c r="O738" t="n">
        <v>0</v>
      </c>
      <c r="P738" t="n">
        <v>0</v>
      </c>
      <c r="Q738" t="n">
        <v>0</v>
      </c>
      <c r="R738" t="n">
        <v>0</v>
      </c>
      <c r="S738" t="n">
        <v>0</v>
      </c>
      <c r="T738" t="n">
        <v>0</v>
      </c>
      <c r="U738" s="2" t="inlineStr"/>
    </row>
    <row r="739" ht="15" customHeight="1">
      <c r="A739" t="inlineStr">
        <is>
          <t>A 28710-2026</t>
        </is>
      </c>
      <c r="B739" t="inlineStr">
        <is>
          <t>avverkningsanmälan</t>
        </is>
      </c>
      <c r="C739" t="inlineStr">
        <is>
          <t>Föryngringsavverkning</t>
        </is>
      </c>
      <c r="D739" s="1" t="n">
        <v>46198</v>
      </c>
      <c r="E739" s="1" t="n">
        <v>46220</v>
      </c>
      <c r="F739" t="inlineStr">
        <is>
          <t>VÄSTERNORRLANDS LÄN</t>
        </is>
      </c>
      <c r="G739" t="inlineStr">
        <is>
          <t>KRAMFORS</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28937-2026</t>
        </is>
      </c>
      <c r="B740" t="inlineStr">
        <is>
          <t>avverkningsanmälan</t>
        </is>
      </c>
      <c r="C740" t="inlineStr">
        <is>
          <t>Föryngringsavverkning</t>
        </is>
      </c>
      <c r="D740" s="1" t="n">
        <v>46199</v>
      </c>
      <c r="E740" s="1" t="n">
        <v>46220</v>
      </c>
      <c r="F740" t="inlineStr">
        <is>
          <t>VÄSTERNORRLANDS LÄN</t>
        </is>
      </c>
      <c r="G740" t="inlineStr">
        <is>
          <t>KRAMFORS</t>
        </is>
      </c>
      <c r="I740" t="n">
        <v>2.7</v>
      </c>
      <c r="J740" t="n">
        <v>0</v>
      </c>
      <c r="K740" t="n">
        <v>0</v>
      </c>
      <c r="L740" t="n">
        <v>0</v>
      </c>
      <c r="M740" t="n">
        <v>0</v>
      </c>
      <c r="N740" t="n">
        <v>0</v>
      </c>
      <c r="O740" t="n">
        <v>0</v>
      </c>
      <c r="P740" t="n">
        <v>0</v>
      </c>
      <c r="Q740" t="n">
        <v>0</v>
      </c>
      <c r="R740" t="n">
        <v>0</v>
      </c>
      <c r="S740" t="n">
        <v>0</v>
      </c>
      <c r="T740" t="n">
        <v>0</v>
      </c>
      <c r="U740" s="2" t="inlineStr"/>
    </row>
    <row r="741" ht="15" customHeight="1">
      <c r="A741" t="inlineStr">
        <is>
          <t>A 7764-2022</t>
        </is>
      </c>
      <c r="B741" t="inlineStr">
        <is>
          <t>avverkningsanmälan</t>
        </is>
      </c>
      <c r="C741" t="inlineStr">
        <is>
          <t>Föryngringsavverkning</t>
        </is>
      </c>
      <c r="D741" s="1" t="n">
        <v>44608</v>
      </c>
      <c r="E741" s="1" t="n">
        <v>46220</v>
      </c>
      <c r="F741" t="inlineStr">
        <is>
          <t>VÄSTERNORRLANDS LÄN</t>
        </is>
      </c>
      <c r="G741" t="inlineStr">
        <is>
          <t>KRAMFORS</t>
        </is>
      </c>
      <c r="I741" t="n">
        <v>2.5</v>
      </c>
      <c r="J741" t="n">
        <v>0</v>
      </c>
      <c r="K741" t="n">
        <v>0</v>
      </c>
      <c r="L741" t="n">
        <v>0</v>
      </c>
      <c r="M741" t="n">
        <v>0</v>
      </c>
      <c r="N741" t="n">
        <v>0</v>
      </c>
      <c r="O741" t="n">
        <v>0</v>
      </c>
      <c r="P741" t="n">
        <v>0</v>
      </c>
      <c r="Q741" t="n">
        <v>0</v>
      </c>
      <c r="R741" t="n">
        <v>0</v>
      </c>
      <c r="S741" t="n">
        <v>0</v>
      </c>
      <c r="T741" t="n">
        <v>0</v>
      </c>
      <c r="U741" s="2" t="inlineStr"/>
    </row>
    <row r="742" ht="15" customHeight="1">
      <c r="A742" t="inlineStr">
        <is>
          <t>A 17443-2026</t>
        </is>
      </c>
      <c r="B742" t="inlineStr">
        <is>
          <t>avverkningsanmälan</t>
        </is>
      </c>
      <c r="C742" t="inlineStr">
        <is>
          <t>Föryngringsavverkning</t>
        </is>
      </c>
      <c r="D742" s="1" t="n">
        <v>46120</v>
      </c>
      <c r="E742" s="1" t="n">
        <v>46220</v>
      </c>
      <c r="F742" t="inlineStr">
        <is>
          <t>VÄSTERNORRLANDS LÄN</t>
        </is>
      </c>
      <c r="G742" t="inlineStr">
        <is>
          <t>KRAMFORS</t>
        </is>
      </c>
      <c r="I742" t="n">
        <v>6.6</v>
      </c>
      <c r="J742" t="n">
        <v>0</v>
      </c>
      <c r="K742" t="n">
        <v>0</v>
      </c>
      <c r="L742" t="n">
        <v>0</v>
      </c>
      <c r="M742" t="n">
        <v>0</v>
      </c>
      <c r="N742" t="n">
        <v>0</v>
      </c>
      <c r="O742" t="n">
        <v>0</v>
      </c>
      <c r="P742" t="n">
        <v>0</v>
      </c>
      <c r="Q742" t="n">
        <v>0</v>
      </c>
      <c r="R742" t="n">
        <v>0</v>
      </c>
      <c r="S742" t="n">
        <v>0</v>
      </c>
      <c r="T742" t="n">
        <v>0</v>
      </c>
      <c r="U742" s="2" t="inlineStr"/>
    </row>
    <row r="743" ht="15" customHeight="1">
      <c r="A743" t="inlineStr">
        <is>
          <t>A 22732-2026</t>
        </is>
      </c>
      <c r="B743" t="inlineStr">
        <is>
          <t>avverkningsanmälan</t>
        </is>
      </c>
      <c r="C743" t="inlineStr">
        <is>
          <t>Föryngringsavverkning</t>
        </is>
      </c>
      <c r="D743" s="1" t="n">
        <v>46157</v>
      </c>
      <c r="E743" s="1" t="n">
        <v>46220</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28662-2026</t>
        </is>
      </c>
      <c r="B744" t="inlineStr">
        <is>
          <t>avverkningsanmälan</t>
        </is>
      </c>
      <c r="C744" t="inlineStr">
        <is>
          <t>Föryngringsavverkning</t>
        </is>
      </c>
      <c r="D744" s="1" t="n">
        <v>46198</v>
      </c>
      <c r="E744" s="1" t="n">
        <v>46220</v>
      </c>
      <c r="F744" t="inlineStr">
        <is>
          <t>VÄSTERNORRLANDS LÄN</t>
        </is>
      </c>
      <c r="G744" t="inlineStr">
        <is>
          <t>KRAMFORS</t>
        </is>
      </c>
      <c r="I744" t="n">
        <v>2.6</v>
      </c>
      <c r="J744" t="n">
        <v>0</v>
      </c>
      <c r="K744" t="n">
        <v>0</v>
      </c>
      <c r="L744" t="n">
        <v>0</v>
      </c>
      <c r="M744" t="n">
        <v>0</v>
      </c>
      <c r="N744" t="n">
        <v>0</v>
      </c>
      <c r="O744" t="n">
        <v>0</v>
      </c>
      <c r="P744" t="n">
        <v>0</v>
      </c>
      <c r="Q744" t="n">
        <v>0</v>
      </c>
      <c r="R744" t="n">
        <v>0</v>
      </c>
      <c r="S744" t="n">
        <v>0</v>
      </c>
      <c r="T744" t="n">
        <v>0</v>
      </c>
      <c r="U744" s="2" t="inlineStr"/>
    </row>
    <row r="745" ht="15" customHeight="1">
      <c r="A745" t="inlineStr">
        <is>
          <t>A 19855-2024</t>
        </is>
      </c>
      <c r="B745" t="inlineStr">
        <is>
          <t>avverkningsanmälan</t>
        </is>
      </c>
      <c r="C745" t="inlineStr">
        <is>
          <t>Föryngringsavverkning</t>
        </is>
      </c>
      <c r="D745" s="1" t="n">
        <v>45433</v>
      </c>
      <c r="E745" s="1" t="n">
        <v>46220</v>
      </c>
      <c r="F745" t="inlineStr">
        <is>
          <t>VÄSTERNORRLANDS LÄN</t>
        </is>
      </c>
      <c r="G745" t="inlineStr">
        <is>
          <t>KRAMFORS</t>
        </is>
      </c>
      <c r="I745" t="n">
        <v>18.9</v>
      </c>
      <c r="J745" t="n">
        <v>0</v>
      </c>
      <c r="K745" t="n">
        <v>0</v>
      </c>
      <c r="L745" t="n">
        <v>0</v>
      </c>
      <c r="M745" t="n">
        <v>0</v>
      </c>
      <c r="N745" t="n">
        <v>0</v>
      </c>
      <c r="O745" t="n">
        <v>0</v>
      </c>
      <c r="P745" t="n">
        <v>0</v>
      </c>
      <c r="Q745" t="n">
        <v>0</v>
      </c>
      <c r="R745" t="n">
        <v>0</v>
      </c>
      <c r="S745" t="n">
        <v>0</v>
      </c>
      <c r="T745" t="n">
        <v>0</v>
      </c>
      <c r="U745" s="2" t="inlineStr"/>
    </row>
    <row r="746" ht="15" customHeight="1">
      <c r="A746" t="inlineStr">
        <is>
          <t>A 18798-2025</t>
        </is>
      </c>
      <c r="B746" t="inlineStr">
        <is>
          <t>avverkningsanmälan</t>
        </is>
      </c>
      <c r="C746" t="inlineStr">
        <is>
          <t>Föryngringsavverkning</t>
        </is>
      </c>
      <c r="D746" s="1" t="n">
        <v>45764</v>
      </c>
      <c r="E746" s="1" t="n">
        <v>46220</v>
      </c>
      <c r="F746" t="inlineStr">
        <is>
          <t>VÄSTERNORRLANDS LÄN</t>
        </is>
      </c>
      <c r="G746" t="inlineStr">
        <is>
          <t>KRAMFORS</t>
        </is>
      </c>
      <c r="H746" t="inlineStr">
        <is>
          <t>SCA</t>
        </is>
      </c>
      <c r="I746" t="n">
        <v>10.9</v>
      </c>
      <c r="J746" t="n">
        <v>0</v>
      </c>
      <c r="K746" t="n">
        <v>0</v>
      </c>
      <c r="L746" t="n">
        <v>0</v>
      </c>
      <c r="M746" t="n">
        <v>0</v>
      </c>
      <c r="N746" t="n">
        <v>0</v>
      </c>
      <c r="O746" t="n">
        <v>0</v>
      </c>
      <c r="P746" t="n">
        <v>0</v>
      </c>
      <c r="Q746" t="n">
        <v>0</v>
      </c>
      <c r="R746" t="n">
        <v>0</v>
      </c>
      <c r="S746" t="n">
        <v>0</v>
      </c>
      <c r="T746" t="n">
        <v>0</v>
      </c>
      <c r="U746" s="2" t="inlineStr"/>
    </row>
    <row r="747" ht="15" customHeight="1">
      <c r="A747" t="inlineStr">
        <is>
          <t>A 11250-2025</t>
        </is>
      </c>
      <c r="B747" t="inlineStr">
        <is>
          <t>avverkningsanmälan</t>
        </is>
      </c>
      <c r="C747" t="inlineStr">
        <is>
          <t>Föryngringsavverkning</t>
        </is>
      </c>
      <c r="D747" s="1" t="n">
        <v>45726</v>
      </c>
      <c r="E747" s="1" t="n">
        <v>46220</v>
      </c>
      <c r="F747" t="inlineStr">
        <is>
          <t>VÄSTERNORRLANDS LÄN</t>
        </is>
      </c>
      <c r="G747" t="inlineStr">
        <is>
          <t>KRAMFORS</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53920-2022</t>
        </is>
      </c>
      <c r="B748" t="inlineStr">
        <is>
          <t>avverkningsanmälan</t>
        </is>
      </c>
      <c r="C748" t="inlineStr">
        <is>
          <t>Föryngringsavverkning</t>
        </is>
      </c>
      <c r="D748" s="1" t="n">
        <v>44880</v>
      </c>
      <c r="E748" s="1" t="n">
        <v>46220</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48127-2024</t>
        </is>
      </c>
      <c r="B749" t="inlineStr">
        <is>
          <t>avverkningsanmälan</t>
        </is>
      </c>
      <c r="C749" t="inlineStr">
        <is>
          <t>Föryngringsavverkning</t>
        </is>
      </c>
      <c r="D749" s="1" t="n">
        <v>45589</v>
      </c>
      <c r="E749" s="1" t="n">
        <v>46220</v>
      </c>
      <c r="F749" t="inlineStr">
        <is>
          <t>VÄSTERNORRLANDS LÄN</t>
        </is>
      </c>
      <c r="G749" t="inlineStr">
        <is>
          <t>KRAMFORS</t>
        </is>
      </c>
      <c r="I749" t="n">
        <v>6.3</v>
      </c>
      <c r="J749" t="n">
        <v>0</v>
      </c>
      <c r="K749" t="n">
        <v>0</v>
      </c>
      <c r="L749" t="n">
        <v>0</v>
      </c>
      <c r="M749" t="n">
        <v>0</v>
      </c>
      <c r="N749" t="n">
        <v>0</v>
      </c>
      <c r="O749" t="n">
        <v>0</v>
      </c>
      <c r="P749" t="n">
        <v>0</v>
      </c>
      <c r="Q749" t="n">
        <v>0</v>
      </c>
      <c r="R749" t="n">
        <v>0</v>
      </c>
      <c r="S749" t="n">
        <v>0</v>
      </c>
      <c r="T749" t="n">
        <v>0</v>
      </c>
      <c r="U749" s="2" t="inlineStr"/>
    </row>
    <row r="750" ht="15" customHeight="1">
      <c r="A750" t="inlineStr">
        <is>
          <t>A 14025-2026</t>
        </is>
      </c>
      <c r="B750" t="inlineStr">
        <is>
          <t>avverkningsanmälan</t>
        </is>
      </c>
      <c r="C750" t="inlineStr">
        <is>
          <t>Föryngringsavverkning</t>
        </is>
      </c>
      <c r="D750" s="1" t="n">
        <v>46098</v>
      </c>
      <c r="E750" s="1" t="n">
        <v>46220</v>
      </c>
      <c r="F750" t="inlineStr">
        <is>
          <t>VÄSTERNORRLANDS LÄN</t>
        </is>
      </c>
      <c r="G750" t="inlineStr">
        <is>
          <t>KRAMFORS</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17041-2023</t>
        </is>
      </c>
      <c r="B751" t="inlineStr">
        <is>
          <t>avverkningsanmälan</t>
        </is>
      </c>
      <c r="C751" t="inlineStr">
        <is>
          <t>Föryngringsavverkning</t>
        </is>
      </c>
      <c r="D751" s="1" t="n">
        <v>45034</v>
      </c>
      <c r="E751" s="1" t="n">
        <v>46220</v>
      </c>
      <c r="F751" t="inlineStr">
        <is>
          <t>VÄSTERNORRLANDS LÄN</t>
        </is>
      </c>
      <c r="G751" t="inlineStr">
        <is>
          <t>KRAMFORS</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22972-2026</t>
        </is>
      </c>
      <c r="B752" t="inlineStr">
        <is>
          <t>avverkningsanmälan</t>
        </is>
      </c>
      <c r="C752" t="inlineStr">
        <is>
          <t>Föryngringsavverkning</t>
        </is>
      </c>
      <c r="D752" s="1" t="n">
        <v>46160</v>
      </c>
      <c r="E752" s="1" t="n">
        <v>46220</v>
      </c>
      <c r="F752" t="inlineStr">
        <is>
          <t>VÄSTERNORRLANDS LÄN</t>
        </is>
      </c>
      <c r="G752" t="inlineStr">
        <is>
          <t>KRAMFORS</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56169-2021</t>
        </is>
      </c>
      <c r="B753" t="inlineStr">
        <is>
          <t>avverkningsanmälan</t>
        </is>
      </c>
      <c r="C753" t="inlineStr">
        <is>
          <t>Föryngringsavverkning</t>
        </is>
      </c>
      <c r="D753" s="1" t="n">
        <v>44477</v>
      </c>
      <c r="E753" s="1" t="n">
        <v>46220</v>
      </c>
      <c r="F753" t="inlineStr">
        <is>
          <t>VÄSTERNORRLANDS LÄN</t>
        </is>
      </c>
      <c r="G753" t="inlineStr">
        <is>
          <t>KRAMFORS</t>
        </is>
      </c>
      <c r="I753" t="n">
        <v>4.5</v>
      </c>
      <c r="J753" t="n">
        <v>0</v>
      </c>
      <c r="K753" t="n">
        <v>0</v>
      </c>
      <c r="L753" t="n">
        <v>0</v>
      </c>
      <c r="M753" t="n">
        <v>0</v>
      </c>
      <c r="N753" t="n">
        <v>0</v>
      </c>
      <c r="O753" t="n">
        <v>0</v>
      </c>
      <c r="P753" t="n">
        <v>0</v>
      </c>
      <c r="Q753" t="n">
        <v>0</v>
      </c>
      <c r="R753" t="n">
        <v>0</v>
      </c>
      <c r="S753" t="n">
        <v>0</v>
      </c>
      <c r="T753" t="n">
        <v>0</v>
      </c>
      <c r="U753" s="2" t="inlineStr"/>
    </row>
    <row r="754" ht="15" customHeight="1">
      <c r="A754" t="inlineStr">
        <is>
          <t>A 8127-2026</t>
        </is>
      </c>
      <c r="B754" t="inlineStr">
        <is>
          <t>avverkningsanmälan</t>
        </is>
      </c>
      <c r="C754" t="inlineStr">
        <is>
          <t>Föryngringsavverkning</t>
        </is>
      </c>
      <c r="D754" s="1" t="n">
        <v>46064</v>
      </c>
      <c r="E754" s="1" t="n">
        <v>46220</v>
      </c>
      <c r="F754" t="inlineStr">
        <is>
          <t>VÄSTERNORRLANDS LÄN</t>
        </is>
      </c>
      <c r="G754" t="inlineStr">
        <is>
          <t>KRAMFORS</t>
        </is>
      </c>
      <c r="I754" t="n">
        <v>7.3</v>
      </c>
      <c r="J754" t="n">
        <v>0</v>
      </c>
      <c r="K754" t="n">
        <v>0</v>
      </c>
      <c r="L754" t="n">
        <v>0</v>
      </c>
      <c r="M754" t="n">
        <v>0</v>
      </c>
      <c r="N754" t="n">
        <v>0</v>
      </c>
      <c r="O754" t="n">
        <v>0</v>
      </c>
      <c r="P754" t="n">
        <v>0</v>
      </c>
      <c r="Q754" t="n">
        <v>0</v>
      </c>
      <c r="R754" t="n">
        <v>0</v>
      </c>
      <c r="S754" t="n">
        <v>0</v>
      </c>
      <c r="T754" t="n">
        <v>0</v>
      </c>
      <c r="U754" s="2" t="inlineStr"/>
    </row>
    <row r="755" ht="15" customHeight="1">
      <c r="A755" t="inlineStr">
        <is>
          <t>A 51208-2025</t>
        </is>
      </c>
      <c r="B755" t="inlineStr">
        <is>
          <t>avverkningsanmälan</t>
        </is>
      </c>
      <c r="C755" t="inlineStr">
        <is>
          <t>Föryngringsavverkning</t>
        </is>
      </c>
      <c r="D755" s="1" t="n">
        <v>45947</v>
      </c>
      <c r="E755" s="1" t="n">
        <v>46220</v>
      </c>
      <c r="F755" t="inlineStr">
        <is>
          <t>VÄSTERNORRLANDS LÄN</t>
        </is>
      </c>
      <c r="G755" t="inlineStr">
        <is>
          <t>KRAMFORS</t>
        </is>
      </c>
      <c r="I755" t="n">
        <v>9</v>
      </c>
      <c r="J755" t="n">
        <v>0</v>
      </c>
      <c r="K755" t="n">
        <v>0</v>
      </c>
      <c r="L755" t="n">
        <v>0</v>
      </c>
      <c r="M755" t="n">
        <v>0</v>
      </c>
      <c r="N755" t="n">
        <v>0</v>
      </c>
      <c r="O755" t="n">
        <v>0</v>
      </c>
      <c r="P755" t="n">
        <v>0</v>
      </c>
      <c r="Q755" t="n">
        <v>0</v>
      </c>
      <c r="R755" t="n">
        <v>0</v>
      </c>
      <c r="S755" t="n">
        <v>0</v>
      </c>
      <c r="T755" t="n">
        <v>0</v>
      </c>
      <c r="U755" s="2" t="inlineStr"/>
    </row>
    <row r="756" ht="15" customHeight="1">
      <c r="A756" t="inlineStr">
        <is>
          <t>A 22024-2026</t>
        </is>
      </c>
      <c r="B756" t="inlineStr">
        <is>
          <t>avverkningsanmälan</t>
        </is>
      </c>
      <c r="C756" t="inlineStr">
        <is>
          <t>Föryngringsavverkning</t>
        </is>
      </c>
      <c r="D756" s="1" t="n">
        <v>46153</v>
      </c>
      <c r="E756" s="1" t="n">
        <v>46220</v>
      </c>
      <c r="F756" t="inlineStr">
        <is>
          <t>VÄSTERNORRLANDS LÄN</t>
        </is>
      </c>
      <c r="G756" t="inlineStr">
        <is>
          <t>KRAMFORS</t>
        </is>
      </c>
      <c r="I756" t="n">
        <v>5.4</v>
      </c>
      <c r="J756" t="n">
        <v>0</v>
      </c>
      <c r="K756" t="n">
        <v>0</v>
      </c>
      <c r="L756" t="n">
        <v>0</v>
      </c>
      <c r="M756" t="n">
        <v>0</v>
      </c>
      <c r="N756" t="n">
        <v>0</v>
      </c>
      <c r="O756" t="n">
        <v>0</v>
      </c>
      <c r="P756" t="n">
        <v>0</v>
      </c>
      <c r="Q756" t="n">
        <v>0</v>
      </c>
      <c r="R756" t="n">
        <v>0</v>
      </c>
      <c r="S756" t="n">
        <v>0</v>
      </c>
      <c r="T756" t="n">
        <v>0</v>
      </c>
      <c r="U756" s="2" t="inlineStr"/>
    </row>
    <row r="757" ht="15" customHeight="1">
      <c r="A757" t="inlineStr">
        <is>
          <t>A 10312-2024</t>
        </is>
      </c>
      <c r="B757" t="inlineStr">
        <is>
          <t>avverkningsanmälan</t>
        </is>
      </c>
      <c r="C757" t="inlineStr">
        <is>
          <t>Avverkning för annat ändamål</t>
        </is>
      </c>
      <c r="D757" s="1" t="n">
        <v>45365</v>
      </c>
      <c r="E757" s="1" t="n">
        <v>46220</v>
      </c>
      <c r="F757" t="inlineStr">
        <is>
          <t>VÄSTERNORRLANDS LÄN</t>
        </is>
      </c>
      <c r="G757" t="inlineStr">
        <is>
          <t>KRAMFORS</t>
        </is>
      </c>
      <c r="I757" t="n">
        <v>0.4</v>
      </c>
      <c r="J757" t="n">
        <v>0</v>
      </c>
      <c r="K757" t="n">
        <v>0</v>
      </c>
      <c r="L757" t="n">
        <v>0</v>
      </c>
      <c r="M757" t="n">
        <v>0</v>
      </c>
      <c r="N757" t="n">
        <v>0</v>
      </c>
      <c r="O757" t="n">
        <v>0</v>
      </c>
      <c r="P757" t="n">
        <v>0</v>
      </c>
      <c r="Q757" t="n">
        <v>0</v>
      </c>
      <c r="R757" t="n">
        <v>0</v>
      </c>
      <c r="S757" t="n">
        <v>0</v>
      </c>
      <c r="T757" t="n">
        <v>0</v>
      </c>
      <c r="U757" s="2" t="inlineStr"/>
    </row>
    <row r="758" ht="15" customHeight="1">
      <c r="A758" t="inlineStr">
        <is>
          <t>A 51213-2025</t>
        </is>
      </c>
      <c r="B758" t="inlineStr">
        <is>
          <t>avverkningsanmälan</t>
        </is>
      </c>
      <c r="C758" t="inlineStr">
        <is>
          <t>Föryngringsavverkning</t>
        </is>
      </c>
      <c r="D758" s="1" t="n">
        <v>45947</v>
      </c>
      <c r="E758" s="1" t="n">
        <v>46220</v>
      </c>
      <c r="F758" t="inlineStr">
        <is>
          <t>VÄSTERNORRLANDS LÄN</t>
        </is>
      </c>
      <c r="G758" t="inlineStr">
        <is>
          <t>KRAMFORS</t>
        </is>
      </c>
      <c r="I758" t="n">
        <v>8.9</v>
      </c>
      <c r="J758" t="n">
        <v>0</v>
      </c>
      <c r="K758" t="n">
        <v>0</v>
      </c>
      <c r="L758" t="n">
        <v>0</v>
      </c>
      <c r="M758" t="n">
        <v>0</v>
      </c>
      <c r="N758" t="n">
        <v>0</v>
      </c>
      <c r="O758" t="n">
        <v>0</v>
      </c>
      <c r="P758" t="n">
        <v>0</v>
      </c>
      <c r="Q758" t="n">
        <v>0</v>
      </c>
      <c r="R758" t="n">
        <v>0</v>
      </c>
      <c r="S758" t="n">
        <v>0</v>
      </c>
      <c r="T758" t="n">
        <v>0</v>
      </c>
      <c r="U758" s="2" t="inlineStr"/>
    </row>
    <row r="759" ht="15" customHeight="1">
      <c r="A759" t="inlineStr">
        <is>
          <t>A 3191-2025</t>
        </is>
      </c>
      <c r="B759" t="inlineStr">
        <is>
          <t>avverkningsanmälan</t>
        </is>
      </c>
      <c r="C759" t="inlineStr">
        <is>
          <t>Föryngringsavverkning</t>
        </is>
      </c>
      <c r="D759" s="1" t="n">
        <v>45679</v>
      </c>
      <c r="E759" s="1" t="n">
        <v>46220</v>
      </c>
      <c r="F759" t="inlineStr">
        <is>
          <t>VÄSTERNORRLANDS LÄN</t>
        </is>
      </c>
      <c r="G759" t="inlineStr">
        <is>
          <t>KRAMFORS</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7986-2025</t>
        </is>
      </c>
      <c r="B760" t="inlineStr">
        <is>
          <t>avverkningsanmälan</t>
        </is>
      </c>
      <c r="C760" t="inlineStr">
        <is>
          <t>Föryngringsavverkning</t>
        </is>
      </c>
      <c r="D760" s="1" t="n">
        <v>45707</v>
      </c>
      <c r="E760" s="1" t="n">
        <v>46220</v>
      </c>
      <c r="F760" t="inlineStr">
        <is>
          <t>VÄSTERNORRLANDS LÄN</t>
        </is>
      </c>
      <c r="G760" t="inlineStr">
        <is>
          <t>KRAMFORS</t>
        </is>
      </c>
      <c r="I760" t="n">
        <v>8.800000000000001</v>
      </c>
      <c r="J760" t="n">
        <v>0</v>
      </c>
      <c r="K760" t="n">
        <v>0</v>
      </c>
      <c r="L760" t="n">
        <v>0</v>
      </c>
      <c r="M760" t="n">
        <v>0</v>
      </c>
      <c r="N760" t="n">
        <v>0</v>
      </c>
      <c r="O760" t="n">
        <v>0</v>
      </c>
      <c r="P760" t="n">
        <v>0</v>
      </c>
      <c r="Q760" t="n">
        <v>0</v>
      </c>
      <c r="R760" t="n">
        <v>0</v>
      </c>
      <c r="S760" t="n">
        <v>0</v>
      </c>
      <c r="T760" t="n">
        <v>0</v>
      </c>
      <c r="U760" s="2" t="inlineStr"/>
    </row>
    <row r="761" ht="15" customHeight="1">
      <c r="A761" t="inlineStr">
        <is>
          <t>A 53372-2025</t>
        </is>
      </c>
      <c r="B761" t="inlineStr">
        <is>
          <t>avverkningsanmälan</t>
        </is>
      </c>
      <c r="C761" t="inlineStr">
        <is>
          <t>Föryngringsavverkning</t>
        </is>
      </c>
      <c r="D761" s="1" t="n">
        <v>45959</v>
      </c>
      <c r="E761" s="1" t="n">
        <v>46220</v>
      </c>
      <c r="F761" t="inlineStr">
        <is>
          <t>VÄSTERNORRLANDS LÄN</t>
        </is>
      </c>
      <c r="G761" t="inlineStr">
        <is>
          <t>KRAMFORS</t>
        </is>
      </c>
      <c r="I761" t="n">
        <v>1.3</v>
      </c>
      <c r="J761" t="n">
        <v>0</v>
      </c>
      <c r="K761" t="n">
        <v>0</v>
      </c>
      <c r="L761" t="n">
        <v>0</v>
      </c>
      <c r="M761" t="n">
        <v>0</v>
      </c>
      <c r="N761" t="n">
        <v>0</v>
      </c>
      <c r="O761" t="n">
        <v>0</v>
      </c>
      <c r="P761" t="n">
        <v>0</v>
      </c>
      <c r="Q761" t="n">
        <v>0</v>
      </c>
      <c r="R761" t="n">
        <v>0</v>
      </c>
      <c r="S761" t="n">
        <v>0</v>
      </c>
      <c r="T761" t="n">
        <v>0</v>
      </c>
      <c r="U761" s="2" t="inlineStr"/>
    </row>
    <row r="762" ht="15" customHeight="1">
      <c r="A762" t="inlineStr">
        <is>
          <t>A 22846-2026</t>
        </is>
      </c>
      <c r="B762" t="inlineStr">
        <is>
          <t>avverkningsanmälan</t>
        </is>
      </c>
      <c r="C762" t="inlineStr">
        <is>
          <t>Föryngringsavverkning</t>
        </is>
      </c>
      <c r="D762" s="1" t="n">
        <v>46160</v>
      </c>
      <c r="E762" s="1" t="n">
        <v>46220</v>
      </c>
      <c r="F762" t="inlineStr">
        <is>
          <t>VÄSTERNORRLANDS LÄN</t>
        </is>
      </c>
      <c r="G762" t="inlineStr">
        <is>
          <t>KRAMFORS</t>
        </is>
      </c>
      <c r="H762" t="inlineStr">
        <is>
          <t>Kommuner</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22852-2026</t>
        </is>
      </c>
      <c r="B763" t="inlineStr">
        <is>
          <t>avverkningsanmälan</t>
        </is>
      </c>
      <c r="C763" t="inlineStr">
        <is>
          <t>Föryngringsavverkning</t>
        </is>
      </c>
      <c r="D763" s="1" t="n">
        <v>46160</v>
      </c>
      <c r="E763" s="1" t="n">
        <v>46220</v>
      </c>
      <c r="F763" t="inlineStr">
        <is>
          <t>VÄSTERNORRLANDS LÄN</t>
        </is>
      </c>
      <c r="G763" t="inlineStr">
        <is>
          <t>KRAMFORS</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44509-2025</t>
        </is>
      </c>
      <c r="B764" t="inlineStr">
        <is>
          <t>avverkningsanmälan</t>
        </is>
      </c>
      <c r="C764" t="inlineStr">
        <is>
          <t>Föryngringsavverkning</t>
        </is>
      </c>
      <c r="D764" s="1" t="n">
        <v>45916</v>
      </c>
      <c r="E764" s="1" t="n">
        <v>46220</v>
      </c>
      <c r="F764" t="inlineStr">
        <is>
          <t>VÄSTERNORRLANDS LÄN</t>
        </is>
      </c>
      <c r="G764" t="inlineStr">
        <is>
          <t>KRAMFORS</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25599-2023</t>
        </is>
      </c>
      <c r="B765" t="inlineStr">
        <is>
          <t>avverkningsanmälan</t>
        </is>
      </c>
      <c r="C765" t="inlineStr">
        <is>
          <t>Föryngringsavverkning</t>
        </is>
      </c>
      <c r="D765" s="1" t="n">
        <v>45089</v>
      </c>
      <c r="E765" s="1" t="n">
        <v>46220</v>
      </c>
      <c r="F765" t="inlineStr">
        <is>
          <t>VÄSTERNORRLANDS LÄN</t>
        </is>
      </c>
      <c r="G765" t="inlineStr">
        <is>
          <t>KRAMFORS</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23094-2026</t>
        </is>
      </c>
      <c r="B766" t="inlineStr">
        <is>
          <t>avverkningsanmälan</t>
        </is>
      </c>
      <c r="C766" t="inlineStr">
        <is>
          <t>Föryngringsavverkning</t>
        </is>
      </c>
      <c r="D766" s="1" t="n">
        <v>46161</v>
      </c>
      <c r="E766" s="1" t="n">
        <v>46220</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47650-2022</t>
        </is>
      </c>
      <c r="B767" t="inlineStr">
        <is>
          <t>avverkningsanmälan</t>
        </is>
      </c>
      <c r="C767" t="inlineStr">
        <is>
          <t>Föryngringsavverkning</t>
        </is>
      </c>
      <c r="D767" s="1" t="n">
        <v>44853</v>
      </c>
      <c r="E767" s="1" t="n">
        <v>46220</v>
      </c>
      <c r="F767" t="inlineStr">
        <is>
          <t>VÄSTERNORRLANDS LÄN</t>
        </is>
      </c>
      <c r="G767" t="inlineStr">
        <is>
          <t>KRAMFORS</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10510-2024</t>
        </is>
      </c>
      <c r="B768" t="inlineStr">
        <is>
          <t>avverkningsanmälan</t>
        </is>
      </c>
      <c r="C768" t="inlineStr">
        <is>
          <t>Föryngringsavverkning</t>
        </is>
      </c>
      <c r="D768" s="1" t="n">
        <v>45366</v>
      </c>
      <c r="E768" s="1" t="n">
        <v>46220</v>
      </c>
      <c r="F768" t="inlineStr">
        <is>
          <t>VÄSTERNORRLANDS LÄN</t>
        </is>
      </c>
      <c r="G768" t="inlineStr">
        <is>
          <t>KRAMFORS</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4083-2025</t>
        </is>
      </c>
      <c r="B769" t="inlineStr">
        <is>
          <t>avverkningsanmälan</t>
        </is>
      </c>
      <c r="C769" t="inlineStr">
        <is>
          <t>Föryngringsavverkning</t>
        </is>
      </c>
      <c r="D769" s="1" t="n">
        <v>45684</v>
      </c>
      <c r="E769" s="1" t="n">
        <v>46220</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s="2" t="inlineStr"/>
    </row>
    <row r="770" ht="15" customHeight="1">
      <c r="A770" t="inlineStr">
        <is>
          <t>A 3448-2025</t>
        </is>
      </c>
      <c r="B770" t="inlineStr">
        <is>
          <t>avverkningsanmälan</t>
        </is>
      </c>
      <c r="C770" t="inlineStr">
        <is>
          <t>Föryngringsavverkning</t>
        </is>
      </c>
      <c r="D770" s="1" t="n">
        <v>45680</v>
      </c>
      <c r="E770" s="1" t="n">
        <v>46220</v>
      </c>
      <c r="F770" t="inlineStr">
        <is>
          <t>VÄSTERNORRLANDS LÄN</t>
        </is>
      </c>
      <c r="G770" t="inlineStr">
        <is>
          <t>KRAMFORS</t>
        </is>
      </c>
      <c r="I770" t="n">
        <v>0.4</v>
      </c>
      <c r="J770" t="n">
        <v>0</v>
      </c>
      <c r="K770" t="n">
        <v>0</v>
      </c>
      <c r="L770" t="n">
        <v>0</v>
      </c>
      <c r="M770" t="n">
        <v>0</v>
      </c>
      <c r="N770" t="n">
        <v>0</v>
      </c>
      <c r="O770" t="n">
        <v>0</v>
      </c>
      <c r="P770" t="n">
        <v>0</v>
      </c>
      <c r="Q770" t="n">
        <v>0</v>
      </c>
      <c r="R770" t="n">
        <v>0</v>
      </c>
      <c r="S770" t="n">
        <v>0</v>
      </c>
      <c r="T770" t="n">
        <v>0</v>
      </c>
      <c r="U770" s="2" t="inlineStr"/>
    </row>
    <row r="771" ht="15" customHeight="1">
      <c r="A771" t="inlineStr">
        <is>
          <t>A 29794-2026</t>
        </is>
      </c>
      <c r="B771" t="inlineStr">
        <is>
          <t>avverkningsanmälan</t>
        </is>
      </c>
      <c r="C771" t="inlineStr">
        <is>
          <t>Avverkning för annat ändamål</t>
        </is>
      </c>
      <c r="D771" s="1" t="n">
        <v>46205</v>
      </c>
      <c r="E771" s="1" t="n">
        <v>46220</v>
      </c>
      <c r="F771" t="inlineStr">
        <is>
          <t>VÄSTERNORRLANDS LÄN</t>
        </is>
      </c>
      <c r="G771" t="inlineStr">
        <is>
          <t>KRAMFORS</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51077-2022</t>
        </is>
      </c>
      <c r="B772" t="inlineStr">
        <is>
          <t>avverkningsanmälan</t>
        </is>
      </c>
      <c r="C772" t="inlineStr">
        <is>
          <t>Föryngringsavverkning</t>
        </is>
      </c>
      <c r="D772" s="1" t="n">
        <v>44865</v>
      </c>
      <c r="E772" s="1" t="n">
        <v>46220</v>
      </c>
      <c r="F772" t="inlineStr">
        <is>
          <t>VÄSTERNORRLANDS LÄN</t>
        </is>
      </c>
      <c r="G772" t="inlineStr">
        <is>
          <t>KRAMFORS</t>
        </is>
      </c>
      <c r="I772" t="n">
        <v>6.9</v>
      </c>
      <c r="J772" t="n">
        <v>0</v>
      </c>
      <c r="K772" t="n">
        <v>0</v>
      </c>
      <c r="L772" t="n">
        <v>0</v>
      </c>
      <c r="M772" t="n">
        <v>0</v>
      </c>
      <c r="N772" t="n">
        <v>0</v>
      </c>
      <c r="O772" t="n">
        <v>0</v>
      </c>
      <c r="P772" t="n">
        <v>0</v>
      </c>
      <c r="Q772" t="n">
        <v>0</v>
      </c>
      <c r="R772" t="n">
        <v>0</v>
      </c>
      <c r="S772" t="n">
        <v>0</v>
      </c>
      <c r="T772" t="n">
        <v>0</v>
      </c>
      <c r="U772" s="2" t="inlineStr"/>
    </row>
    <row r="773" ht="15" customHeight="1">
      <c r="A773" t="inlineStr">
        <is>
          <t>A 29623-2026</t>
        </is>
      </c>
      <c r="B773" t="inlineStr">
        <is>
          <t>avverkningsanmälan</t>
        </is>
      </c>
      <c r="C773" t="inlineStr">
        <is>
          <t>Föryngringsavverkning</t>
        </is>
      </c>
      <c r="D773" s="1" t="n">
        <v>46204</v>
      </c>
      <c r="E773" s="1" t="n">
        <v>46220</v>
      </c>
      <c r="F773" t="inlineStr">
        <is>
          <t>VÄSTERNORRLANDS LÄN</t>
        </is>
      </c>
      <c r="G773" t="inlineStr">
        <is>
          <t>KRAMFORS</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13844-2024</t>
        </is>
      </c>
      <c r="B774" t="inlineStr">
        <is>
          <t>avverkningsanmälan</t>
        </is>
      </c>
      <c r="C774" t="inlineStr">
        <is>
          <t>Föryngringsavverkning</t>
        </is>
      </c>
      <c r="D774" s="1" t="n">
        <v>45390</v>
      </c>
      <c r="E774" s="1" t="n">
        <v>46220</v>
      </c>
      <c r="F774" t="inlineStr">
        <is>
          <t>VÄSTERNORRLANDS LÄN</t>
        </is>
      </c>
      <c r="G774" t="inlineStr">
        <is>
          <t>KRAMFORS</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52924-2025</t>
        </is>
      </c>
      <c r="B775" t="inlineStr">
        <is>
          <t>avverkningsanmälan</t>
        </is>
      </c>
      <c r="C775" t="inlineStr">
        <is>
          <t>Föryngringsavverkning</t>
        </is>
      </c>
      <c r="D775" s="1" t="n">
        <v>45957</v>
      </c>
      <c r="E775" s="1" t="n">
        <v>46220</v>
      </c>
      <c r="F775" t="inlineStr">
        <is>
          <t>VÄSTERNORRLANDS LÄN</t>
        </is>
      </c>
      <c r="G775" t="inlineStr">
        <is>
          <t>KRAMFORS</t>
        </is>
      </c>
      <c r="I775" t="n">
        <v>7.6</v>
      </c>
      <c r="J775" t="n">
        <v>0</v>
      </c>
      <c r="K775" t="n">
        <v>0</v>
      </c>
      <c r="L775" t="n">
        <v>0</v>
      </c>
      <c r="M775" t="n">
        <v>0</v>
      </c>
      <c r="N775" t="n">
        <v>0</v>
      </c>
      <c r="O775" t="n">
        <v>0</v>
      </c>
      <c r="P775" t="n">
        <v>0</v>
      </c>
      <c r="Q775" t="n">
        <v>0</v>
      </c>
      <c r="R775" t="n">
        <v>0</v>
      </c>
      <c r="S775" t="n">
        <v>0</v>
      </c>
      <c r="T775" t="n">
        <v>0</v>
      </c>
      <c r="U775" s="2" t="inlineStr"/>
    </row>
    <row r="776" ht="15" customHeight="1">
      <c r="A776" t="inlineStr">
        <is>
          <t>A 12066-2025</t>
        </is>
      </c>
      <c r="B776" t="inlineStr">
        <is>
          <t>avverkningsanmälan</t>
        </is>
      </c>
      <c r="C776" t="inlineStr">
        <is>
          <t>Föryngringsavverkning</t>
        </is>
      </c>
      <c r="D776" s="1" t="n">
        <v>45728</v>
      </c>
      <c r="E776" s="1" t="n">
        <v>46220</v>
      </c>
      <c r="F776" t="inlineStr">
        <is>
          <t>VÄSTERNORRLANDS LÄN</t>
        </is>
      </c>
      <c r="G776" t="inlineStr">
        <is>
          <t>KRAMFORS</t>
        </is>
      </c>
      <c r="I776" t="n">
        <v>0.6</v>
      </c>
      <c r="J776" t="n">
        <v>0</v>
      </c>
      <c r="K776" t="n">
        <v>0</v>
      </c>
      <c r="L776" t="n">
        <v>0</v>
      </c>
      <c r="M776" t="n">
        <v>0</v>
      </c>
      <c r="N776" t="n">
        <v>0</v>
      </c>
      <c r="O776" t="n">
        <v>0</v>
      </c>
      <c r="P776" t="n">
        <v>0</v>
      </c>
      <c r="Q776" t="n">
        <v>0</v>
      </c>
      <c r="R776" t="n">
        <v>0</v>
      </c>
      <c r="S776" t="n">
        <v>0</v>
      </c>
      <c r="T776" t="n">
        <v>0</v>
      </c>
      <c r="U776" s="2" t="inlineStr"/>
    </row>
    <row r="777" ht="15" customHeight="1">
      <c r="A777" t="inlineStr">
        <is>
          <t>A 51175-2025</t>
        </is>
      </c>
      <c r="B777" t="inlineStr">
        <is>
          <t>avverkningsanmälan</t>
        </is>
      </c>
      <c r="C777" t="inlineStr">
        <is>
          <t>Föryngringsavverkning</t>
        </is>
      </c>
      <c r="D777" s="1" t="n">
        <v>45947</v>
      </c>
      <c r="E777" s="1" t="n">
        <v>46220</v>
      </c>
      <c r="F777" t="inlineStr">
        <is>
          <t>VÄSTERNORRLANDS LÄN</t>
        </is>
      </c>
      <c r="G777" t="inlineStr">
        <is>
          <t>KRAMFORS</t>
        </is>
      </c>
      <c r="I777" t="n">
        <v>8.300000000000001</v>
      </c>
      <c r="J777" t="n">
        <v>0</v>
      </c>
      <c r="K777" t="n">
        <v>0</v>
      </c>
      <c r="L777" t="n">
        <v>0</v>
      </c>
      <c r="M777" t="n">
        <v>0</v>
      </c>
      <c r="N777" t="n">
        <v>0</v>
      </c>
      <c r="O777" t="n">
        <v>0</v>
      </c>
      <c r="P777" t="n">
        <v>0</v>
      </c>
      <c r="Q777" t="n">
        <v>0</v>
      </c>
      <c r="R777" t="n">
        <v>0</v>
      </c>
      <c r="S777" t="n">
        <v>0</v>
      </c>
      <c r="T777" t="n">
        <v>0</v>
      </c>
      <c r="U777" s="2" t="inlineStr"/>
    </row>
    <row r="778" ht="15" customHeight="1">
      <c r="A778" t="inlineStr">
        <is>
          <t>A 23628-2026</t>
        </is>
      </c>
      <c r="B778" t="inlineStr">
        <is>
          <t>avverkningsanmälan</t>
        </is>
      </c>
      <c r="C778" t="inlineStr">
        <is>
          <t>Föryngringsavverkning</t>
        </is>
      </c>
      <c r="D778" s="1" t="n">
        <v>46163</v>
      </c>
      <c r="E778" s="1" t="n">
        <v>46220</v>
      </c>
      <c r="F778" t="inlineStr">
        <is>
          <t>VÄSTERNORRLANDS LÄN</t>
        </is>
      </c>
      <c r="G778" t="inlineStr">
        <is>
          <t>KRAMFORS</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4189-2024</t>
        </is>
      </c>
      <c r="B779" t="inlineStr">
        <is>
          <t>avverkningsanmälan</t>
        </is>
      </c>
      <c r="C779" t="inlineStr">
        <is>
          <t>Föryngringsavverkning</t>
        </is>
      </c>
      <c r="D779" s="1" t="n">
        <v>45324</v>
      </c>
      <c r="E779" s="1" t="n">
        <v>46220</v>
      </c>
      <c r="F779" t="inlineStr">
        <is>
          <t>VÄSTERNORRLANDS LÄN</t>
        </is>
      </c>
      <c r="G779" t="inlineStr">
        <is>
          <t>KRAMFORS</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22496-2024</t>
        </is>
      </c>
      <c r="B780" t="inlineStr">
        <is>
          <t>avverkningsanmälan</t>
        </is>
      </c>
      <c r="C780" t="inlineStr">
        <is>
          <t>Föryngringsavverkning</t>
        </is>
      </c>
      <c r="D780" s="1" t="n">
        <v>45447</v>
      </c>
      <c r="E780" s="1" t="n">
        <v>46220</v>
      </c>
      <c r="F780" t="inlineStr">
        <is>
          <t>VÄSTERNORRLANDS LÄN</t>
        </is>
      </c>
      <c r="G780" t="inlineStr">
        <is>
          <t>KRAMFORS</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54972-2023</t>
        </is>
      </c>
      <c r="B781" t="inlineStr">
        <is>
          <t>avverkningsanmälan</t>
        </is>
      </c>
      <c r="C781" t="inlineStr">
        <is>
          <t>Föryngringsavverkning</t>
        </is>
      </c>
      <c r="D781" s="1" t="n">
        <v>45236</v>
      </c>
      <c r="E781" s="1" t="n">
        <v>46220</v>
      </c>
      <c r="F781" t="inlineStr">
        <is>
          <t>VÄSTERNORRLANDS LÄN</t>
        </is>
      </c>
      <c r="G781" t="inlineStr">
        <is>
          <t>KRAMFORS</t>
        </is>
      </c>
      <c r="I781" t="n">
        <v>5.5</v>
      </c>
      <c r="J781" t="n">
        <v>0</v>
      </c>
      <c r="K781" t="n">
        <v>0</v>
      </c>
      <c r="L781" t="n">
        <v>0</v>
      </c>
      <c r="M781" t="n">
        <v>0</v>
      </c>
      <c r="N781" t="n">
        <v>0</v>
      </c>
      <c r="O781" t="n">
        <v>0</v>
      </c>
      <c r="P781" t="n">
        <v>0</v>
      </c>
      <c r="Q781" t="n">
        <v>0</v>
      </c>
      <c r="R781" t="n">
        <v>0</v>
      </c>
      <c r="S781" t="n">
        <v>0</v>
      </c>
      <c r="T781" t="n">
        <v>0</v>
      </c>
      <c r="U781" s="2" t="inlineStr"/>
    </row>
    <row r="782" ht="15" customHeight="1">
      <c r="A782" t="inlineStr">
        <is>
          <t>A 70795-2021</t>
        </is>
      </c>
      <c r="B782" t="inlineStr">
        <is>
          <t>avverkningsanmälan</t>
        </is>
      </c>
      <c r="C782" t="inlineStr">
        <is>
          <t>Föryngringsavverkning</t>
        </is>
      </c>
      <c r="D782" s="1" t="n">
        <v>44537</v>
      </c>
      <c r="E782" s="1" t="n">
        <v>46220</v>
      </c>
      <c r="F782" t="inlineStr">
        <is>
          <t>VÄSTERNORRLANDS LÄN</t>
        </is>
      </c>
      <c r="G782" t="inlineStr">
        <is>
          <t>KRAMFORS</t>
        </is>
      </c>
      <c r="I782" t="n">
        <v>5.1</v>
      </c>
      <c r="J782" t="n">
        <v>0</v>
      </c>
      <c r="K782" t="n">
        <v>0</v>
      </c>
      <c r="L782" t="n">
        <v>0</v>
      </c>
      <c r="M782" t="n">
        <v>0</v>
      </c>
      <c r="N782" t="n">
        <v>0</v>
      </c>
      <c r="O782" t="n">
        <v>0</v>
      </c>
      <c r="P782" t="n">
        <v>0</v>
      </c>
      <c r="Q782" t="n">
        <v>0</v>
      </c>
      <c r="R782" t="n">
        <v>0</v>
      </c>
      <c r="S782" t="n">
        <v>0</v>
      </c>
      <c r="T782" t="n">
        <v>0</v>
      </c>
      <c r="U782" s="2" t="inlineStr"/>
    </row>
    <row r="783" ht="15" customHeight="1">
      <c r="A783" t="inlineStr">
        <is>
          <t>A 11021-2025</t>
        </is>
      </c>
      <c r="B783" t="inlineStr">
        <is>
          <t>avverkningsanmälan</t>
        </is>
      </c>
      <c r="C783" t="inlineStr">
        <is>
          <t>Föryngringsavverkning</t>
        </is>
      </c>
      <c r="D783" s="1" t="n">
        <v>45723</v>
      </c>
      <c r="E783" s="1" t="n">
        <v>46220</v>
      </c>
      <c r="F783" t="inlineStr">
        <is>
          <t>VÄSTERNORRLANDS LÄN</t>
        </is>
      </c>
      <c r="G783" t="inlineStr">
        <is>
          <t>KRAMFORS</t>
        </is>
      </c>
      <c r="I783" t="n">
        <v>7.7</v>
      </c>
      <c r="J783" t="n">
        <v>0</v>
      </c>
      <c r="K783" t="n">
        <v>0</v>
      </c>
      <c r="L783" t="n">
        <v>0</v>
      </c>
      <c r="M783" t="n">
        <v>0</v>
      </c>
      <c r="N783" t="n">
        <v>0</v>
      </c>
      <c r="O783" t="n">
        <v>0</v>
      </c>
      <c r="P783" t="n">
        <v>0</v>
      </c>
      <c r="Q783" t="n">
        <v>0</v>
      </c>
      <c r="R783" t="n">
        <v>0</v>
      </c>
      <c r="S783" t="n">
        <v>0</v>
      </c>
      <c r="T783" t="n">
        <v>0</v>
      </c>
      <c r="U783" s="2" t="inlineStr"/>
    </row>
    <row r="784" ht="15" customHeight="1">
      <c r="A784" t="inlineStr">
        <is>
          <t>A 4551-2026</t>
        </is>
      </c>
      <c r="B784" t="inlineStr">
        <is>
          <t>avverkningsanmälan</t>
        </is>
      </c>
      <c r="C784" t="inlineStr">
        <is>
          <t>Föryngringsavverkning</t>
        </is>
      </c>
      <c r="D784" s="1" t="n">
        <v>46047</v>
      </c>
      <c r="E784" s="1" t="n">
        <v>46220</v>
      </c>
      <c r="F784" t="inlineStr">
        <is>
          <t>VÄSTERNORRLANDS LÄN</t>
        </is>
      </c>
      <c r="G784" t="inlineStr">
        <is>
          <t>KRAMFORS</t>
        </is>
      </c>
      <c r="I784" t="n">
        <v>2.3</v>
      </c>
      <c r="J784" t="n">
        <v>0</v>
      </c>
      <c r="K784" t="n">
        <v>0</v>
      </c>
      <c r="L784" t="n">
        <v>0</v>
      </c>
      <c r="M784" t="n">
        <v>0</v>
      </c>
      <c r="N784" t="n">
        <v>0</v>
      </c>
      <c r="O784" t="n">
        <v>0</v>
      </c>
      <c r="P784" t="n">
        <v>0</v>
      </c>
      <c r="Q784" t="n">
        <v>0</v>
      </c>
      <c r="R784" t="n">
        <v>0</v>
      </c>
      <c r="S784" t="n">
        <v>0</v>
      </c>
      <c r="T784" t="n">
        <v>0</v>
      </c>
      <c r="U784" s="2" t="inlineStr"/>
    </row>
    <row r="785" ht="15" customHeight="1">
      <c r="A785" t="inlineStr">
        <is>
          <t>A 9009-2025</t>
        </is>
      </c>
      <c r="B785" t="inlineStr">
        <is>
          <t>avverkningsanmälan</t>
        </is>
      </c>
      <c r="C785" t="inlineStr">
        <is>
          <t>Föryngringsavverkning</t>
        </is>
      </c>
      <c r="D785" s="1" t="n">
        <v>45713</v>
      </c>
      <c r="E785" s="1" t="n">
        <v>46220</v>
      </c>
      <c r="F785" t="inlineStr">
        <is>
          <t>VÄSTERNORRLANDS LÄN</t>
        </is>
      </c>
      <c r="G785" t="inlineStr">
        <is>
          <t>KRAMFORS</t>
        </is>
      </c>
      <c r="I785" t="n">
        <v>2.5</v>
      </c>
      <c r="J785" t="n">
        <v>0</v>
      </c>
      <c r="K785" t="n">
        <v>0</v>
      </c>
      <c r="L785" t="n">
        <v>0</v>
      </c>
      <c r="M785" t="n">
        <v>0</v>
      </c>
      <c r="N785" t="n">
        <v>0</v>
      </c>
      <c r="O785" t="n">
        <v>0</v>
      </c>
      <c r="P785" t="n">
        <v>0</v>
      </c>
      <c r="Q785" t="n">
        <v>0</v>
      </c>
      <c r="R785" t="n">
        <v>0</v>
      </c>
      <c r="S785" t="n">
        <v>0</v>
      </c>
      <c r="T785" t="n">
        <v>0</v>
      </c>
      <c r="U785" s="2" t="inlineStr"/>
    </row>
    <row r="786" ht="15" customHeight="1">
      <c r="A786" t="inlineStr">
        <is>
          <t>A 23486-2026</t>
        </is>
      </c>
      <c r="B786" t="inlineStr">
        <is>
          <t>avverkningsanmälan</t>
        </is>
      </c>
      <c r="C786" t="inlineStr">
        <is>
          <t>Föryngringsavverkning</t>
        </is>
      </c>
      <c r="D786" s="1" t="n">
        <v>46163</v>
      </c>
      <c r="E786" s="1" t="n">
        <v>46220</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26939-2026</t>
        </is>
      </c>
      <c r="B787" t="inlineStr">
        <is>
          <t>avverkningsanmälan</t>
        </is>
      </c>
      <c r="C787" t="inlineStr">
        <is>
          <t>Föryngringsavverkning</t>
        </is>
      </c>
      <c r="D787" s="1" t="n">
        <v>46185</v>
      </c>
      <c r="E787" s="1" t="n">
        <v>46220</v>
      </c>
      <c r="F787" t="inlineStr">
        <is>
          <t>VÄSTERNORRLANDS LÄN</t>
        </is>
      </c>
      <c r="G787" t="inlineStr">
        <is>
          <t>KRAMFORS</t>
        </is>
      </c>
      <c r="I787" t="n">
        <v>2</v>
      </c>
      <c r="J787" t="n">
        <v>0</v>
      </c>
      <c r="K787" t="n">
        <v>0</v>
      </c>
      <c r="L787" t="n">
        <v>0</v>
      </c>
      <c r="M787" t="n">
        <v>0</v>
      </c>
      <c r="N787" t="n">
        <v>0</v>
      </c>
      <c r="O787" t="n">
        <v>0</v>
      </c>
      <c r="P787" t="n">
        <v>0</v>
      </c>
      <c r="Q787" t="n">
        <v>0</v>
      </c>
      <c r="R787" t="n">
        <v>0</v>
      </c>
      <c r="S787" t="n">
        <v>0</v>
      </c>
      <c r="T787" t="n">
        <v>0</v>
      </c>
      <c r="U787" s="2" t="inlineStr"/>
    </row>
    <row r="788" ht="15" customHeight="1">
      <c r="A788" t="inlineStr">
        <is>
          <t>A 56325-2023</t>
        </is>
      </c>
      <c r="B788" t="inlineStr">
        <is>
          <t>avverkningsanmälan</t>
        </is>
      </c>
      <c r="C788" t="inlineStr">
        <is>
          <t>Föryngringsavverkning</t>
        </is>
      </c>
      <c r="D788" s="1" t="n">
        <v>45236</v>
      </c>
      <c r="E788" s="1" t="n">
        <v>46220</v>
      </c>
      <c r="F788" t="inlineStr">
        <is>
          <t>VÄSTERNORRLANDS LÄN</t>
        </is>
      </c>
      <c r="G788" t="inlineStr">
        <is>
          <t>KRAMFORS</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38447-2023</t>
        </is>
      </c>
      <c r="B789" t="inlineStr">
        <is>
          <t>avverkningsanmälan</t>
        </is>
      </c>
      <c r="C789" t="inlineStr">
        <is>
          <t>Föryngringsavverkning</t>
        </is>
      </c>
      <c r="D789" s="1" t="n">
        <v>45162</v>
      </c>
      <c r="E789" s="1" t="n">
        <v>46220</v>
      </c>
      <c r="F789" t="inlineStr">
        <is>
          <t>VÄSTERNORRLANDS LÄN</t>
        </is>
      </c>
      <c r="G789" t="inlineStr">
        <is>
          <t>KRAMFORS</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21609-2023</t>
        </is>
      </c>
      <c r="B790" t="inlineStr">
        <is>
          <t>avverkningsanmälan</t>
        </is>
      </c>
      <c r="C790" t="inlineStr">
        <is>
          <t>Föryngringsavverkning</t>
        </is>
      </c>
      <c r="D790" s="1" t="n">
        <v>45062</v>
      </c>
      <c r="E790" s="1" t="n">
        <v>46220</v>
      </c>
      <c r="F790" t="inlineStr">
        <is>
          <t>VÄSTERNORRLANDS LÄN</t>
        </is>
      </c>
      <c r="G790" t="inlineStr">
        <is>
          <t>KRAMFORS</t>
        </is>
      </c>
      <c r="I790" t="n">
        <v>3.8</v>
      </c>
      <c r="J790" t="n">
        <v>0</v>
      </c>
      <c r="K790" t="n">
        <v>0</v>
      </c>
      <c r="L790" t="n">
        <v>0</v>
      </c>
      <c r="M790" t="n">
        <v>0</v>
      </c>
      <c r="N790" t="n">
        <v>0</v>
      </c>
      <c r="O790" t="n">
        <v>0</v>
      </c>
      <c r="P790" t="n">
        <v>0</v>
      </c>
      <c r="Q790" t="n">
        <v>0</v>
      </c>
      <c r="R790" t="n">
        <v>0</v>
      </c>
      <c r="S790" t="n">
        <v>0</v>
      </c>
      <c r="T790" t="n">
        <v>0</v>
      </c>
      <c r="U790" s="2" t="inlineStr"/>
    </row>
    <row r="791" ht="15" customHeight="1">
      <c r="A791" t="inlineStr">
        <is>
          <t>A 29255-2022</t>
        </is>
      </c>
      <c r="B791" t="inlineStr">
        <is>
          <t>avverkningsanmälan</t>
        </is>
      </c>
      <c r="C791" t="inlineStr">
        <is>
          <t>Föryngringsavverkning</t>
        </is>
      </c>
      <c r="D791" s="1" t="n">
        <v>44750</v>
      </c>
      <c r="E791" s="1" t="n">
        <v>46220</v>
      </c>
      <c r="F791" t="inlineStr">
        <is>
          <t>VÄSTERNORRLANDS LÄN</t>
        </is>
      </c>
      <c r="G791" t="inlineStr">
        <is>
          <t>KRAMFORS</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56110-2023</t>
        </is>
      </c>
      <c r="B792" t="inlineStr">
        <is>
          <t>avverkningsanmälan</t>
        </is>
      </c>
      <c r="C792" t="inlineStr">
        <is>
          <t>Föryngringsavverkning</t>
        </is>
      </c>
      <c r="D792" s="1" t="n">
        <v>45240</v>
      </c>
      <c r="E792" s="1" t="n">
        <v>46220</v>
      </c>
      <c r="F792" t="inlineStr">
        <is>
          <t>VÄSTERNORRLANDS LÄN</t>
        </is>
      </c>
      <c r="G792" t="inlineStr">
        <is>
          <t>KRAMFORS</t>
        </is>
      </c>
      <c r="I792" t="n">
        <v>9.9</v>
      </c>
      <c r="J792" t="n">
        <v>0</v>
      </c>
      <c r="K792" t="n">
        <v>0</v>
      </c>
      <c r="L792" t="n">
        <v>0</v>
      </c>
      <c r="M792" t="n">
        <v>0</v>
      </c>
      <c r="N792" t="n">
        <v>0</v>
      </c>
      <c r="O792" t="n">
        <v>0</v>
      </c>
      <c r="P792" t="n">
        <v>0</v>
      </c>
      <c r="Q792" t="n">
        <v>0</v>
      </c>
      <c r="R792" t="n">
        <v>0</v>
      </c>
      <c r="S792" t="n">
        <v>0</v>
      </c>
      <c r="T792" t="n">
        <v>0</v>
      </c>
      <c r="U792" s="2" t="inlineStr"/>
    </row>
    <row r="793" ht="15" customHeight="1">
      <c r="A793" t="inlineStr">
        <is>
          <t>A 23655-2026</t>
        </is>
      </c>
      <c r="B793" t="inlineStr">
        <is>
          <t>avverkningsanmälan</t>
        </is>
      </c>
      <c r="C793" t="inlineStr">
        <is>
          <t>Föryngringsavverkning</t>
        </is>
      </c>
      <c r="D793" s="1" t="n">
        <v>46164</v>
      </c>
      <c r="E793" s="1" t="n">
        <v>46220</v>
      </c>
      <c r="F793" t="inlineStr">
        <is>
          <t>VÄSTERNORRLANDS LÄN</t>
        </is>
      </c>
      <c r="G793" t="inlineStr">
        <is>
          <t>KRAMFORS</t>
        </is>
      </c>
      <c r="I793" t="n">
        <v>4.8</v>
      </c>
      <c r="J793" t="n">
        <v>0</v>
      </c>
      <c r="K793" t="n">
        <v>0</v>
      </c>
      <c r="L793" t="n">
        <v>0</v>
      </c>
      <c r="M793" t="n">
        <v>0</v>
      </c>
      <c r="N793" t="n">
        <v>0</v>
      </c>
      <c r="O793" t="n">
        <v>0</v>
      </c>
      <c r="P793" t="n">
        <v>0</v>
      </c>
      <c r="Q793" t="n">
        <v>0</v>
      </c>
      <c r="R793" t="n">
        <v>0</v>
      </c>
      <c r="S793" t="n">
        <v>0</v>
      </c>
      <c r="T793" t="n">
        <v>0</v>
      </c>
      <c r="U793" s="2" t="inlineStr"/>
    </row>
    <row r="794" ht="15" customHeight="1">
      <c r="A794" t="inlineStr">
        <is>
          <t>A 5145-2023</t>
        </is>
      </c>
      <c r="B794" t="inlineStr">
        <is>
          <t>avverkningsanmälan</t>
        </is>
      </c>
      <c r="C794" t="inlineStr">
        <is>
          <t>Föryngringsavverkning</t>
        </is>
      </c>
      <c r="D794" s="1" t="n">
        <v>44958</v>
      </c>
      <c r="E794" s="1" t="n">
        <v>46220</v>
      </c>
      <c r="F794" t="inlineStr">
        <is>
          <t>VÄSTERNORRLANDS LÄN</t>
        </is>
      </c>
      <c r="G794" t="inlineStr">
        <is>
          <t>KRAMFORS</t>
        </is>
      </c>
      <c r="I794" t="n">
        <v>2.1</v>
      </c>
      <c r="J794" t="n">
        <v>0</v>
      </c>
      <c r="K794" t="n">
        <v>0</v>
      </c>
      <c r="L794" t="n">
        <v>0</v>
      </c>
      <c r="M794" t="n">
        <v>0</v>
      </c>
      <c r="N794" t="n">
        <v>0</v>
      </c>
      <c r="O794" t="n">
        <v>0</v>
      </c>
      <c r="P794" t="n">
        <v>0</v>
      </c>
      <c r="Q794" t="n">
        <v>0</v>
      </c>
      <c r="R794" t="n">
        <v>0</v>
      </c>
      <c r="S794" t="n">
        <v>0</v>
      </c>
      <c r="T794" t="n">
        <v>0</v>
      </c>
      <c r="U794" s="2" t="inlineStr"/>
    </row>
    <row r="795" ht="15" customHeight="1">
      <c r="A795" t="inlineStr">
        <is>
          <t>A 3144-2025</t>
        </is>
      </c>
      <c r="B795" t="inlineStr">
        <is>
          <t>avverkningsanmälan</t>
        </is>
      </c>
      <c r="C795" t="inlineStr">
        <is>
          <t>Föryngringsavverkning</t>
        </is>
      </c>
      <c r="D795" s="1" t="n">
        <v>45678</v>
      </c>
      <c r="E795" s="1" t="n">
        <v>46220</v>
      </c>
      <c r="F795" t="inlineStr">
        <is>
          <t>VÄSTERNORRLANDS LÄN</t>
        </is>
      </c>
      <c r="G795" t="inlineStr">
        <is>
          <t>KRAMFORS</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23994-2026</t>
        </is>
      </c>
      <c r="B796" t="inlineStr">
        <is>
          <t>avverkningsanmälan</t>
        </is>
      </c>
      <c r="C796" t="inlineStr">
        <is>
          <t>Föryngringsavverkning</t>
        </is>
      </c>
      <c r="D796" s="1" t="n">
        <v>46167</v>
      </c>
      <c r="E796" s="1" t="n">
        <v>46220</v>
      </c>
      <c r="F796" t="inlineStr">
        <is>
          <t>VÄSTERNORRLANDS LÄN</t>
        </is>
      </c>
      <c r="G796" t="inlineStr">
        <is>
          <t>KRAMFORS</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44685-2023</t>
        </is>
      </c>
      <c r="B797" t="inlineStr">
        <is>
          <t>avverkningsanmälan</t>
        </is>
      </c>
      <c r="C797" t="inlineStr">
        <is>
          <t>Avverkning för annat ändamål</t>
        </is>
      </c>
      <c r="D797" s="1" t="n">
        <v>45189</v>
      </c>
      <c r="E797" s="1" t="n">
        <v>46220</v>
      </c>
      <c r="F797" t="inlineStr">
        <is>
          <t>VÄSTERNORRLANDS LÄN</t>
        </is>
      </c>
      <c r="G797" t="inlineStr">
        <is>
          <t>KRAMFORS</t>
        </is>
      </c>
      <c r="I797" t="n">
        <v>0.2</v>
      </c>
      <c r="J797" t="n">
        <v>0</v>
      </c>
      <c r="K797" t="n">
        <v>0</v>
      </c>
      <c r="L797" t="n">
        <v>0</v>
      </c>
      <c r="M797" t="n">
        <v>0</v>
      </c>
      <c r="N797" t="n">
        <v>0</v>
      </c>
      <c r="O797" t="n">
        <v>0</v>
      </c>
      <c r="P797" t="n">
        <v>0</v>
      </c>
      <c r="Q797" t="n">
        <v>0</v>
      </c>
      <c r="R797" t="n">
        <v>0</v>
      </c>
      <c r="S797" t="n">
        <v>0</v>
      </c>
      <c r="T797" t="n">
        <v>0</v>
      </c>
      <c r="U797" s="2" t="inlineStr"/>
    </row>
    <row r="798" ht="15" customHeight="1">
      <c r="A798" t="inlineStr">
        <is>
          <t>A 30366-2026</t>
        </is>
      </c>
      <c r="B798" t="inlineStr">
        <is>
          <t>avverkningsanmälan</t>
        </is>
      </c>
      <c r="C798" t="inlineStr">
        <is>
          <t>Föryngringsavverkning</t>
        </is>
      </c>
      <c r="D798" s="1" t="n">
        <v>46209</v>
      </c>
      <c r="E798" s="1" t="n">
        <v>46220</v>
      </c>
      <c r="F798" t="inlineStr">
        <is>
          <t>VÄSTERNORRLANDS LÄN</t>
        </is>
      </c>
      <c r="G798" t="inlineStr">
        <is>
          <t>KRAMFORS</t>
        </is>
      </c>
      <c r="I798" t="n">
        <v>4.1</v>
      </c>
      <c r="J798" t="n">
        <v>0</v>
      </c>
      <c r="K798" t="n">
        <v>0</v>
      </c>
      <c r="L798" t="n">
        <v>0</v>
      </c>
      <c r="M798" t="n">
        <v>0</v>
      </c>
      <c r="N798" t="n">
        <v>0</v>
      </c>
      <c r="O798" t="n">
        <v>0</v>
      </c>
      <c r="P798" t="n">
        <v>0</v>
      </c>
      <c r="Q798" t="n">
        <v>0</v>
      </c>
      <c r="R798" t="n">
        <v>0</v>
      </c>
      <c r="S798" t="n">
        <v>0</v>
      </c>
      <c r="T798" t="n">
        <v>0</v>
      </c>
      <c r="U798" s="2" t="inlineStr"/>
    </row>
    <row r="799" ht="15" customHeight="1">
      <c r="A799" t="inlineStr">
        <is>
          <t>A 23814-2026</t>
        </is>
      </c>
      <c r="B799" t="inlineStr">
        <is>
          <t>avverkningsanmälan</t>
        </is>
      </c>
      <c r="C799" t="inlineStr">
        <is>
          <t>Föryngringsavverkning</t>
        </is>
      </c>
      <c r="D799" s="1" t="n">
        <v>46164</v>
      </c>
      <c r="E799" s="1" t="n">
        <v>46220</v>
      </c>
      <c r="F799" t="inlineStr">
        <is>
          <t>VÄSTERNORRLANDS LÄN</t>
        </is>
      </c>
      <c r="G799" t="inlineStr">
        <is>
          <t>KRAMFORS</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23652-2026</t>
        </is>
      </c>
      <c r="B800" t="inlineStr">
        <is>
          <t>avverkningsanmälan</t>
        </is>
      </c>
      <c r="C800" t="inlineStr">
        <is>
          <t>Föryngringsavverkning</t>
        </is>
      </c>
      <c r="D800" s="1" t="n">
        <v>46164</v>
      </c>
      <c r="E800" s="1" t="n">
        <v>46220</v>
      </c>
      <c r="F800" t="inlineStr">
        <is>
          <t>VÄSTERNORRLANDS LÄN</t>
        </is>
      </c>
      <c r="G800" t="inlineStr">
        <is>
          <t>KRAMFORS</t>
        </is>
      </c>
      <c r="I800" t="n">
        <v>3.5</v>
      </c>
      <c r="J800" t="n">
        <v>0</v>
      </c>
      <c r="K800" t="n">
        <v>0</v>
      </c>
      <c r="L800" t="n">
        <v>0</v>
      </c>
      <c r="M800" t="n">
        <v>0</v>
      </c>
      <c r="N800" t="n">
        <v>0</v>
      </c>
      <c r="O800" t="n">
        <v>0</v>
      </c>
      <c r="P800" t="n">
        <v>0</v>
      </c>
      <c r="Q800" t="n">
        <v>0</v>
      </c>
      <c r="R800" t="n">
        <v>0</v>
      </c>
      <c r="S800" t="n">
        <v>0</v>
      </c>
      <c r="T800" t="n">
        <v>0</v>
      </c>
      <c r="U800" s="2" t="inlineStr"/>
    </row>
    <row r="801" ht="15" customHeight="1">
      <c r="A801" t="inlineStr">
        <is>
          <t>A 14149-2024</t>
        </is>
      </c>
      <c r="B801" t="inlineStr">
        <is>
          <t>avverkningsanmälan</t>
        </is>
      </c>
      <c r="C801" t="inlineStr">
        <is>
          <t>Föryngringsavverkning</t>
        </is>
      </c>
      <c r="D801" s="1" t="n">
        <v>45392</v>
      </c>
      <c r="E801" s="1" t="n">
        <v>46220</v>
      </c>
      <c r="F801" t="inlineStr">
        <is>
          <t>VÄSTERNORRLANDS LÄN</t>
        </is>
      </c>
      <c r="G801" t="inlineStr">
        <is>
          <t>KRAMFORS</t>
        </is>
      </c>
      <c r="I801" t="n">
        <v>7.6</v>
      </c>
      <c r="J801" t="n">
        <v>0</v>
      </c>
      <c r="K801" t="n">
        <v>0</v>
      </c>
      <c r="L801" t="n">
        <v>0</v>
      </c>
      <c r="M801" t="n">
        <v>0</v>
      </c>
      <c r="N801" t="n">
        <v>0</v>
      </c>
      <c r="O801" t="n">
        <v>0</v>
      </c>
      <c r="P801" t="n">
        <v>0</v>
      </c>
      <c r="Q801" t="n">
        <v>0</v>
      </c>
      <c r="R801" t="n">
        <v>0</v>
      </c>
      <c r="S801" t="n">
        <v>0</v>
      </c>
      <c r="T801" t="n">
        <v>0</v>
      </c>
      <c r="U801" s="2" t="inlineStr"/>
    </row>
    <row r="802" ht="15" customHeight="1">
      <c r="A802" t="inlineStr">
        <is>
          <t>A 55231-2023</t>
        </is>
      </c>
      <c r="B802" t="inlineStr">
        <is>
          <t>avverkningsanmälan</t>
        </is>
      </c>
      <c r="C802" t="inlineStr">
        <is>
          <t>Föryngringsavverkning</t>
        </is>
      </c>
      <c r="D802" s="1" t="n">
        <v>45237</v>
      </c>
      <c r="E802" s="1" t="n">
        <v>46220</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23668-2026</t>
        </is>
      </c>
      <c r="B803" t="inlineStr">
        <is>
          <t>avverkningsanmälan</t>
        </is>
      </c>
      <c r="C803" t="inlineStr">
        <is>
          <t>Föryngringsavverkning</t>
        </is>
      </c>
      <c r="D803" s="1" t="n">
        <v>46164</v>
      </c>
      <c r="E803" s="1" t="n">
        <v>46220</v>
      </c>
      <c r="F803" t="inlineStr">
        <is>
          <t>VÄSTERNORRLANDS LÄN</t>
        </is>
      </c>
      <c r="G803" t="inlineStr">
        <is>
          <t>KRAMFORS</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60817-2022</t>
        </is>
      </c>
      <c r="B804" t="inlineStr">
        <is>
          <t>avverkningsanmälan</t>
        </is>
      </c>
      <c r="C804" t="inlineStr">
        <is>
          <t>Föryngringsavverkning</t>
        </is>
      </c>
      <c r="D804" s="1" t="n">
        <v>44907</v>
      </c>
      <c r="E804" s="1" t="n">
        <v>46220</v>
      </c>
      <c r="F804" t="inlineStr">
        <is>
          <t>VÄSTERNORRLANDS LÄN</t>
        </is>
      </c>
      <c r="G804" t="inlineStr">
        <is>
          <t>KRAMFORS</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46822-2023</t>
        </is>
      </c>
      <c r="B805" t="inlineStr">
        <is>
          <t>avverkningsanmälan</t>
        </is>
      </c>
      <c r="C805" t="inlineStr">
        <is>
          <t>Föryngringsavverkning</t>
        </is>
      </c>
      <c r="D805" s="1" t="n">
        <v>45198</v>
      </c>
      <c r="E805" s="1" t="n">
        <v>46220</v>
      </c>
      <c r="F805" t="inlineStr">
        <is>
          <t>VÄSTERNORRLANDS LÄN</t>
        </is>
      </c>
      <c r="G805" t="inlineStr">
        <is>
          <t>KRAMFORS</t>
        </is>
      </c>
      <c r="H805" t="inlineStr">
        <is>
          <t>SCA</t>
        </is>
      </c>
      <c r="I805" t="n">
        <v>21.2</v>
      </c>
      <c r="J805" t="n">
        <v>0</v>
      </c>
      <c r="K805" t="n">
        <v>0</v>
      </c>
      <c r="L805" t="n">
        <v>0</v>
      </c>
      <c r="M805" t="n">
        <v>0</v>
      </c>
      <c r="N805" t="n">
        <v>0</v>
      </c>
      <c r="O805" t="n">
        <v>0</v>
      </c>
      <c r="P805" t="n">
        <v>0</v>
      </c>
      <c r="Q805" t="n">
        <v>0</v>
      </c>
      <c r="R805" t="n">
        <v>0</v>
      </c>
      <c r="S805" t="n">
        <v>0</v>
      </c>
      <c r="T805" t="n">
        <v>0</v>
      </c>
      <c r="U805" s="2" t="inlineStr"/>
    </row>
    <row r="806" ht="15" customHeight="1">
      <c r="A806" t="inlineStr">
        <is>
          <t>A 30344-2026</t>
        </is>
      </c>
      <c r="B806" t="inlineStr">
        <is>
          <t>avverkningsanmälan</t>
        </is>
      </c>
      <c r="C806" t="inlineStr">
        <is>
          <t>Föryngringsavverkning</t>
        </is>
      </c>
      <c r="D806" s="1" t="n">
        <v>46209</v>
      </c>
      <c r="E806" s="1" t="n">
        <v>46220</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4275-2024</t>
        </is>
      </c>
      <c r="B807" t="inlineStr">
        <is>
          <t>avverkningsanmälan</t>
        </is>
      </c>
      <c r="C807" t="inlineStr">
        <is>
          <t>Föryngringsavverkning</t>
        </is>
      </c>
      <c r="D807" s="1" t="n">
        <v>45324</v>
      </c>
      <c r="E807" s="1" t="n">
        <v>46220</v>
      </c>
      <c r="F807" t="inlineStr">
        <is>
          <t>VÄSTERNORRLANDS LÄN</t>
        </is>
      </c>
      <c r="G807" t="inlineStr">
        <is>
          <t>KRAMFORS</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30368-2026</t>
        </is>
      </c>
      <c r="B808" t="inlineStr">
        <is>
          <t>avverkningsanmälan</t>
        </is>
      </c>
      <c r="C808" t="inlineStr">
        <is>
          <t>Föryngringsavverkning</t>
        </is>
      </c>
      <c r="D808" s="1" t="n">
        <v>46209</v>
      </c>
      <c r="E808" s="1" t="n">
        <v>46220</v>
      </c>
      <c r="F808" t="inlineStr">
        <is>
          <t>VÄSTERNORRLANDS LÄN</t>
        </is>
      </c>
      <c r="G808" t="inlineStr">
        <is>
          <t>KRAMFORS</t>
        </is>
      </c>
      <c r="I808" t="n">
        <v>2.4</v>
      </c>
      <c r="J808" t="n">
        <v>0</v>
      </c>
      <c r="K808" t="n">
        <v>0</v>
      </c>
      <c r="L808" t="n">
        <v>0</v>
      </c>
      <c r="M808" t="n">
        <v>0</v>
      </c>
      <c r="N808" t="n">
        <v>0</v>
      </c>
      <c r="O808" t="n">
        <v>0</v>
      </c>
      <c r="P808" t="n">
        <v>0</v>
      </c>
      <c r="Q808" t="n">
        <v>0</v>
      </c>
      <c r="R808" t="n">
        <v>0</v>
      </c>
      <c r="S808" t="n">
        <v>0</v>
      </c>
      <c r="T808" t="n">
        <v>0</v>
      </c>
      <c r="U808" s="2" t="inlineStr"/>
    </row>
    <row r="809" ht="15" customHeight="1">
      <c r="A809" t="inlineStr">
        <is>
          <t>A 49029-2023</t>
        </is>
      </c>
      <c r="B809" t="inlineStr">
        <is>
          <t>avverkningsanmälan</t>
        </is>
      </c>
      <c r="C809" t="inlineStr">
        <is>
          <t>Föryngringsavverkning</t>
        </is>
      </c>
      <c r="D809" s="1" t="n">
        <v>45209</v>
      </c>
      <c r="E809" s="1" t="n">
        <v>46220</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38446-2023</t>
        </is>
      </c>
      <c r="B810" t="inlineStr">
        <is>
          <t>avverkningsanmälan</t>
        </is>
      </c>
      <c r="C810" t="inlineStr">
        <is>
          <t>Föryngringsavverkning</t>
        </is>
      </c>
      <c r="D810" s="1" t="n">
        <v>45162</v>
      </c>
      <c r="E810" s="1" t="n">
        <v>46220</v>
      </c>
      <c r="F810" t="inlineStr">
        <is>
          <t>VÄSTERNORRLANDS LÄN</t>
        </is>
      </c>
      <c r="G810" t="inlineStr">
        <is>
          <t>KRAMFORS</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38448-2023</t>
        </is>
      </c>
      <c r="B811" t="inlineStr">
        <is>
          <t>avverkningsanmälan</t>
        </is>
      </c>
      <c r="C811" t="inlineStr">
        <is>
          <t>Föryngringsavverkning</t>
        </is>
      </c>
      <c r="D811" s="1" t="n">
        <v>45162</v>
      </c>
      <c r="E811" s="1" t="n">
        <v>46220</v>
      </c>
      <c r="F811" t="inlineStr">
        <is>
          <t>VÄSTERNORRLANDS LÄN</t>
        </is>
      </c>
      <c r="G811" t="inlineStr">
        <is>
          <t>KRAMFORS</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52120-2025</t>
        </is>
      </c>
      <c r="B812" t="inlineStr">
        <is>
          <t>avverkningsanmälan</t>
        </is>
      </c>
      <c r="C812" t="inlineStr">
        <is>
          <t>Föryngringsavverkning</t>
        </is>
      </c>
      <c r="D812" s="1" t="n">
        <v>45952</v>
      </c>
      <c r="E812" s="1" t="n">
        <v>46220</v>
      </c>
      <c r="F812" t="inlineStr">
        <is>
          <t>VÄSTERNORRLANDS LÄN</t>
        </is>
      </c>
      <c r="G812" t="inlineStr">
        <is>
          <t>KRAMFORS</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30543-2026</t>
        </is>
      </c>
      <c r="B813" t="inlineStr">
        <is>
          <t>avverkningsanmälan</t>
        </is>
      </c>
      <c r="C813" t="inlineStr">
        <is>
          <t>Föryngringsavverkning</t>
        </is>
      </c>
      <c r="D813" s="1" t="n">
        <v>46210</v>
      </c>
      <c r="E813" s="1" t="n">
        <v>46220</v>
      </c>
      <c r="F813" t="inlineStr">
        <is>
          <t>VÄSTERNORRLANDS LÄN</t>
        </is>
      </c>
      <c r="G813" t="inlineStr">
        <is>
          <t>KRAMFORS</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21053-2026</t>
        </is>
      </c>
      <c r="B814" t="inlineStr">
        <is>
          <t>avverkningsanmälan</t>
        </is>
      </c>
      <c r="C814" t="inlineStr">
        <is>
          <t>Föryngringsavverkning</t>
        </is>
      </c>
      <c r="D814" s="1" t="n">
        <v>46146</v>
      </c>
      <c r="E814" s="1" t="n">
        <v>46220</v>
      </c>
      <c r="F814" t="inlineStr">
        <is>
          <t>VÄSTERNORRLANDS LÄN</t>
        </is>
      </c>
      <c r="G814" t="inlineStr">
        <is>
          <t>KRAMFORS</t>
        </is>
      </c>
      <c r="I814" t="n">
        <v>1.1</v>
      </c>
      <c r="J814" t="n">
        <v>0</v>
      </c>
      <c r="K814" t="n">
        <v>0</v>
      </c>
      <c r="L814" t="n">
        <v>0</v>
      </c>
      <c r="M814" t="n">
        <v>0</v>
      </c>
      <c r="N814" t="n">
        <v>0</v>
      </c>
      <c r="O814" t="n">
        <v>0</v>
      </c>
      <c r="P814" t="n">
        <v>0</v>
      </c>
      <c r="Q814" t="n">
        <v>0</v>
      </c>
      <c r="R814" t="n">
        <v>0</v>
      </c>
      <c r="S814" t="n">
        <v>0</v>
      </c>
      <c r="T814" t="n">
        <v>0</v>
      </c>
      <c r="U814" s="2" t="inlineStr"/>
    </row>
    <row r="815" ht="15" customHeight="1">
      <c r="A815" t="inlineStr">
        <is>
          <t>A 33782-2024</t>
        </is>
      </c>
      <c r="B815" t="inlineStr">
        <is>
          <t>avverkningsanmälan</t>
        </is>
      </c>
      <c r="C815" t="inlineStr">
        <is>
          <t>Föryngringsavverkning</t>
        </is>
      </c>
      <c r="D815" s="1" t="n">
        <v>45520</v>
      </c>
      <c r="E815" s="1" t="n">
        <v>46220</v>
      </c>
      <c r="F815" t="inlineStr">
        <is>
          <t>VÄSTERNORRLANDS LÄN</t>
        </is>
      </c>
      <c r="G815" t="inlineStr">
        <is>
          <t>KRAMFORS</t>
        </is>
      </c>
      <c r="I815" t="n">
        <v>13.9</v>
      </c>
      <c r="J815" t="n">
        <v>0</v>
      </c>
      <c r="K815" t="n">
        <v>0</v>
      </c>
      <c r="L815" t="n">
        <v>0</v>
      </c>
      <c r="M815" t="n">
        <v>0</v>
      </c>
      <c r="N815" t="n">
        <v>0</v>
      </c>
      <c r="O815" t="n">
        <v>0</v>
      </c>
      <c r="P815" t="n">
        <v>0</v>
      </c>
      <c r="Q815" t="n">
        <v>0</v>
      </c>
      <c r="R815" t="n">
        <v>0</v>
      </c>
      <c r="S815" t="n">
        <v>0</v>
      </c>
      <c r="T815" t="n">
        <v>0</v>
      </c>
      <c r="U815" s="2" t="inlineStr"/>
    </row>
    <row r="816" ht="15" customHeight="1">
      <c r="A816" t="inlineStr">
        <is>
          <t>A 24254-2026</t>
        </is>
      </c>
      <c r="B816" t="inlineStr">
        <is>
          <t>avverkningsanmälan</t>
        </is>
      </c>
      <c r="C816" t="inlineStr">
        <is>
          <t>Föryngringsavverkning</t>
        </is>
      </c>
      <c r="D816" s="1" t="n">
        <v>46168</v>
      </c>
      <c r="E816" s="1" t="n">
        <v>46220</v>
      </c>
      <c r="F816" t="inlineStr">
        <is>
          <t>VÄSTERNORRLANDS LÄN</t>
        </is>
      </c>
      <c r="G816" t="inlineStr">
        <is>
          <t>KRAMFORS</t>
        </is>
      </c>
      <c r="I816" t="n">
        <v>1.2</v>
      </c>
      <c r="J816" t="n">
        <v>0</v>
      </c>
      <c r="K816" t="n">
        <v>0</v>
      </c>
      <c r="L816" t="n">
        <v>0</v>
      </c>
      <c r="M816" t="n">
        <v>0</v>
      </c>
      <c r="N816" t="n">
        <v>0</v>
      </c>
      <c r="O816" t="n">
        <v>0</v>
      </c>
      <c r="P816" t="n">
        <v>0</v>
      </c>
      <c r="Q816" t="n">
        <v>0</v>
      </c>
      <c r="R816" t="n">
        <v>0</v>
      </c>
      <c r="S816" t="n">
        <v>0</v>
      </c>
      <c r="T816" t="n">
        <v>0</v>
      </c>
      <c r="U816" s="2" t="inlineStr"/>
    </row>
    <row r="817" ht="15" customHeight="1">
      <c r="A817" t="inlineStr">
        <is>
          <t>A 24378-2026</t>
        </is>
      </c>
      <c r="B817" t="inlineStr">
        <is>
          <t>avverkningsanmälan</t>
        </is>
      </c>
      <c r="C817" t="inlineStr">
        <is>
          <t>Föryngringsavverkning</t>
        </is>
      </c>
      <c r="D817" s="1" t="n">
        <v>46169</v>
      </c>
      <c r="E817" s="1" t="n">
        <v>46220</v>
      </c>
      <c r="F817" t="inlineStr">
        <is>
          <t>VÄSTERNORRLANDS LÄN</t>
        </is>
      </c>
      <c r="G817" t="inlineStr">
        <is>
          <t>KRAMFORS</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40875-2023</t>
        </is>
      </c>
      <c r="B818" t="inlineStr">
        <is>
          <t>avverkningsanmälan</t>
        </is>
      </c>
      <c r="C818" t="inlineStr">
        <is>
          <t>Föryngringsavverkning</t>
        </is>
      </c>
      <c r="D818" s="1" t="n">
        <v>45173</v>
      </c>
      <c r="E818" s="1" t="n">
        <v>46220</v>
      </c>
      <c r="F818" t="inlineStr">
        <is>
          <t>VÄSTERNORRLANDS LÄN</t>
        </is>
      </c>
      <c r="G818" t="inlineStr">
        <is>
          <t>KRAMFORS</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24255-2026</t>
        </is>
      </c>
      <c r="B819" t="inlineStr">
        <is>
          <t>avverkningsanmälan</t>
        </is>
      </c>
      <c r="C819" t="inlineStr">
        <is>
          <t>Föryngringsavverkning</t>
        </is>
      </c>
      <c r="D819" s="1" t="n">
        <v>46168</v>
      </c>
      <c r="E819" s="1" t="n">
        <v>46220</v>
      </c>
      <c r="F819" t="inlineStr">
        <is>
          <t>VÄSTERNORRLANDS LÄN</t>
        </is>
      </c>
      <c r="G819" t="inlineStr">
        <is>
          <t>KRAMFORS</t>
        </is>
      </c>
      <c r="I819" t="n">
        <v>1.6</v>
      </c>
      <c r="J819" t="n">
        <v>0</v>
      </c>
      <c r="K819" t="n">
        <v>0</v>
      </c>
      <c r="L819" t="n">
        <v>0</v>
      </c>
      <c r="M819" t="n">
        <v>0</v>
      </c>
      <c r="N819" t="n">
        <v>0</v>
      </c>
      <c r="O819" t="n">
        <v>0</v>
      </c>
      <c r="P819" t="n">
        <v>0</v>
      </c>
      <c r="Q819" t="n">
        <v>0</v>
      </c>
      <c r="R819" t="n">
        <v>0</v>
      </c>
      <c r="S819" t="n">
        <v>0</v>
      </c>
      <c r="T819" t="n">
        <v>0</v>
      </c>
      <c r="U819" s="2" t="inlineStr"/>
    </row>
    <row r="820" ht="15" customHeight="1">
      <c r="A820" t="inlineStr">
        <is>
          <t>A 62818-2023</t>
        </is>
      </c>
      <c r="B820" t="inlineStr">
        <is>
          <t>avverkningsanmälan</t>
        </is>
      </c>
      <c r="C820" t="inlineStr">
        <is>
          <t>Föryngringsavverkning</t>
        </is>
      </c>
      <c r="D820" s="1" t="n">
        <v>45271</v>
      </c>
      <c r="E820" s="1" t="n">
        <v>46220</v>
      </c>
      <c r="F820" t="inlineStr">
        <is>
          <t>VÄSTERNORRLANDS LÄN</t>
        </is>
      </c>
      <c r="G820" t="inlineStr">
        <is>
          <t>KRAMFORS</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40698-2022</t>
        </is>
      </c>
      <c r="B821" t="inlineStr">
        <is>
          <t>avverkningsanmälan</t>
        </is>
      </c>
      <c r="C821" t="inlineStr">
        <is>
          <t>Föryngringsavverkning</t>
        </is>
      </c>
      <c r="D821" s="1" t="n">
        <v>44824</v>
      </c>
      <c r="E821" s="1" t="n">
        <v>46220</v>
      </c>
      <c r="F821" t="inlineStr">
        <is>
          <t>VÄSTERNORRLANDS LÄN</t>
        </is>
      </c>
      <c r="G821" t="inlineStr">
        <is>
          <t>KRAMFORS</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57696-2025</t>
        </is>
      </c>
      <c r="B822" t="inlineStr">
        <is>
          <t>avverkningsanmälan</t>
        </is>
      </c>
      <c r="C822" t="inlineStr">
        <is>
          <t>Avverkning för annat ändamål</t>
        </is>
      </c>
      <c r="D822" s="1" t="n">
        <v>45981</v>
      </c>
      <c r="E822" s="1" t="n">
        <v>46220</v>
      </c>
      <c r="F822" t="inlineStr">
        <is>
          <t>VÄSTERNORRLANDS LÄN</t>
        </is>
      </c>
      <c r="G822" t="inlineStr">
        <is>
          <t>KRAMFORS</t>
        </is>
      </c>
      <c r="I822" t="n">
        <v>2.9</v>
      </c>
      <c r="J822" t="n">
        <v>0</v>
      </c>
      <c r="K822" t="n">
        <v>0</v>
      </c>
      <c r="L822" t="n">
        <v>0</v>
      </c>
      <c r="M822" t="n">
        <v>0</v>
      </c>
      <c r="N822" t="n">
        <v>0</v>
      </c>
      <c r="O822" t="n">
        <v>0</v>
      </c>
      <c r="P822" t="n">
        <v>0</v>
      </c>
      <c r="Q822" t="n">
        <v>0</v>
      </c>
      <c r="R822" t="n">
        <v>0</v>
      </c>
      <c r="S822" t="n">
        <v>0</v>
      </c>
      <c r="T822" t="n">
        <v>0</v>
      </c>
      <c r="U822" s="2" t="inlineStr"/>
    </row>
    <row r="823" ht="15" customHeight="1">
      <c r="A823" t="inlineStr">
        <is>
          <t>A 30529-2026</t>
        </is>
      </c>
      <c r="B823" t="inlineStr">
        <is>
          <t>avverkningsanmälan</t>
        </is>
      </c>
      <c r="C823" t="inlineStr">
        <is>
          <t>Föryngringsavverkning</t>
        </is>
      </c>
      <c r="D823" s="1" t="n">
        <v>46210</v>
      </c>
      <c r="E823" s="1" t="n">
        <v>46220</v>
      </c>
      <c r="F823" t="inlineStr">
        <is>
          <t>VÄSTERNORRLANDS LÄN</t>
        </is>
      </c>
      <c r="G823" t="inlineStr">
        <is>
          <t>KRAMFORS</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30542-2026</t>
        </is>
      </c>
      <c r="B824" t="inlineStr">
        <is>
          <t>avverkningsanmälan</t>
        </is>
      </c>
      <c r="C824" t="inlineStr">
        <is>
          <t>Föryngringsavverkning</t>
        </is>
      </c>
      <c r="D824" s="1" t="n">
        <v>46210</v>
      </c>
      <c r="E824" s="1" t="n">
        <v>46220</v>
      </c>
      <c r="F824" t="inlineStr">
        <is>
          <t>VÄSTERNORRLANDS LÄN</t>
        </is>
      </c>
      <c r="G824" t="inlineStr">
        <is>
          <t>KRAMFORS</t>
        </is>
      </c>
      <c r="I824" t="n">
        <v>4.2</v>
      </c>
      <c r="J824" t="n">
        <v>0</v>
      </c>
      <c r="K824" t="n">
        <v>0</v>
      </c>
      <c r="L824" t="n">
        <v>0</v>
      </c>
      <c r="M824" t="n">
        <v>0</v>
      </c>
      <c r="N824" t="n">
        <v>0</v>
      </c>
      <c r="O824" t="n">
        <v>0</v>
      </c>
      <c r="P824" t="n">
        <v>0</v>
      </c>
      <c r="Q824" t="n">
        <v>0</v>
      </c>
      <c r="R824" t="n">
        <v>0</v>
      </c>
      <c r="S824" t="n">
        <v>0</v>
      </c>
      <c r="T824" t="n">
        <v>0</v>
      </c>
      <c r="U824" s="2" t="inlineStr"/>
    </row>
    <row r="825" ht="15" customHeight="1">
      <c r="A825" t="inlineStr">
        <is>
          <t>A 3462-2024</t>
        </is>
      </c>
      <c r="B825" t="inlineStr">
        <is>
          <t>avverkningsanmälan</t>
        </is>
      </c>
      <c r="C825" t="inlineStr">
        <is>
          <t>Avverkning för annat ändamål</t>
        </is>
      </c>
      <c r="D825" s="1" t="n">
        <v>45320</v>
      </c>
      <c r="E825" s="1" t="n">
        <v>46220</v>
      </c>
      <c r="F825" t="inlineStr">
        <is>
          <t>VÄSTERNORRLANDS LÄN</t>
        </is>
      </c>
      <c r="G825" t="inlineStr">
        <is>
          <t>KRAMFORS</t>
        </is>
      </c>
      <c r="H825" t="inlineStr">
        <is>
          <t>Kommuner</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1385-2022</t>
        </is>
      </c>
      <c r="B826" t="inlineStr">
        <is>
          <t>avverkningsanmälan</t>
        </is>
      </c>
      <c r="C826" t="inlineStr">
        <is>
          <t>Föryngringsavverkning</t>
        </is>
      </c>
      <c r="D826" s="1" t="n">
        <v>44573</v>
      </c>
      <c r="E826" s="1" t="n">
        <v>46220</v>
      </c>
      <c r="F826" t="inlineStr">
        <is>
          <t>VÄSTERNORRLANDS LÄN</t>
        </is>
      </c>
      <c r="G826" t="inlineStr">
        <is>
          <t>KRAMFORS</t>
        </is>
      </c>
      <c r="I826" t="n">
        <v>4.6</v>
      </c>
      <c r="J826" t="n">
        <v>0</v>
      </c>
      <c r="K826" t="n">
        <v>0</v>
      </c>
      <c r="L826" t="n">
        <v>0</v>
      </c>
      <c r="M826" t="n">
        <v>0</v>
      </c>
      <c r="N826" t="n">
        <v>0</v>
      </c>
      <c r="O826" t="n">
        <v>0</v>
      </c>
      <c r="P826" t="n">
        <v>0</v>
      </c>
      <c r="Q826" t="n">
        <v>0</v>
      </c>
      <c r="R826" t="n">
        <v>0</v>
      </c>
      <c r="S826" t="n">
        <v>0</v>
      </c>
      <c r="T826" t="n">
        <v>0</v>
      </c>
      <c r="U826" s="2" t="inlineStr"/>
    </row>
    <row r="827" ht="15" customHeight="1">
      <c r="A827" t="inlineStr">
        <is>
          <t>A 24544-2026</t>
        </is>
      </c>
      <c r="B827" t="inlineStr">
        <is>
          <t>avverkningsanmälan</t>
        </is>
      </c>
      <c r="C827" t="inlineStr">
        <is>
          <t>Föryngringsavverkning</t>
        </is>
      </c>
      <c r="D827" s="1" t="n">
        <v>46170</v>
      </c>
      <c r="E827" s="1" t="n">
        <v>46220</v>
      </c>
      <c r="F827" t="inlineStr">
        <is>
          <t>VÄSTERNORRLANDS LÄN</t>
        </is>
      </c>
      <c r="G827" t="inlineStr">
        <is>
          <t>KRAMFORS</t>
        </is>
      </c>
      <c r="I827" t="n">
        <v>9.199999999999999</v>
      </c>
      <c r="J827" t="n">
        <v>0</v>
      </c>
      <c r="K827" t="n">
        <v>0</v>
      </c>
      <c r="L827" t="n">
        <v>0</v>
      </c>
      <c r="M827" t="n">
        <v>0</v>
      </c>
      <c r="N827" t="n">
        <v>0</v>
      </c>
      <c r="O827" t="n">
        <v>0</v>
      </c>
      <c r="P827" t="n">
        <v>0</v>
      </c>
      <c r="Q827" t="n">
        <v>0</v>
      </c>
      <c r="R827" t="n">
        <v>0</v>
      </c>
      <c r="S827" t="n">
        <v>0</v>
      </c>
      <c r="T827" t="n">
        <v>0</v>
      </c>
      <c r="U827" s="2" t="inlineStr"/>
    </row>
    <row r="828" ht="15" customHeight="1">
      <c r="A828" t="inlineStr">
        <is>
          <t>A 1745-2022</t>
        </is>
      </c>
      <c r="B828" t="inlineStr">
        <is>
          <t>avverkningsanmälan</t>
        </is>
      </c>
      <c r="C828" t="inlineStr">
        <is>
          <t>Föryngringsavverkning</t>
        </is>
      </c>
      <c r="D828" s="1" t="n">
        <v>44574</v>
      </c>
      <c r="E828" s="1" t="n">
        <v>46220</v>
      </c>
      <c r="F828" t="inlineStr">
        <is>
          <t>VÄSTERNORRLANDS LÄN</t>
        </is>
      </c>
      <c r="G828" t="inlineStr">
        <is>
          <t>KRAMFORS</t>
        </is>
      </c>
      <c r="I828" t="n">
        <v>0.8</v>
      </c>
      <c r="J828" t="n">
        <v>0</v>
      </c>
      <c r="K828" t="n">
        <v>0</v>
      </c>
      <c r="L828" t="n">
        <v>0</v>
      </c>
      <c r="M828" t="n">
        <v>0</v>
      </c>
      <c r="N828" t="n">
        <v>0</v>
      </c>
      <c r="O828" t="n">
        <v>0</v>
      </c>
      <c r="P828" t="n">
        <v>0</v>
      </c>
      <c r="Q828" t="n">
        <v>0</v>
      </c>
      <c r="R828" t="n">
        <v>0</v>
      </c>
      <c r="S828" t="n">
        <v>0</v>
      </c>
      <c r="T828" t="n">
        <v>0</v>
      </c>
      <c r="U828" s="2" t="inlineStr"/>
    </row>
    <row r="829" ht="15" customHeight="1">
      <c r="A829" t="inlineStr">
        <is>
          <t>A 63228-2023</t>
        </is>
      </c>
      <c r="B829" t="inlineStr">
        <is>
          <t>avverkningsanmälan</t>
        </is>
      </c>
      <c r="C829" t="inlineStr">
        <is>
          <t>Föryngringsavverkning</t>
        </is>
      </c>
      <c r="D829" s="1" t="n">
        <v>45273</v>
      </c>
      <c r="E829" s="1" t="n">
        <v>46220</v>
      </c>
      <c r="F829" t="inlineStr">
        <is>
          <t>VÄSTERNORRLANDS LÄN</t>
        </is>
      </c>
      <c r="G829" t="inlineStr">
        <is>
          <t>KRAMFORS</t>
        </is>
      </c>
      <c r="I829" t="n">
        <v>3</v>
      </c>
      <c r="J829" t="n">
        <v>0</v>
      </c>
      <c r="K829" t="n">
        <v>0</v>
      </c>
      <c r="L829" t="n">
        <v>0</v>
      </c>
      <c r="M829" t="n">
        <v>0</v>
      </c>
      <c r="N829" t="n">
        <v>0</v>
      </c>
      <c r="O829" t="n">
        <v>0</v>
      </c>
      <c r="P829" t="n">
        <v>0</v>
      </c>
      <c r="Q829" t="n">
        <v>0</v>
      </c>
      <c r="R829" t="n">
        <v>0</v>
      </c>
      <c r="S829" t="n">
        <v>0</v>
      </c>
      <c r="T829" t="n">
        <v>0</v>
      </c>
      <c r="U829" s="2" t="inlineStr"/>
    </row>
    <row r="830" ht="15" customHeight="1">
      <c r="A830" t="inlineStr">
        <is>
          <t>A 33328-2024</t>
        </is>
      </c>
      <c r="B830" t="inlineStr">
        <is>
          <t>avverkningsanmälan</t>
        </is>
      </c>
      <c r="C830" t="inlineStr">
        <is>
          <t>Föryngringsavverkning</t>
        </is>
      </c>
      <c r="D830" s="1" t="n">
        <v>45519</v>
      </c>
      <c r="E830" s="1" t="n">
        <v>46220</v>
      </c>
      <c r="F830" t="inlineStr">
        <is>
          <t>VÄSTERNORRLANDS LÄN</t>
        </is>
      </c>
      <c r="G830" t="inlineStr">
        <is>
          <t>KRAMFORS</t>
        </is>
      </c>
      <c r="I830" t="n">
        <v>5.8</v>
      </c>
      <c r="J830" t="n">
        <v>0</v>
      </c>
      <c r="K830" t="n">
        <v>0</v>
      </c>
      <c r="L830" t="n">
        <v>0</v>
      </c>
      <c r="M830" t="n">
        <v>0</v>
      </c>
      <c r="N830" t="n">
        <v>0</v>
      </c>
      <c r="O830" t="n">
        <v>0</v>
      </c>
      <c r="P830" t="n">
        <v>0</v>
      </c>
      <c r="Q830" t="n">
        <v>0</v>
      </c>
      <c r="R830" t="n">
        <v>0</v>
      </c>
      <c r="S830" t="n">
        <v>0</v>
      </c>
      <c r="T830" t="n">
        <v>0</v>
      </c>
      <c r="U830" s="2" t="inlineStr"/>
    </row>
    <row r="831" ht="15" customHeight="1">
      <c r="A831" t="inlineStr">
        <is>
          <t>A 40434-2022</t>
        </is>
      </c>
      <c r="B831" t="inlineStr">
        <is>
          <t>avverkningsanmälan</t>
        </is>
      </c>
      <c r="C831" t="inlineStr">
        <is>
          <t>Föryngringsavverkning</t>
        </is>
      </c>
      <c r="D831" s="1" t="n">
        <v>44819</v>
      </c>
      <c r="E831" s="1" t="n">
        <v>46220</v>
      </c>
      <c r="F831" t="inlineStr">
        <is>
          <t>VÄSTERNORRLANDS LÄN</t>
        </is>
      </c>
      <c r="G831" t="inlineStr">
        <is>
          <t>KRAMFORS</t>
        </is>
      </c>
      <c r="I831" t="n">
        <v>3.4</v>
      </c>
      <c r="J831" t="n">
        <v>0</v>
      </c>
      <c r="K831" t="n">
        <v>0</v>
      </c>
      <c r="L831" t="n">
        <v>0</v>
      </c>
      <c r="M831" t="n">
        <v>0</v>
      </c>
      <c r="N831" t="n">
        <v>0</v>
      </c>
      <c r="O831" t="n">
        <v>0</v>
      </c>
      <c r="P831" t="n">
        <v>0</v>
      </c>
      <c r="Q831" t="n">
        <v>0</v>
      </c>
      <c r="R831" t="n">
        <v>0</v>
      </c>
      <c r="S831" t="n">
        <v>0</v>
      </c>
      <c r="T831" t="n">
        <v>0</v>
      </c>
      <c r="U831" s="2" t="inlineStr"/>
    </row>
    <row r="832" ht="15" customHeight="1">
      <c r="A832" t="inlineStr">
        <is>
          <t>A 42566-2021</t>
        </is>
      </c>
      <c r="B832" t="inlineStr">
        <is>
          <t>avverkningsanmälan</t>
        </is>
      </c>
      <c r="C832" t="inlineStr">
        <is>
          <t>Föryngringsavverkning</t>
        </is>
      </c>
      <c r="D832" s="1" t="n">
        <v>44428</v>
      </c>
      <c r="E832" s="1" t="n">
        <v>46220</v>
      </c>
      <c r="F832" t="inlineStr">
        <is>
          <t>VÄSTERNORRLANDS LÄN</t>
        </is>
      </c>
      <c r="G832" t="inlineStr">
        <is>
          <t>KRAMFORS</t>
        </is>
      </c>
      <c r="I832" t="n">
        <v>5.1</v>
      </c>
      <c r="J832" t="n">
        <v>0</v>
      </c>
      <c r="K832" t="n">
        <v>0</v>
      </c>
      <c r="L832" t="n">
        <v>0</v>
      </c>
      <c r="M832" t="n">
        <v>0</v>
      </c>
      <c r="N832" t="n">
        <v>0</v>
      </c>
      <c r="O832" t="n">
        <v>0</v>
      </c>
      <c r="P832" t="n">
        <v>0</v>
      </c>
      <c r="Q832" t="n">
        <v>0</v>
      </c>
      <c r="R832" t="n">
        <v>0</v>
      </c>
      <c r="S832" t="n">
        <v>0</v>
      </c>
      <c r="T832" t="n">
        <v>0</v>
      </c>
      <c r="U832" s="2" t="inlineStr"/>
    </row>
    <row r="833" ht="15" customHeight="1">
      <c r="A833" t="inlineStr">
        <is>
          <t>A 24960-2026</t>
        </is>
      </c>
      <c r="B833" t="inlineStr">
        <is>
          <t>avverkningsanmälan</t>
        </is>
      </c>
      <c r="C833" t="inlineStr">
        <is>
          <t>Föryngringsavverkning</t>
        </is>
      </c>
      <c r="D833" s="1" t="n">
        <v>46174</v>
      </c>
      <c r="E833" s="1" t="n">
        <v>46220</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s="2" t="inlineStr"/>
    </row>
    <row r="834" ht="15" customHeight="1">
      <c r="A834" t="inlineStr">
        <is>
          <t>A 12539-2022</t>
        </is>
      </c>
      <c r="B834" t="inlineStr">
        <is>
          <t>avverkningsanmälan</t>
        </is>
      </c>
      <c r="C834" t="inlineStr">
        <is>
          <t>Föryngringsavverkning</t>
        </is>
      </c>
      <c r="D834" s="1" t="n">
        <v>44638</v>
      </c>
      <c r="E834" s="1" t="n">
        <v>46220</v>
      </c>
      <c r="F834" t="inlineStr">
        <is>
          <t>VÄSTERNORRLANDS LÄN</t>
        </is>
      </c>
      <c r="G834" t="inlineStr">
        <is>
          <t>KRAMFORS</t>
        </is>
      </c>
      <c r="I834" t="n">
        <v>4</v>
      </c>
      <c r="J834" t="n">
        <v>0</v>
      </c>
      <c r="K834" t="n">
        <v>0</v>
      </c>
      <c r="L834" t="n">
        <v>0</v>
      </c>
      <c r="M834" t="n">
        <v>0</v>
      </c>
      <c r="N834" t="n">
        <v>0</v>
      </c>
      <c r="O834" t="n">
        <v>0</v>
      </c>
      <c r="P834" t="n">
        <v>0</v>
      </c>
      <c r="Q834" t="n">
        <v>0</v>
      </c>
      <c r="R834" t="n">
        <v>0</v>
      </c>
      <c r="S834" t="n">
        <v>0</v>
      </c>
      <c r="T834" t="n">
        <v>0</v>
      </c>
      <c r="U834" s="2" t="inlineStr"/>
    </row>
    <row r="835" ht="15" customHeight="1">
      <c r="A835" t="inlineStr">
        <is>
          <t>A 24854-2026</t>
        </is>
      </c>
      <c r="B835" t="inlineStr">
        <is>
          <t>avverkningsanmälan</t>
        </is>
      </c>
      <c r="C835" t="inlineStr">
        <is>
          <t>Föryngringsavverkning</t>
        </is>
      </c>
      <c r="D835" s="1" t="n">
        <v>46174</v>
      </c>
      <c r="E835" s="1" t="n">
        <v>46220</v>
      </c>
      <c r="F835" t="inlineStr">
        <is>
          <t>VÄSTERNORRLANDS LÄN</t>
        </is>
      </c>
      <c r="G835" t="inlineStr">
        <is>
          <t>KRAMFORS</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18643-2025</t>
        </is>
      </c>
      <c r="B836" t="inlineStr">
        <is>
          <t>avverkningsanmälan</t>
        </is>
      </c>
      <c r="C836" t="inlineStr">
        <is>
          <t>Föryngringsavverkning</t>
        </is>
      </c>
      <c r="D836" s="1" t="n">
        <v>45763</v>
      </c>
      <c r="E836" s="1" t="n">
        <v>46220</v>
      </c>
      <c r="F836" t="inlineStr">
        <is>
          <t>VÄSTERNORRLANDS LÄN</t>
        </is>
      </c>
      <c r="G836" t="inlineStr">
        <is>
          <t>KRAMFORS</t>
        </is>
      </c>
      <c r="H836" t="inlineStr">
        <is>
          <t>SCA</t>
        </is>
      </c>
      <c r="I836" t="n">
        <v>3.1</v>
      </c>
      <c r="J836" t="n">
        <v>0</v>
      </c>
      <c r="K836" t="n">
        <v>0</v>
      </c>
      <c r="L836" t="n">
        <v>0</v>
      </c>
      <c r="M836" t="n">
        <v>0</v>
      </c>
      <c r="N836" t="n">
        <v>0</v>
      </c>
      <c r="O836" t="n">
        <v>0</v>
      </c>
      <c r="P836" t="n">
        <v>0</v>
      </c>
      <c r="Q836" t="n">
        <v>0</v>
      </c>
      <c r="R836" t="n">
        <v>0</v>
      </c>
      <c r="S836" t="n">
        <v>0</v>
      </c>
      <c r="T836" t="n">
        <v>0</v>
      </c>
      <c r="U836" s="2" t="inlineStr"/>
    </row>
    <row r="837" ht="15" customHeight="1">
      <c r="A837" t="inlineStr">
        <is>
          <t>A 28355-2023</t>
        </is>
      </c>
      <c r="B837" t="inlineStr">
        <is>
          <t>avverkningsanmälan</t>
        </is>
      </c>
      <c r="C837" t="inlineStr">
        <is>
          <t>Föryngringsavverkning</t>
        </is>
      </c>
      <c r="D837" s="1" t="n">
        <v>45099</v>
      </c>
      <c r="E837" s="1" t="n">
        <v>46220</v>
      </c>
      <c r="F837" t="inlineStr">
        <is>
          <t>VÄSTERNORRLANDS LÄN</t>
        </is>
      </c>
      <c r="G837" t="inlineStr">
        <is>
          <t>KRAMFORS</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18648-2025</t>
        </is>
      </c>
      <c r="B838" t="inlineStr">
        <is>
          <t>avverkningsanmälan</t>
        </is>
      </c>
      <c r="C838" t="inlineStr">
        <is>
          <t>Föryngringsavverkning</t>
        </is>
      </c>
      <c r="D838" s="1" t="n">
        <v>45763</v>
      </c>
      <c r="E838" s="1" t="n">
        <v>46220</v>
      </c>
      <c r="F838" t="inlineStr">
        <is>
          <t>VÄSTERNORRLANDS LÄN</t>
        </is>
      </c>
      <c r="G838" t="inlineStr">
        <is>
          <t>KRAMFORS</t>
        </is>
      </c>
      <c r="H838" t="inlineStr">
        <is>
          <t>SCA</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24945-2026</t>
        </is>
      </c>
      <c r="B839" t="inlineStr">
        <is>
          <t>avverkningsanmälan</t>
        </is>
      </c>
      <c r="C839" t="inlineStr">
        <is>
          <t>Föryngringsavverkning</t>
        </is>
      </c>
      <c r="D839" s="1" t="n">
        <v>46174</v>
      </c>
      <c r="E839" s="1" t="n">
        <v>46220</v>
      </c>
      <c r="F839" t="inlineStr">
        <is>
          <t>VÄSTERNORRLANDS LÄN</t>
        </is>
      </c>
      <c r="G839" t="inlineStr">
        <is>
          <t>KRAMFORS</t>
        </is>
      </c>
      <c r="I839" t="n">
        <v>8.1</v>
      </c>
      <c r="J839" t="n">
        <v>0</v>
      </c>
      <c r="K839" t="n">
        <v>0</v>
      </c>
      <c r="L839" t="n">
        <v>0</v>
      </c>
      <c r="M839" t="n">
        <v>0</v>
      </c>
      <c r="N839" t="n">
        <v>0</v>
      </c>
      <c r="O839" t="n">
        <v>0</v>
      </c>
      <c r="P839" t="n">
        <v>0</v>
      </c>
      <c r="Q839" t="n">
        <v>0</v>
      </c>
      <c r="R839" t="n">
        <v>0</v>
      </c>
      <c r="S839" t="n">
        <v>0</v>
      </c>
      <c r="T839" t="n">
        <v>0</v>
      </c>
      <c r="U839" s="2" t="inlineStr"/>
    </row>
    <row r="840" ht="15" customHeight="1">
      <c r="A840" t="inlineStr">
        <is>
          <t>A 24961-2026</t>
        </is>
      </c>
      <c r="B840" t="inlineStr">
        <is>
          <t>avverkningsanmälan</t>
        </is>
      </c>
      <c r="C840" t="inlineStr">
        <is>
          <t>Föryngringsavverkning</t>
        </is>
      </c>
      <c r="D840" s="1" t="n">
        <v>46174</v>
      </c>
      <c r="E840" s="1" t="n">
        <v>46220</v>
      </c>
      <c r="F840" t="inlineStr">
        <is>
          <t>VÄSTERNORRLANDS LÄN</t>
        </is>
      </c>
      <c r="G840" t="inlineStr">
        <is>
          <t>KRAMFORS</t>
        </is>
      </c>
      <c r="I840" t="n">
        <v>5.9</v>
      </c>
      <c r="J840" t="n">
        <v>0</v>
      </c>
      <c r="K840" t="n">
        <v>0</v>
      </c>
      <c r="L840" t="n">
        <v>0</v>
      </c>
      <c r="M840" t="n">
        <v>0</v>
      </c>
      <c r="N840" t="n">
        <v>0</v>
      </c>
      <c r="O840" t="n">
        <v>0</v>
      </c>
      <c r="P840" t="n">
        <v>0</v>
      </c>
      <c r="Q840" t="n">
        <v>0</v>
      </c>
      <c r="R840" t="n">
        <v>0</v>
      </c>
      <c r="S840" t="n">
        <v>0</v>
      </c>
      <c r="T840" t="n">
        <v>0</v>
      </c>
      <c r="U840" s="2" t="inlineStr"/>
    </row>
    <row r="841" ht="15" customHeight="1">
      <c r="A841" t="inlineStr">
        <is>
          <t>A 24848-2026</t>
        </is>
      </c>
      <c r="B841" t="inlineStr">
        <is>
          <t>avverkningsanmälan</t>
        </is>
      </c>
      <c r="C841" t="inlineStr">
        <is>
          <t>Föryngringsavverkning</t>
        </is>
      </c>
      <c r="D841" s="1" t="n">
        <v>46174</v>
      </c>
      <c r="E841" s="1" t="n">
        <v>46220</v>
      </c>
      <c r="F841" t="inlineStr">
        <is>
          <t>VÄSTERNORRLANDS LÄN</t>
        </is>
      </c>
      <c r="G841" t="inlineStr">
        <is>
          <t>KRAMFORS</t>
        </is>
      </c>
      <c r="I841" t="n">
        <v>4.1</v>
      </c>
      <c r="J841" t="n">
        <v>0</v>
      </c>
      <c r="K841" t="n">
        <v>0</v>
      </c>
      <c r="L841" t="n">
        <v>0</v>
      </c>
      <c r="M841" t="n">
        <v>0</v>
      </c>
      <c r="N841" t="n">
        <v>0</v>
      </c>
      <c r="O841" t="n">
        <v>0</v>
      </c>
      <c r="P841" t="n">
        <v>0</v>
      </c>
      <c r="Q841" t="n">
        <v>0</v>
      </c>
      <c r="R841" t="n">
        <v>0</v>
      </c>
      <c r="S841" t="n">
        <v>0</v>
      </c>
      <c r="T841" t="n">
        <v>0</v>
      </c>
      <c r="U841" s="2" t="inlineStr"/>
    </row>
    <row r="842" ht="15" customHeight="1">
      <c r="A842" t="inlineStr">
        <is>
          <t>A 10392-2024</t>
        </is>
      </c>
      <c r="B842" t="inlineStr">
        <is>
          <t>avverkningsanmälan</t>
        </is>
      </c>
      <c r="C842" t="inlineStr">
        <is>
          <t>Föryngringsavverkning</t>
        </is>
      </c>
      <c r="D842" s="1" t="n">
        <v>45365</v>
      </c>
      <c r="E842" s="1" t="n">
        <v>46220</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s="2" t="inlineStr"/>
    </row>
    <row r="843" ht="15" customHeight="1">
      <c r="A843" t="inlineStr">
        <is>
          <t>A 43136-2023</t>
        </is>
      </c>
      <c r="B843" t="inlineStr">
        <is>
          <t>avverkningsanmälan</t>
        </is>
      </c>
      <c r="C843" t="inlineStr">
        <is>
          <t>Föryngringsavverkning</t>
        </is>
      </c>
      <c r="D843" s="1" t="n">
        <v>45180</v>
      </c>
      <c r="E843" s="1" t="n">
        <v>46220</v>
      </c>
      <c r="F843" t="inlineStr">
        <is>
          <t>VÄSTERNORRLANDS LÄN</t>
        </is>
      </c>
      <c r="G843" t="inlineStr">
        <is>
          <t>KRAMFORS</t>
        </is>
      </c>
      <c r="I843" t="n">
        <v>10.2</v>
      </c>
      <c r="J843" t="n">
        <v>0</v>
      </c>
      <c r="K843" t="n">
        <v>0</v>
      </c>
      <c r="L843" t="n">
        <v>0</v>
      </c>
      <c r="M843" t="n">
        <v>0</v>
      </c>
      <c r="N843" t="n">
        <v>0</v>
      </c>
      <c r="O843" t="n">
        <v>0</v>
      </c>
      <c r="P843" t="n">
        <v>0</v>
      </c>
      <c r="Q843" t="n">
        <v>0</v>
      </c>
      <c r="R843" t="n">
        <v>0</v>
      </c>
      <c r="S843" t="n">
        <v>0</v>
      </c>
      <c r="T843" t="n">
        <v>0</v>
      </c>
      <c r="U843" s="2" t="inlineStr"/>
    </row>
    <row r="844" ht="15" customHeight="1">
      <c r="A844" t="inlineStr">
        <is>
          <t>A 15314-2024</t>
        </is>
      </c>
      <c r="B844" t="inlineStr">
        <is>
          <t>avverkningsanmälan</t>
        </is>
      </c>
      <c r="C844" t="inlineStr">
        <is>
          <t>Föryngringsavverkning</t>
        </is>
      </c>
      <c r="D844" s="1" t="n">
        <v>45400</v>
      </c>
      <c r="E844" s="1" t="n">
        <v>46220</v>
      </c>
      <c r="F844" t="inlineStr">
        <is>
          <t>VÄSTERNORRLANDS LÄN</t>
        </is>
      </c>
      <c r="G844" t="inlineStr">
        <is>
          <t>KRAMFORS</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49095-2022</t>
        </is>
      </c>
      <c r="B845" t="inlineStr">
        <is>
          <t>avverkningsanmälan</t>
        </is>
      </c>
      <c r="C845" t="inlineStr">
        <is>
          <t>Föryngringsavverkning</t>
        </is>
      </c>
      <c r="D845" s="1" t="n">
        <v>44860</v>
      </c>
      <c r="E845" s="1" t="n">
        <v>46220</v>
      </c>
      <c r="F845" t="inlineStr">
        <is>
          <t>VÄSTERNORRLANDS LÄN</t>
        </is>
      </c>
      <c r="G845" t="inlineStr">
        <is>
          <t>KRAMFORS</t>
        </is>
      </c>
      <c r="I845" t="n">
        <v>1.9</v>
      </c>
      <c r="J845" t="n">
        <v>0</v>
      </c>
      <c r="K845" t="n">
        <v>0</v>
      </c>
      <c r="L845" t="n">
        <v>0</v>
      </c>
      <c r="M845" t="n">
        <v>0</v>
      </c>
      <c r="N845" t="n">
        <v>0</v>
      </c>
      <c r="O845" t="n">
        <v>0</v>
      </c>
      <c r="P845" t="n">
        <v>0</v>
      </c>
      <c r="Q845" t="n">
        <v>0</v>
      </c>
      <c r="R845" t="n">
        <v>0</v>
      </c>
      <c r="S845" t="n">
        <v>0</v>
      </c>
      <c r="T845" t="n">
        <v>0</v>
      </c>
      <c r="U845" s="2" t="inlineStr"/>
    </row>
    <row r="846" ht="15" customHeight="1">
      <c r="A846" t="inlineStr">
        <is>
          <t>A 28086-2023</t>
        </is>
      </c>
      <c r="B846" t="inlineStr">
        <is>
          <t>avverkningsanmälan</t>
        </is>
      </c>
      <c r="C846" t="inlineStr">
        <is>
          <t>Föryngringsavverkning</t>
        </is>
      </c>
      <c r="D846" s="1" t="n">
        <v>45099</v>
      </c>
      <c r="E846" s="1" t="n">
        <v>46220</v>
      </c>
      <c r="F846" t="inlineStr">
        <is>
          <t>VÄSTERNORRLANDS LÄN</t>
        </is>
      </c>
      <c r="G846" t="inlineStr">
        <is>
          <t>KRAMFORS</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25533-2026</t>
        </is>
      </c>
      <c r="B847" t="inlineStr">
        <is>
          <t>avverkningsanmälan</t>
        </is>
      </c>
      <c r="C847" t="inlineStr">
        <is>
          <t>Föryngringsavverkning</t>
        </is>
      </c>
      <c r="D847" s="1" t="n">
        <v>46177</v>
      </c>
      <c r="E847" s="1" t="n">
        <v>46220</v>
      </c>
      <c r="F847" t="inlineStr">
        <is>
          <t>VÄSTERNORRLANDS LÄN</t>
        </is>
      </c>
      <c r="G847" t="inlineStr">
        <is>
          <t>KRAMFORS</t>
        </is>
      </c>
      <c r="I847" t="n">
        <v>8.1</v>
      </c>
      <c r="J847" t="n">
        <v>0</v>
      </c>
      <c r="K847" t="n">
        <v>0</v>
      </c>
      <c r="L847" t="n">
        <v>0</v>
      </c>
      <c r="M847" t="n">
        <v>0</v>
      </c>
      <c r="N847" t="n">
        <v>0</v>
      </c>
      <c r="O847" t="n">
        <v>0</v>
      </c>
      <c r="P847" t="n">
        <v>0</v>
      </c>
      <c r="Q847" t="n">
        <v>0</v>
      </c>
      <c r="R847" t="n">
        <v>0</v>
      </c>
      <c r="S847" t="n">
        <v>0</v>
      </c>
      <c r="T847" t="n">
        <v>0</v>
      </c>
      <c r="U847" s="2" t="inlineStr"/>
    </row>
    <row r="848" ht="15" customHeight="1">
      <c r="A848" t="inlineStr">
        <is>
          <t>A 54318-2023</t>
        </is>
      </c>
      <c r="B848" t="inlineStr">
        <is>
          <t>avverkningsanmälan</t>
        </is>
      </c>
      <c r="C848" t="inlineStr">
        <is>
          <t>Föryngringsavverkning</t>
        </is>
      </c>
      <c r="D848" s="1" t="n">
        <v>45232</v>
      </c>
      <c r="E848" s="1" t="n">
        <v>46220</v>
      </c>
      <c r="F848" t="inlineStr">
        <is>
          <t>VÄSTERNORRLANDS LÄN</t>
        </is>
      </c>
      <c r="G848" t="inlineStr">
        <is>
          <t>KRAMFORS</t>
        </is>
      </c>
      <c r="H848" t="inlineStr">
        <is>
          <t>Kyrkan</t>
        </is>
      </c>
      <c r="I848" t="n">
        <v>6.8</v>
      </c>
      <c r="J848" t="n">
        <v>0</v>
      </c>
      <c r="K848" t="n">
        <v>0</v>
      </c>
      <c r="L848" t="n">
        <v>0</v>
      </c>
      <c r="M848" t="n">
        <v>0</v>
      </c>
      <c r="N848" t="n">
        <v>0</v>
      </c>
      <c r="O848" t="n">
        <v>0</v>
      </c>
      <c r="P848" t="n">
        <v>0</v>
      </c>
      <c r="Q848" t="n">
        <v>0</v>
      </c>
      <c r="R848" t="n">
        <v>0</v>
      </c>
      <c r="S848" t="n">
        <v>0</v>
      </c>
      <c r="T848" t="n">
        <v>0</v>
      </c>
      <c r="U848" s="2" t="inlineStr"/>
    </row>
    <row r="849" ht="15" customHeight="1">
      <c r="A849" t="inlineStr">
        <is>
          <t>A 25380-2026</t>
        </is>
      </c>
      <c r="B849" t="inlineStr">
        <is>
          <t>avverkningsanmälan</t>
        </is>
      </c>
      <c r="C849" t="inlineStr">
        <is>
          <t>Föryngringsavverkning</t>
        </is>
      </c>
      <c r="D849" s="1" t="n">
        <v>46176</v>
      </c>
      <c r="E849" s="1" t="n">
        <v>46220</v>
      </c>
      <c r="F849" t="inlineStr">
        <is>
          <t>VÄSTERNORRLANDS LÄN</t>
        </is>
      </c>
      <c r="G849" t="inlineStr">
        <is>
          <t>KRAMFORS</t>
        </is>
      </c>
      <c r="I849" t="n">
        <v>2.1</v>
      </c>
      <c r="J849" t="n">
        <v>0</v>
      </c>
      <c r="K849" t="n">
        <v>0</v>
      </c>
      <c r="L849" t="n">
        <v>0</v>
      </c>
      <c r="M849" t="n">
        <v>0</v>
      </c>
      <c r="N849" t="n">
        <v>0</v>
      </c>
      <c r="O849" t="n">
        <v>0</v>
      </c>
      <c r="P849" t="n">
        <v>0</v>
      </c>
      <c r="Q849" t="n">
        <v>0</v>
      </c>
      <c r="R849" t="n">
        <v>0</v>
      </c>
      <c r="S849" t="n">
        <v>0</v>
      </c>
      <c r="T849" t="n">
        <v>0</v>
      </c>
      <c r="U849" s="2" t="inlineStr"/>
    </row>
    <row r="850" ht="15" customHeight="1">
      <c r="A850" t="inlineStr">
        <is>
          <t>A 25369-2026</t>
        </is>
      </c>
      <c r="B850" t="inlineStr">
        <is>
          <t>avverkningsanmälan</t>
        </is>
      </c>
      <c r="C850" t="inlineStr">
        <is>
          <t>Avverkning för att bevara och utveckla /försöksver</t>
        </is>
      </c>
      <c r="D850" s="1" t="n">
        <v>46176</v>
      </c>
      <c r="E850" s="1" t="n">
        <v>46220</v>
      </c>
      <c r="F850" t="inlineStr">
        <is>
          <t>VÄSTERNORRLANDS LÄN</t>
        </is>
      </c>
      <c r="G850" t="inlineStr">
        <is>
          <t>KRAMFORS</t>
        </is>
      </c>
      <c r="I850" t="n">
        <v>2.2</v>
      </c>
      <c r="J850" t="n">
        <v>0</v>
      </c>
      <c r="K850" t="n">
        <v>0</v>
      </c>
      <c r="L850" t="n">
        <v>0</v>
      </c>
      <c r="M850" t="n">
        <v>0</v>
      </c>
      <c r="N850" t="n">
        <v>0</v>
      </c>
      <c r="O850" t="n">
        <v>0</v>
      </c>
      <c r="P850" t="n">
        <v>0</v>
      </c>
      <c r="Q850" t="n">
        <v>0</v>
      </c>
      <c r="R850" t="n">
        <v>0</v>
      </c>
      <c r="S850" t="n">
        <v>0</v>
      </c>
      <c r="T850" t="n">
        <v>0</v>
      </c>
      <c r="U850" s="2" t="inlineStr"/>
    </row>
    <row r="851" ht="15" customHeight="1">
      <c r="A851" t="inlineStr">
        <is>
          <t>A 62821-2023</t>
        </is>
      </c>
      <c r="B851" t="inlineStr">
        <is>
          <t>avverkningsanmälan</t>
        </is>
      </c>
      <c r="C851" t="inlineStr">
        <is>
          <t>Föryngringsavverkning</t>
        </is>
      </c>
      <c r="D851" s="1" t="n">
        <v>45271</v>
      </c>
      <c r="E851" s="1" t="n">
        <v>46220</v>
      </c>
      <c r="F851" t="inlineStr">
        <is>
          <t>VÄSTERNORRLANDS LÄN</t>
        </is>
      </c>
      <c r="G851" t="inlineStr">
        <is>
          <t>KRAMFORS</t>
        </is>
      </c>
      <c r="I851" t="n">
        <v>10.6</v>
      </c>
      <c r="J851" t="n">
        <v>0</v>
      </c>
      <c r="K851" t="n">
        <v>0</v>
      </c>
      <c r="L851" t="n">
        <v>0</v>
      </c>
      <c r="M851" t="n">
        <v>0</v>
      </c>
      <c r="N851" t="n">
        <v>0</v>
      </c>
      <c r="O851" t="n">
        <v>0</v>
      </c>
      <c r="P851" t="n">
        <v>0</v>
      </c>
      <c r="Q851" t="n">
        <v>0</v>
      </c>
      <c r="R851" t="n">
        <v>0</v>
      </c>
      <c r="S851" t="n">
        <v>0</v>
      </c>
      <c r="T851" t="n">
        <v>0</v>
      </c>
      <c r="U851" s="2" t="inlineStr"/>
    </row>
    <row r="852" ht="15" customHeight="1">
      <c r="A852" t="inlineStr">
        <is>
          <t>A 4775-2024</t>
        </is>
      </c>
      <c r="B852" t="inlineStr">
        <is>
          <t>avverkningsanmälan</t>
        </is>
      </c>
      <c r="C852" t="inlineStr">
        <is>
          <t>Avverkning för annat ändamål</t>
        </is>
      </c>
      <c r="D852" s="1" t="n">
        <v>45328</v>
      </c>
      <c r="E852" s="1" t="n">
        <v>46220</v>
      </c>
      <c r="F852" t="inlineStr">
        <is>
          <t>VÄSTERNORRLANDS LÄN</t>
        </is>
      </c>
      <c r="G852" t="inlineStr">
        <is>
          <t>KRAMFORS</t>
        </is>
      </c>
      <c r="I852" t="n">
        <v>0.4</v>
      </c>
      <c r="J852" t="n">
        <v>0</v>
      </c>
      <c r="K852" t="n">
        <v>0</v>
      </c>
      <c r="L852" t="n">
        <v>0</v>
      </c>
      <c r="M852" t="n">
        <v>0</v>
      </c>
      <c r="N852" t="n">
        <v>0</v>
      </c>
      <c r="O852" t="n">
        <v>0</v>
      </c>
      <c r="P852" t="n">
        <v>0</v>
      </c>
      <c r="Q852" t="n">
        <v>0</v>
      </c>
      <c r="R852" t="n">
        <v>0</v>
      </c>
      <c r="S852" t="n">
        <v>0</v>
      </c>
      <c r="T852" t="n">
        <v>0</v>
      </c>
      <c r="U852" s="2" t="inlineStr"/>
    </row>
    <row r="853" ht="15" customHeight="1">
      <c r="A853" t="inlineStr">
        <is>
          <t>A 33440-2022</t>
        </is>
      </c>
      <c r="B853" t="inlineStr">
        <is>
          <t>avverkningsanmälan</t>
        </is>
      </c>
      <c r="C853" t="inlineStr">
        <is>
          <t>Föryngringsavverkning</t>
        </is>
      </c>
      <c r="D853" s="1" t="n">
        <v>44788</v>
      </c>
      <c r="E853" s="1" t="n">
        <v>46220</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183-2022</t>
        </is>
      </c>
      <c r="B854" t="inlineStr">
        <is>
          <t>avverkningsanmälan</t>
        </is>
      </c>
      <c r="C854" t="inlineStr">
        <is>
          <t>Föryngringsavverkning</t>
        </is>
      </c>
      <c r="D854" s="1" t="n">
        <v>44564</v>
      </c>
      <c r="E854" s="1" t="n">
        <v>46220</v>
      </c>
      <c r="F854" t="inlineStr">
        <is>
          <t>VÄSTERNORRLANDS LÄN</t>
        </is>
      </c>
      <c r="G854" t="inlineStr">
        <is>
          <t>KRAMFORS</t>
        </is>
      </c>
      <c r="I854" t="n">
        <v>2.4</v>
      </c>
      <c r="J854" t="n">
        <v>0</v>
      </c>
      <c r="K854" t="n">
        <v>0</v>
      </c>
      <c r="L854" t="n">
        <v>0</v>
      </c>
      <c r="M854" t="n">
        <v>0</v>
      </c>
      <c r="N854" t="n">
        <v>0</v>
      </c>
      <c r="O854" t="n">
        <v>0</v>
      </c>
      <c r="P854" t="n">
        <v>0</v>
      </c>
      <c r="Q854" t="n">
        <v>0</v>
      </c>
      <c r="R854" t="n">
        <v>0</v>
      </c>
      <c r="S854" t="n">
        <v>0</v>
      </c>
      <c r="T854" t="n">
        <v>0</v>
      </c>
      <c r="U854" s="2" t="inlineStr"/>
    </row>
    <row r="855" ht="15" customHeight="1">
      <c r="A855" t="inlineStr">
        <is>
          <t>A 17054-2023</t>
        </is>
      </c>
      <c r="B855" t="inlineStr">
        <is>
          <t>avverkningsanmälan</t>
        </is>
      </c>
      <c r="C855" t="inlineStr">
        <is>
          <t>Föryngringsavverkning</t>
        </is>
      </c>
      <c r="D855" s="1" t="n">
        <v>45034</v>
      </c>
      <c r="E855" s="1" t="n">
        <v>46220</v>
      </c>
      <c r="F855" t="inlineStr">
        <is>
          <t>VÄSTERNORRLANDS LÄN</t>
        </is>
      </c>
      <c r="G855" t="inlineStr">
        <is>
          <t>KRAMFORS</t>
        </is>
      </c>
      <c r="I855" t="n">
        <v>6</v>
      </c>
      <c r="J855" t="n">
        <v>0</v>
      </c>
      <c r="K855" t="n">
        <v>0</v>
      </c>
      <c r="L855" t="n">
        <v>0</v>
      </c>
      <c r="M855" t="n">
        <v>0</v>
      </c>
      <c r="N855" t="n">
        <v>0</v>
      </c>
      <c r="O855" t="n">
        <v>0</v>
      </c>
      <c r="P855" t="n">
        <v>0</v>
      </c>
      <c r="Q855" t="n">
        <v>0</v>
      </c>
      <c r="R855" t="n">
        <v>0</v>
      </c>
      <c r="S855" t="n">
        <v>0</v>
      </c>
      <c r="T855" t="n">
        <v>0</v>
      </c>
      <c r="U855" s="2" t="inlineStr"/>
    </row>
    <row r="856" ht="15" customHeight="1">
      <c r="A856" t="inlineStr">
        <is>
          <t>A 12338-2023</t>
        </is>
      </c>
      <c r="B856" t="inlineStr">
        <is>
          <t>avverkningsanmälan</t>
        </is>
      </c>
      <c r="C856" t="inlineStr">
        <is>
          <t>Föryngringsavverkning</t>
        </is>
      </c>
      <c r="D856" s="1" t="n">
        <v>44998</v>
      </c>
      <c r="E856" s="1" t="n">
        <v>46220</v>
      </c>
      <c r="F856" t="inlineStr">
        <is>
          <t>VÄSTERNORRLANDS LÄN</t>
        </is>
      </c>
      <c r="G856" t="inlineStr">
        <is>
          <t>KRAMFORS</t>
        </is>
      </c>
      <c r="I856" t="n">
        <v>3.4</v>
      </c>
      <c r="J856" t="n">
        <v>0</v>
      </c>
      <c r="K856" t="n">
        <v>0</v>
      </c>
      <c r="L856" t="n">
        <v>0</v>
      </c>
      <c r="M856" t="n">
        <v>0</v>
      </c>
      <c r="N856" t="n">
        <v>0</v>
      </c>
      <c r="O856" t="n">
        <v>0</v>
      </c>
      <c r="P856" t="n">
        <v>0</v>
      </c>
      <c r="Q856" t="n">
        <v>0</v>
      </c>
      <c r="R856" t="n">
        <v>0</v>
      </c>
      <c r="S856" t="n">
        <v>0</v>
      </c>
      <c r="T856" t="n">
        <v>0</v>
      </c>
      <c r="U856" s="2" t="inlineStr"/>
    </row>
    <row r="857" ht="15" customHeight="1">
      <c r="A857" t="inlineStr">
        <is>
          <t>A 61174-2024</t>
        </is>
      </c>
      <c r="B857" t="inlineStr">
        <is>
          <t>avverkningsanmälan</t>
        </is>
      </c>
      <c r="C857" t="inlineStr">
        <is>
          <t>Föryngringsavverkning</t>
        </is>
      </c>
      <c r="D857" s="1" t="n">
        <v>45645</v>
      </c>
      <c r="E857" s="1" t="n">
        <v>46220</v>
      </c>
      <c r="F857" t="inlineStr">
        <is>
          <t>VÄSTERNORRLANDS LÄN</t>
        </is>
      </c>
      <c r="G857" t="inlineStr">
        <is>
          <t>KRAMFORS</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61176-2024</t>
        </is>
      </c>
      <c r="B858" t="inlineStr">
        <is>
          <t>avverkningsanmälan</t>
        </is>
      </c>
      <c r="C858" t="inlineStr">
        <is>
          <t>Föryngringsavverkning</t>
        </is>
      </c>
      <c r="D858" s="1" t="n">
        <v>45645</v>
      </c>
      <c r="E858" s="1" t="n">
        <v>46220</v>
      </c>
      <c r="F858" t="inlineStr">
        <is>
          <t>VÄSTERNORRLANDS LÄN</t>
        </is>
      </c>
      <c r="G858" t="inlineStr">
        <is>
          <t>KRAMFORS</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20693-2025</t>
        </is>
      </c>
      <c r="B859" t="inlineStr">
        <is>
          <t>avverkningsanmälan</t>
        </is>
      </c>
      <c r="C859" t="inlineStr">
        <is>
          <t>Föryngringsavverkning</t>
        </is>
      </c>
      <c r="D859" s="1" t="n">
        <v>45776</v>
      </c>
      <c r="E859" s="1" t="n">
        <v>46220</v>
      </c>
      <c r="F859" t="inlineStr">
        <is>
          <t>VÄSTERNORRLANDS LÄN</t>
        </is>
      </c>
      <c r="G859" t="inlineStr">
        <is>
          <t>KRAMFORS</t>
        </is>
      </c>
      <c r="H859" t="inlineStr">
        <is>
          <t>SCA</t>
        </is>
      </c>
      <c r="I859" t="n">
        <v>3</v>
      </c>
      <c r="J859" t="n">
        <v>0</v>
      </c>
      <c r="K859" t="n">
        <v>0</v>
      </c>
      <c r="L859" t="n">
        <v>0</v>
      </c>
      <c r="M859" t="n">
        <v>0</v>
      </c>
      <c r="N859" t="n">
        <v>0</v>
      </c>
      <c r="O859" t="n">
        <v>0</v>
      </c>
      <c r="P859" t="n">
        <v>0</v>
      </c>
      <c r="Q859" t="n">
        <v>0</v>
      </c>
      <c r="R859" t="n">
        <v>0</v>
      </c>
      <c r="S859" t="n">
        <v>0</v>
      </c>
      <c r="T859" t="n">
        <v>0</v>
      </c>
      <c r="U859" s="2" t="inlineStr"/>
    </row>
    <row r="860" ht="15" customHeight="1">
      <c r="A860" t="inlineStr">
        <is>
          <t>A 21533-2025</t>
        </is>
      </c>
      <c r="B860" t="inlineStr">
        <is>
          <t>avverkningsanmälan</t>
        </is>
      </c>
      <c r="C860" t="inlineStr">
        <is>
          <t>Föryngringsavverkning</t>
        </is>
      </c>
      <c r="D860" s="1" t="n">
        <v>45782</v>
      </c>
      <c r="E860" s="1" t="n">
        <v>46220</v>
      </c>
      <c r="F860" t="inlineStr">
        <is>
          <t>VÄSTERNORRLANDS LÄN</t>
        </is>
      </c>
      <c r="G860" t="inlineStr">
        <is>
          <t>KRAMFORS</t>
        </is>
      </c>
      <c r="I860" t="n">
        <v>5.1</v>
      </c>
      <c r="J860" t="n">
        <v>0</v>
      </c>
      <c r="K860" t="n">
        <v>0</v>
      </c>
      <c r="L860" t="n">
        <v>0</v>
      </c>
      <c r="M860" t="n">
        <v>0</v>
      </c>
      <c r="N860" t="n">
        <v>0</v>
      </c>
      <c r="O860" t="n">
        <v>0</v>
      </c>
      <c r="P860" t="n">
        <v>0</v>
      </c>
      <c r="Q860" t="n">
        <v>0</v>
      </c>
      <c r="R860" t="n">
        <v>0</v>
      </c>
      <c r="S860" t="n">
        <v>0</v>
      </c>
      <c r="T860" t="n">
        <v>0</v>
      </c>
      <c r="U860" s="2" t="inlineStr"/>
    </row>
    <row r="861" ht="15" customHeight="1">
      <c r="A861" t="inlineStr">
        <is>
          <t>A 30770-2024</t>
        </is>
      </c>
      <c r="B861" t="inlineStr">
        <is>
          <t>avverkningsanmälan</t>
        </is>
      </c>
      <c r="C861" t="inlineStr">
        <is>
          <t>Föryngringsavverkning</t>
        </is>
      </c>
      <c r="D861" s="1" t="n">
        <v>45496</v>
      </c>
      <c r="E861" s="1" t="n">
        <v>46220</v>
      </c>
      <c r="F861" t="inlineStr">
        <is>
          <t>VÄSTERNORRLANDS LÄN</t>
        </is>
      </c>
      <c r="G861" t="inlineStr">
        <is>
          <t>KRAMFORS</t>
        </is>
      </c>
      <c r="H861" t="inlineStr">
        <is>
          <t>Kyrkan</t>
        </is>
      </c>
      <c r="I861" t="n">
        <v>1.8</v>
      </c>
      <c r="J861" t="n">
        <v>0</v>
      </c>
      <c r="K861" t="n">
        <v>0</v>
      </c>
      <c r="L861" t="n">
        <v>0</v>
      </c>
      <c r="M861" t="n">
        <v>0</v>
      </c>
      <c r="N861" t="n">
        <v>0</v>
      </c>
      <c r="O861" t="n">
        <v>0</v>
      </c>
      <c r="P861" t="n">
        <v>0</v>
      </c>
      <c r="Q861" t="n">
        <v>0</v>
      </c>
      <c r="R861" t="n">
        <v>0</v>
      </c>
      <c r="S861" t="n">
        <v>0</v>
      </c>
      <c r="T861" t="n">
        <v>0</v>
      </c>
      <c r="U861" s="2" t="inlineStr"/>
    </row>
    <row r="862" ht="15" customHeight="1">
      <c r="A862" t="inlineStr">
        <is>
          <t>A 16504-2024</t>
        </is>
      </c>
      <c r="B862" t="inlineStr">
        <is>
          <t>avverkningsanmälan</t>
        </is>
      </c>
      <c r="C862" t="inlineStr">
        <is>
          <t>Föryngringsavverkning</t>
        </is>
      </c>
      <c r="D862" s="1" t="n">
        <v>45408</v>
      </c>
      <c r="E862" s="1" t="n">
        <v>46220</v>
      </c>
      <c r="F862" t="inlineStr">
        <is>
          <t>VÄSTERNORRLANDS LÄN</t>
        </is>
      </c>
      <c r="G862" t="inlineStr">
        <is>
          <t>KRAMFORS</t>
        </is>
      </c>
      <c r="I862" t="n">
        <v>1.5</v>
      </c>
      <c r="J862" t="n">
        <v>0</v>
      </c>
      <c r="K862" t="n">
        <v>0</v>
      </c>
      <c r="L862" t="n">
        <v>0</v>
      </c>
      <c r="M862" t="n">
        <v>0</v>
      </c>
      <c r="N862" t="n">
        <v>0</v>
      </c>
      <c r="O862" t="n">
        <v>0</v>
      </c>
      <c r="P862" t="n">
        <v>0</v>
      </c>
      <c r="Q862" t="n">
        <v>0</v>
      </c>
      <c r="R862" t="n">
        <v>0</v>
      </c>
      <c r="S862" t="n">
        <v>0</v>
      </c>
      <c r="T862" t="n">
        <v>0</v>
      </c>
      <c r="U862" s="2" t="inlineStr"/>
    </row>
    <row r="863" ht="15" customHeight="1">
      <c r="A863" t="inlineStr">
        <is>
          <t>A 28121-2024</t>
        </is>
      </c>
      <c r="B863" t="inlineStr">
        <is>
          <t>avverkningsanmälan</t>
        </is>
      </c>
      <c r="C863" t="inlineStr">
        <is>
          <t>Föryngringsavverkning</t>
        </is>
      </c>
      <c r="D863" s="1" t="n">
        <v>45476</v>
      </c>
      <c r="E863" s="1" t="n">
        <v>46220</v>
      </c>
      <c r="F863" t="inlineStr">
        <is>
          <t>VÄSTERNORRLANDS LÄN</t>
        </is>
      </c>
      <c r="G863" t="inlineStr">
        <is>
          <t>KRAMFORS</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43435-2022</t>
        </is>
      </c>
      <c r="B864" t="inlineStr">
        <is>
          <t>avverkningsanmälan</t>
        </is>
      </c>
      <c r="C864" t="inlineStr">
        <is>
          <t>Föryngringsavverkning</t>
        </is>
      </c>
      <c r="D864" s="1" t="n">
        <v>44834</v>
      </c>
      <c r="E864" s="1" t="n">
        <v>46220</v>
      </c>
      <c r="F864" t="inlineStr">
        <is>
          <t>VÄSTERNORRLANDS LÄN</t>
        </is>
      </c>
      <c r="G864" t="inlineStr">
        <is>
          <t>KRAMFORS</t>
        </is>
      </c>
      <c r="H864" t="inlineStr">
        <is>
          <t>SCA</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64608-2023</t>
        </is>
      </c>
      <c r="B865" t="inlineStr">
        <is>
          <t>avverkningsanmälan</t>
        </is>
      </c>
      <c r="C865" t="inlineStr">
        <is>
          <t>Föryngringsavverkning</t>
        </is>
      </c>
      <c r="D865" s="1" t="n">
        <v>45281</v>
      </c>
      <c r="E865" s="1" t="n">
        <v>46220</v>
      </c>
      <c r="F865" t="inlineStr">
        <is>
          <t>VÄSTERNORRLANDS LÄN</t>
        </is>
      </c>
      <c r="G865" t="inlineStr">
        <is>
          <t>KRAMFORS</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1585-2024</t>
        </is>
      </c>
      <c r="B866" t="inlineStr">
        <is>
          <t>avverkningsanmälan</t>
        </is>
      </c>
      <c r="C866" t="inlineStr">
        <is>
          <t>Föryngringsavverkning</t>
        </is>
      </c>
      <c r="D866" s="1" t="n">
        <v>45306</v>
      </c>
      <c r="E866" s="1" t="n">
        <v>46220</v>
      </c>
      <c r="F866" t="inlineStr">
        <is>
          <t>VÄSTERNORRLANDS LÄN</t>
        </is>
      </c>
      <c r="G866" t="inlineStr">
        <is>
          <t>KRAMFORS</t>
        </is>
      </c>
      <c r="I866" t="n">
        <v>6.4</v>
      </c>
      <c r="J866" t="n">
        <v>0</v>
      </c>
      <c r="K866" t="n">
        <v>0</v>
      </c>
      <c r="L866" t="n">
        <v>0</v>
      </c>
      <c r="M866" t="n">
        <v>0</v>
      </c>
      <c r="N866" t="n">
        <v>0</v>
      </c>
      <c r="O866" t="n">
        <v>0</v>
      </c>
      <c r="P866" t="n">
        <v>0</v>
      </c>
      <c r="Q866" t="n">
        <v>0</v>
      </c>
      <c r="R866" t="n">
        <v>0</v>
      </c>
      <c r="S866" t="n">
        <v>0</v>
      </c>
      <c r="T866" t="n">
        <v>0</v>
      </c>
      <c r="U866" s="2" t="inlineStr"/>
    </row>
    <row r="867" ht="15" customHeight="1">
      <c r="A867" t="inlineStr">
        <is>
          <t>A 23256-2025</t>
        </is>
      </c>
      <c r="B867" t="inlineStr">
        <is>
          <t>avverkningsanmälan</t>
        </is>
      </c>
      <c r="C867" t="inlineStr">
        <is>
          <t>Föryngringsavverkning</t>
        </is>
      </c>
      <c r="D867" s="1" t="n">
        <v>45791</v>
      </c>
      <c r="E867" s="1" t="n">
        <v>46220</v>
      </c>
      <c r="F867" t="inlineStr">
        <is>
          <t>VÄSTERNORRLANDS LÄN</t>
        </is>
      </c>
      <c r="G867" t="inlineStr">
        <is>
          <t>KRAMFORS</t>
        </is>
      </c>
      <c r="I867" t="n">
        <v>3.5</v>
      </c>
      <c r="J867" t="n">
        <v>0</v>
      </c>
      <c r="K867" t="n">
        <v>0</v>
      </c>
      <c r="L867" t="n">
        <v>0</v>
      </c>
      <c r="M867" t="n">
        <v>0</v>
      </c>
      <c r="N867" t="n">
        <v>0</v>
      </c>
      <c r="O867" t="n">
        <v>0</v>
      </c>
      <c r="P867" t="n">
        <v>0</v>
      </c>
      <c r="Q867" t="n">
        <v>0</v>
      </c>
      <c r="R867" t="n">
        <v>0</v>
      </c>
      <c r="S867" t="n">
        <v>0</v>
      </c>
      <c r="T867" t="n">
        <v>0</v>
      </c>
      <c r="U867" s="2" t="inlineStr"/>
    </row>
    <row r="868" ht="15" customHeight="1">
      <c r="A868" t="inlineStr">
        <is>
          <t>A 30769-2024</t>
        </is>
      </c>
      <c r="B868" t="inlineStr">
        <is>
          <t>avverkningsanmälan</t>
        </is>
      </c>
      <c r="C868" t="inlineStr">
        <is>
          <t>Föryngringsavverkning</t>
        </is>
      </c>
      <c r="D868" s="1" t="n">
        <v>45496</v>
      </c>
      <c r="E868" s="1" t="n">
        <v>46220</v>
      </c>
      <c r="F868" t="inlineStr">
        <is>
          <t>VÄSTERNORRLANDS LÄN</t>
        </is>
      </c>
      <c r="G868" t="inlineStr">
        <is>
          <t>KRAMFORS</t>
        </is>
      </c>
      <c r="H868" t="inlineStr">
        <is>
          <t>Kyrkan</t>
        </is>
      </c>
      <c r="I868" t="n">
        <v>2.2</v>
      </c>
      <c r="J868" t="n">
        <v>0</v>
      </c>
      <c r="K868" t="n">
        <v>0</v>
      </c>
      <c r="L868" t="n">
        <v>0</v>
      </c>
      <c r="M868" t="n">
        <v>0</v>
      </c>
      <c r="N868" t="n">
        <v>0</v>
      </c>
      <c r="O868" t="n">
        <v>0</v>
      </c>
      <c r="P868" t="n">
        <v>0</v>
      </c>
      <c r="Q868" t="n">
        <v>0</v>
      </c>
      <c r="R868" t="n">
        <v>0</v>
      </c>
      <c r="S868" t="n">
        <v>0</v>
      </c>
      <c r="T868" t="n">
        <v>0</v>
      </c>
      <c r="U868" s="2" t="inlineStr"/>
    </row>
    <row r="869" ht="15" customHeight="1">
      <c r="A869" t="inlineStr">
        <is>
          <t>A 55241-2023</t>
        </is>
      </c>
      <c r="B869" t="inlineStr">
        <is>
          <t>avverkningsanmälan</t>
        </is>
      </c>
      <c r="C869" t="inlineStr">
        <is>
          <t>Föryngringsavverkning</t>
        </is>
      </c>
      <c r="D869" s="1" t="n">
        <v>45231</v>
      </c>
      <c r="E869" s="1" t="n">
        <v>46220</v>
      </c>
      <c r="F869" t="inlineStr">
        <is>
          <t>VÄSTERNORRLANDS LÄN</t>
        </is>
      </c>
      <c r="G869" t="inlineStr">
        <is>
          <t>KRAMFORS</t>
        </is>
      </c>
      <c r="I869" t="n">
        <v>6</v>
      </c>
      <c r="J869" t="n">
        <v>0</v>
      </c>
      <c r="K869" t="n">
        <v>0</v>
      </c>
      <c r="L869" t="n">
        <v>0</v>
      </c>
      <c r="M869" t="n">
        <v>0</v>
      </c>
      <c r="N869" t="n">
        <v>0</v>
      </c>
      <c r="O869" t="n">
        <v>0</v>
      </c>
      <c r="P869" t="n">
        <v>0</v>
      </c>
      <c r="Q869" t="n">
        <v>0</v>
      </c>
      <c r="R869" t="n">
        <v>0</v>
      </c>
      <c r="S869" t="n">
        <v>0</v>
      </c>
      <c r="T869" t="n">
        <v>0</v>
      </c>
      <c r="U869" s="2" t="inlineStr"/>
    </row>
    <row r="870" ht="15" customHeight="1">
      <c r="A870" t="inlineStr">
        <is>
          <t>A 22942-2025</t>
        </is>
      </c>
      <c r="B870" t="inlineStr">
        <is>
          <t>avverkningsanmälan</t>
        </is>
      </c>
      <c r="C870" t="inlineStr">
        <is>
          <t>Föryngringsavverkning</t>
        </is>
      </c>
      <c r="D870" s="1" t="n">
        <v>45790</v>
      </c>
      <c r="E870" s="1" t="n">
        <v>46220</v>
      </c>
      <c r="F870" t="inlineStr">
        <is>
          <t>VÄSTERNORRLANDS LÄN</t>
        </is>
      </c>
      <c r="G870" t="inlineStr">
        <is>
          <t>KRAMFORS</t>
        </is>
      </c>
      <c r="I870" t="n">
        <v>0.3</v>
      </c>
      <c r="J870" t="n">
        <v>0</v>
      </c>
      <c r="K870" t="n">
        <v>0</v>
      </c>
      <c r="L870" t="n">
        <v>0</v>
      </c>
      <c r="M870" t="n">
        <v>0</v>
      </c>
      <c r="N870" t="n">
        <v>0</v>
      </c>
      <c r="O870" t="n">
        <v>0</v>
      </c>
      <c r="P870" t="n">
        <v>0</v>
      </c>
      <c r="Q870" t="n">
        <v>0</v>
      </c>
      <c r="R870" t="n">
        <v>0</v>
      </c>
      <c r="S870" t="n">
        <v>0</v>
      </c>
      <c r="T870" t="n">
        <v>0</v>
      </c>
      <c r="U870" s="2" t="inlineStr"/>
    </row>
    <row r="871" ht="15" customHeight="1">
      <c r="A871" t="inlineStr">
        <is>
          <t>A 40187-2023</t>
        </is>
      </c>
      <c r="B871" t="inlineStr">
        <is>
          <t>avverkningsanmälan</t>
        </is>
      </c>
      <c r="C871" t="inlineStr">
        <is>
          <t>Föryngringsavverkning</t>
        </is>
      </c>
      <c r="D871" s="1" t="n">
        <v>45169</v>
      </c>
      <c r="E871" s="1" t="n">
        <v>46220</v>
      </c>
      <c r="F871" t="inlineStr">
        <is>
          <t>VÄSTERNORRLANDS LÄN</t>
        </is>
      </c>
      <c r="G871" t="inlineStr">
        <is>
          <t>KRAMFORS</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54672-2024</t>
        </is>
      </c>
      <c r="B872" t="inlineStr">
        <is>
          <t>avverkningsanmälan</t>
        </is>
      </c>
      <c r="C872" t="inlineStr">
        <is>
          <t>Föryngringsavverkning</t>
        </is>
      </c>
      <c r="D872" s="1" t="n">
        <v>45618</v>
      </c>
      <c r="E872" s="1" t="n">
        <v>46220</v>
      </c>
      <c r="F872" t="inlineStr">
        <is>
          <t>VÄSTERNORRLANDS LÄN</t>
        </is>
      </c>
      <c r="G872" t="inlineStr">
        <is>
          <t>KRAMFORS</t>
        </is>
      </c>
      <c r="I872" t="n">
        <v>6.9</v>
      </c>
      <c r="J872" t="n">
        <v>0</v>
      </c>
      <c r="K872" t="n">
        <v>0</v>
      </c>
      <c r="L872" t="n">
        <v>0</v>
      </c>
      <c r="M872" t="n">
        <v>0</v>
      </c>
      <c r="N872" t="n">
        <v>0</v>
      </c>
      <c r="O872" t="n">
        <v>0</v>
      </c>
      <c r="P872" t="n">
        <v>0</v>
      </c>
      <c r="Q872" t="n">
        <v>0</v>
      </c>
      <c r="R872" t="n">
        <v>0</v>
      </c>
      <c r="S872" t="n">
        <v>0</v>
      </c>
      <c r="T872" t="n">
        <v>0</v>
      </c>
      <c r="U872" s="2" t="inlineStr"/>
    </row>
    <row r="873" ht="15" customHeight="1">
      <c r="A873" t="inlineStr">
        <is>
          <t>A 43010-2024</t>
        </is>
      </c>
      <c r="B873" t="inlineStr">
        <is>
          <t>avverkningsanmälan</t>
        </is>
      </c>
      <c r="C873" t="inlineStr">
        <is>
          <t>Föryngringsavverkning</t>
        </is>
      </c>
      <c r="D873" s="1" t="n">
        <v>45567</v>
      </c>
      <c r="E873" s="1" t="n">
        <v>46220</v>
      </c>
      <c r="F873" t="inlineStr">
        <is>
          <t>VÄSTERNORRLANDS LÄN</t>
        </is>
      </c>
      <c r="G873" t="inlineStr">
        <is>
          <t>KRAMFORS</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23577-2025</t>
        </is>
      </c>
      <c r="B874" t="inlineStr">
        <is>
          <t>avverkningsanmälan</t>
        </is>
      </c>
      <c r="C874" t="inlineStr">
        <is>
          <t>Föryngringsavverkning</t>
        </is>
      </c>
      <c r="D874" s="1" t="n">
        <v>45792</v>
      </c>
      <c r="E874" s="1" t="n">
        <v>46220</v>
      </c>
      <c r="F874" t="inlineStr">
        <is>
          <t>VÄSTERNORRLANDS LÄN</t>
        </is>
      </c>
      <c r="G874" t="inlineStr">
        <is>
          <t>KRAMFORS</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S 6472-2022</t>
        </is>
      </c>
      <c r="B875" t="inlineStr">
        <is>
          <t>samrådsanmälan</t>
        </is>
      </c>
      <c r="C875" t="inlineStr">
        <is>
          <t>Annan skogsbruksåtgärd</t>
        </is>
      </c>
      <c r="D875" s="1" t="n">
        <v>44880</v>
      </c>
      <c r="E875" s="1" t="n">
        <v>46220</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S 580-2023</t>
        </is>
      </c>
      <c r="B876" t="inlineStr">
        <is>
          <t>samrådsanmälan</t>
        </is>
      </c>
      <c r="C876" t="inlineStr">
        <is>
          <t>Annan skogsbruksåtgärd</t>
        </is>
      </c>
      <c r="D876" s="1" t="n">
        <v>44971</v>
      </c>
      <c r="E876" s="1" t="n">
        <v>46220</v>
      </c>
      <c r="F876" t="inlineStr">
        <is>
          <t>VÄSTERNORRLANDS LÄN</t>
        </is>
      </c>
      <c r="G876" t="inlineStr">
        <is>
          <t>KRAMFORS</t>
        </is>
      </c>
      <c r="I876" t="n">
        <v>3.6</v>
      </c>
      <c r="J876" t="n">
        <v>0</v>
      </c>
      <c r="K876" t="n">
        <v>0</v>
      </c>
      <c r="L876" t="n">
        <v>0</v>
      </c>
      <c r="M876" t="n">
        <v>0</v>
      </c>
      <c r="N876" t="n">
        <v>0</v>
      </c>
      <c r="O876" t="n">
        <v>0</v>
      </c>
      <c r="P876" t="n">
        <v>0</v>
      </c>
      <c r="Q876" t="n">
        <v>0</v>
      </c>
      <c r="R876" t="n">
        <v>0</v>
      </c>
      <c r="S876" t="n">
        <v>0</v>
      </c>
      <c r="T876" t="n">
        <v>0</v>
      </c>
      <c r="U876" s="2" t="inlineStr"/>
    </row>
    <row r="877" ht="15" customHeight="1">
      <c r="A877" t="inlineStr">
        <is>
          <t>S 7195-2021</t>
        </is>
      </c>
      <c r="B877" t="inlineStr">
        <is>
          <t>samrådsanmälan</t>
        </is>
      </c>
      <c r="C877" t="inlineStr">
        <is>
          <t>Skogsbilväg</t>
        </is>
      </c>
      <c r="D877" s="1" t="n">
        <v>44467</v>
      </c>
      <c r="E877" s="1" t="n">
        <v>46220</v>
      </c>
      <c r="F877" t="inlineStr">
        <is>
          <t>VÄSTERNORRLANDS LÄN</t>
        </is>
      </c>
      <c r="G877" t="inlineStr">
        <is>
          <t>KRAMFORS</t>
        </is>
      </c>
      <c r="I877" t="n">
        <v>3.1</v>
      </c>
      <c r="J877" t="n">
        <v>0</v>
      </c>
      <c r="K877" t="n">
        <v>0</v>
      </c>
      <c r="L877" t="n">
        <v>0</v>
      </c>
      <c r="M877" t="n">
        <v>0</v>
      </c>
      <c r="N877" t="n">
        <v>0</v>
      </c>
      <c r="O877" t="n">
        <v>0</v>
      </c>
      <c r="P877" t="n">
        <v>0</v>
      </c>
      <c r="Q877" t="n">
        <v>0</v>
      </c>
      <c r="R877" t="n">
        <v>0</v>
      </c>
      <c r="S877" t="n">
        <v>0</v>
      </c>
      <c r="T877" t="n">
        <v>0</v>
      </c>
      <c r="U877" s="2" t="inlineStr"/>
    </row>
    <row r="878" ht="15" customHeight="1">
      <c r="A878" t="inlineStr">
        <is>
          <t>S 1107-2025</t>
        </is>
      </c>
      <c r="B878" t="inlineStr">
        <is>
          <t>samrådsanmälan</t>
        </is>
      </c>
      <c r="C878" t="inlineStr">
        <is>
          <t>Skogsgödsling</t>
        </is>
      </c>
      <c r="D878" s="1" t="n">
        <v>45751</v>
      </c>
      <c r="E878" s="1" t="n">
        <v>46220</v>
      </c>
      <c r="F878" t="inlineStr">
        <is>
          <t>VÄSTERNORRLANDS LÄN</t>
        </is>
      </c>
      <c r="G878" t="inlineStr">
        <is>
          <t>KRAMFORS</t>
        </is>
      </c>
      <c r="I878" t="n">
        <v>189.4</v>
      </c>
      <c r="J878" t="n">
        <v>0</v>
      </c>
      <c r="K878" t="n">
        <v>0</v>
      </c>
      <c r="L878" t="n">
        <v>0</v>
      </c>
      <c r="M878" t="n">
        <v>0</v>
      </c>
      <c r="N878" t="n">
        <v>0</v>
      </c>
      <c r="O878" t="n">
        <v>0</v>
      </c>
      <c r="P878" t="n">
        <v>0</v>
      </c>
      <c r="Q878" t="n">
        <v>0</v>
      </c>
      <c r="R878" t="n">
        <v>0</v>
      </c>
      <c r="S878" t="n">
        <v>0</v>
      </c>
      <c r="T878" t="n">
        <v>0</v>
      </c>
      <c r="U878" s="2" t="inlineStr"/>
    </row>
    <row r="879" ht="15" customHeight="1">
      <c r="A879" t="inlineStr">
        <is>
          <t>S 1102-2025</t>
        </is>
      </c>
      <c r="B879" t="inlineStr">
        <is>
          <t>samrådsanmälan</t>
        </is>
      </c>
      <c r="C879" t="inlineStr">
        <is>
          <t>Skogsgödsling</t>
        </is>
      </c>
      <c r="D879" s="1" t="n">
        <v>45751</v>
      </c>
      <c r="E879" s="1" t="n">
        <v>46220</v>
      </c>
      <c r="F879" t="inlineStr">
        <is>
          <t>VÄSTERNORRLANDS LÄN</t>
        </is>
      </c>
      <c r="G879" t="inlineStr">
        <is>
          <t>KRAMFORS</t>
        </is>
      </c>
      <c r="H879" t="inlineStr">
        <is>
          <t>SCA</t>
        </is>
      </c>
      <c r="I879" t="n">
        <v>62.2</v>
      </c>
      <c r="J879" t="n">
        <v>0</v>
      </c>
      <c r="K879" t="n">
        <v>0</v>
      </c>
      <c r="L879" t="n">
        <v>0</v>
      </c>
      <c r="M879" t="n">
        <v>0</v>
      </c>
      <c r="N879" t="n">
        <v>0</v>
      </c>
      <c r="O879" t="n">
        <v>0</v>
      </c>
      <c r="P879" t="n">
        <v>0</v>
      </c>
      <c r="Q879" t="n">
        <v>0</v>
      </c>
      <c r="R879" t="n">
        <v>0</v>
      </c>
      <c r="S879" t="n">
        <v>0</v>
      </c>
      <c r="T879" t="n">
        <v>0</v>
      </c>
      <c r="U879" s="2" t="inlineStr"/>
    </row>
    <row r="880" ht="15" customHeight="1">
      <c r="A880" t="inlineStr">
        <is>
          <t>S 1509-2025</t>
        </is>
      </c>
      <c r="B880" t="inlineStr">
        <is>
          <t>samrådsanmälan</t>
        </is>
      </c>
      <c r="C880" t="inlineStr">
        <is>
          <t>Skogsgödsling</t>
        </is>
      </c>
      <c r="D880" s="1" t="n">
        <v>45790</v>
      </c>
      <c r="E880" s="1" t="n">
        <v>46220</v>
      </c>
      <c r="F880" t="inlineStr">
        <is>
          <t>VÄSTERNORRLANDS LÄN</t>
        </is>
      </c>
      <c r="G880" t="inlineStr">
        <is>
          <t>KRAMFORS</t>
        </is>
      </c>
      <c r="H880" t="inlineStr">
        <is>
          <t>SCA</t>
        </is>
      </c>
      <c r="I880" t="n">
        <v>61</v>
      </c>
      <c r="J880" t="n">
        <v>0</v>
      </c>
      <c r="K880" t="n">
        <v>0</v>
      </c>
      <c r="L880" t="n">
        <v>0</v>
      </c>
      <c r="M880" t="n">
        <v>0</v>
      </c>
      <c r="N880" t="n">
        <v>0</v>
      </c>
      <c r="O880" t="n">
        <v>0</v>
      </c>
      <c r="P880" t="n">
        <v>0</v>
      </c>
      <c r="Q880" t="n">
        <v>0</v>
      </c>
      <c r="R880" t="n">
        <v>0</v>
      </c>
      <c r="S880" t="n">
        <v>0</v>
      </c>
      <c r="T880" t="n">
        <v>0</v>
      </c>
      <c r="U880" s="2" t="inlineStr"/>
    </row>
    <row r="881" ht="15" customHeight="1">
      <c r="A881" t="inlineStr">
        <is>
          <t>S 123-2026</t>
        </is>
      </c>
      <c r="B881" t="inlineStr">
        <is>
          <t>samrådsanmälan</t>
        </is>
      </c>
      <c r="C881" t="inlineStr">
        <is>
          <t>Traktorväg</t>
        </is>
      </c>
      <c r="D881" s="1" t="n">
        <v>46041</v>
      </c>
      <c r="E881" s="1" t="n">
        <v>46220</v>
      </c>
      <c r="F881" t="inlineStr">
        <is>
          <t>VÄSTERNORRLANDS LÄN</t>
        </is>
      </c>
      <c r="G881" t="inlineStr">
        <is>
          <t>KRAMFORS</t>
        </is>
      </c>
      <c r="I881" t="n">
        <v>7.1</v>
      </c>
      <c r="J881" t="n">
        <v>0</v>
      </c>
      <c r="K881" t="n">
        <v>0</v>
      </c>
      <c r="L881" t="n">
        <v>0</v>
      </c>
      <c r="M881" t="n">
        <v>0</v>
      </c>
      <c r="N881" t="n">
        <v>0</v>
      </c>
      <c r="O881" t="n">
        <v>0</v>
      </c>
      <c r="P881" t="n">
        <v>0</v>
      </c>
      <c r="Q881" t="n">
        <v>0</v>
      </c>
      <c r="R881" t="n">
        <v>0</v>
      </c>
      <c r="S881" t="n">
        <v>0</v>
      </c>
      <c r="T881" t="n">
        <v>0</v>
      </c>
      <c r="U881" s="2" t="inlineStr"/>
    </row>
    <row r="882" ht="15" customHeight="1">
      <c r="A882" t="inlineStr">
        <is>
          <t>S 531-2026</t>
        </is>
      </c>
      <c r="B882" t="inlineStr">
        <is>
          <t>samrådsanmälan</t>
        </is>
      </c>
      <c r="C882" t="inlineStr">
        <is>
          <t>Skogsgödsling</t>
        </is>
      </c>
      <c r="D882" s="1" t="n">
        <v>46078</v>
      </c>
      <c r="E882" s="1" t="n">
        <v>46220</v>
      </c>
      <c r="F882" t="inlineStr">
        <is>
          <t>VÄSTERNORRLANDS LÄN</t>
        </is>
      </c>
      <c r="G882" t="inlineStr">
        <is>
          <t>KRAMFORS</t>
        </is>
      </c>
      <c r="I882" t="n">
        <v>133.3</v>
      </c>
      <c r="J882" t="n">
        <v>0</v>
      </c>
      <c r="K882" t="n">
        <v>0</v>
      </c>
      <c r="L882" t="n">
        <v>0</v>
      </c>
      <c r="M882" t="n">
        <v>0</v>
      </c>
      <c r="N882" t="n">
        <v>0</v>
      </c>
      <c r="O882" t="n">
        <v>0</v>
      </c>
      <c r="P882" t="n">
        <v>0</v>
      </c>
      <c r="Q882" t="n">
        <v>0</v>
      </c>
      <c r="R882" t="n">
        <v>0</v>
      </c>
      <c r="S882" t="n">
        <v>0</v>
      </c>
      <c r="T882" t="n">
        <v>0</v>
      </c>
      <c r="U882" s="2" t="inlineStr"/>
    </row>
    <row r="883" ht="15" customHeight="1">
      <c r="A883" t="inlineStr">
        <is>
          <t>S 483-2026</t>
        </is>
      </c>
      <c r="B883" t="inlineStr">
        <is>
          <t>samrådsanmälan</t>
        </is>
      </c>
      <c r="C883" t="inlineStr">
        <is>
          <t>Skogsgödsling</t>
        </is>
      </c>
      <c r="D883" s="1" t="n">
        <v>46073</v>
      </c>
      <c r="E883" s="1" t="n">
        <v>46220</v>
      </c>
      <c r="F883" t="inlineStr">
        <is>
          <t>VÄSTERNORRLANDS LÄN</t>
        </is>
      </c>
      <c r="G883" t="inlineStr">
        <is>
          <t>KRAMFORS</t>
        </is>
      </c>
      <c r="I883" t="n">
        <v>26.8</v>
      </c>
      <c r="J883" t="n">
        <v>0</v>
      </c>
      <c r="K883" t="n">
        <v>0</v>
      </c>
      <c r="L883" t="n">
        <v>0</v>
      </c>
      <c r="M883" t="n">
        <v>0</v>
      </c>
      <c r="N883" t="n">
        <v>0</v>
      </c>
      <c r="O883" t="n">
        <v>0</v>
      </c>
      <c r="P883" t="n">
        <v>0</v>
      </c>
      <c r="Q883" t="n">
        <v>0</v>
      </c>
      <c r="R883" t="n">
        <v>0</v>
      </c>
      <c r="S883" t="n">
        <v>0</v>
      </c>
      <c r="T883" t="n">
        <v>0</v>
      </c>
      <c r="U883" s="2" t="inlineStr"/>
    </row>
    <row r="884">
      <c r="A884" t="inlineStr">
        <is>
          <t>S 1224-2026</t>
        </is>
      </c>
      <c r="B884" t="inlineStr">
        <is>
          <t>samrådsanmälan</t>
        </is>
      </c>
      <c r="C884" t="inlineStr">
        <is>
          <t>Traktorväg</t>
        </is>
      </c>
      <c r="D884" s="1" t="n">
        <v>46142</v>
      </c>
      <c r="E884" s="1" t="n">
        <v>46220</v>
      </c>
      <c r="F884" t="inlineStr">
        <is>
          <t>VÄSTERNORRLANDS LÄN</t>
        </is>
      </c>
      <c r="G884" t="inlineStr">
        <is>
          <t>KRAMFORS</t>
        </is>
      </c>
      <c r="I884" t="n">
        <v>2</v>
      </c>
      <c r="J884" t="n">
        <v>0</v>
      </c>
      <c r="K884" t="n">
        <v>0</v>
      </c>
      <c r="L884" t="n">
        <v>0</v>
      </c>
      <c r="M884" t="n">
        <v>0</v>
      </c>
      <c r="N884" t="n">
        <v>0</v>
      </c>
      <c r="O884" t="n">
        <v>0</v>
      </c>
      <c r="P884" t="n">
        <v>0</v>
      </c>
      <c r="Q884" t="n">
        <v>0</v>
      </c>
      <c r="R884" t="n">
        <v>0</v>
      </c>
      <c r="S884" t="n">
        <v>0</v>
      </c>
      <c r="T884" t="n">
        <v>0</v>
      </c>
      <c r="U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2026-07-17T01:40:35Z</dcterms:created>
  <dcterms:modified xmlns:dcterms="http://purl.org/dc/terms/" xmlns:xsi="http://www.w3.org/2001/XMLSchema-instance" xsi:type="dcterms:W3CDTF">2026-07-17T01:40:37Z</dcterms:modified>
</cp:coreProperties>
</file>