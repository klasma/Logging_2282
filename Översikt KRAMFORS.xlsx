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45786</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45786</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45786</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45786</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45786</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45786</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45786</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45786</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45786</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45786</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45786</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45786</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45786</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45786</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45786</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45786</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45786</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45786</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45786</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45786</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45786</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45786</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45786</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45786</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45786</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45786</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45786</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45786</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45786</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45786</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45786</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45786</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45786</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45786</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8078-2021</t>
        </is>
      </c>
      <c r="B67" s="1" t="n">
        <v>44243</v>
      </c>
      <c r="C67" s="1" t="n">
        <v>45786</v>
      </c>
      <c r="D67" t="inlineStr">
        <is>
          <t>VÄSTERNORRLANDS LÄN</t>
        </is>
      </c>
      <c r="E67" t="inlineStr">
        <is>
          <t>KRAMFORS</t>
        </is>
      </c>
      <c r="G67" t="n">
        <v>27.7</v>
      </c>
      <c r="H67" t="n">
        <v>1</v>
      </c>
      <c r="I67" t="n">
        <v>0</v>
      </c>
      <c r="J67" t="n">
        <v>1</v>
      </c>
      <c r="K67" t="n">
        <v>0</v>
      </c>
      <c r="L67" t="n">
        <v>0</v>
      </c>
      <c r="M67" t="n">
        <v>0</v>
      </c>
      <c r="N67" t="n">
        <v>0</v>
      </c>
      <c r="O67" t="n">
        <v>1</v>
      </c>
      <c r="P67" t="n">
        <v>0</v>
      </c>
      <c r="Q67" t="n">
        <v>1</v>
      </c>
      <c r="R67" s="2" t="inlineStr">
        <is>
          <t>Fjällvråk</t>
        </is>
      </c>
      <c r="S67">
        <f>HYPERLINK("https://klasma.github.io/Logging_2282/artfynd/A 8078-2021 artfynd.xlsx", "A 8078-2021")</f>
        <v/>
      </c>
      <c r="T67">
        <f>HYPERLINK("https://klasma.github.io/Logging_2282/kartor/A 8078-2021 karta.png", "A 8078-2021")</f>
        <v/>
      </c>
      <c r="V67">
        <f>HYPERLINK("https://klasma.github.io/Logging_2282/klagomål/A 8078-2021 FSC-klagomål.docx", "A 8078-2021")</f>
        <v/>
      </c>
      <c r="W67">
        <f>HYPERLINK("https://klasma.github.io/Logging_2282/klagomålsmail/A 8078-2021 FSC-klagomål mail.docx", "A 8078-2021")</f>
        <v/>
      </c>
      <c r="X67">
        <f>HYPERLINK("https://klasma.github.io/Logging_2282/tillsyn/A 8078-2021 tillsynsbegäran.docx", "A 8078-2021")</f>
        <v/>
      </c>
      <c r="Y67">
        <f>HYPERLINK("https://klasma.github.io/Logging_2282/tillsynsmail/A 8078-2021 tillsynsbegäran mail.docx", "A 8078-2021")</f>
        <v/>
      </c>
      <c r="Z67">
        <f>HYPERLINK("https://klasma.github.io/Logging_2282/fåglar/A 8078-2021 prioriterade fågelarter.docx", "A 8078-2021")</f>
        <v/>
      </c>
    </row>
    <row r="68" ht="15" customHeight="1">
      <c r="A68" t="inlineStr">
        <is>
          <t>A 19437-2021</t>
        </is>
      </c>
      <c r="B68" s="1" t="n">
        <v>44310</v>
      </c>
      <c r="C68" s="1" t="n">
        <v>45786</v>
      </c>
      <c r="D68" t="inlineStr">
        <is>
          <t>VÄSTERNORRLANDS LÄN</t>
        </is>
      </c>
      <c r="E68" t="inlineStr">
        <is>
          <t>KRAMFORS</t>
        </is>
      </c>
      <c r="G68" t="n">
        <v>6.7</v>
      </c>
      <c r="H68" t="n">
        <v>1</v>
      </c>
      <c r="I68" t="n">
        <v>0</v>
      </c>
      <c r="J68" t="n">
        <v>0</v>
      </c>
      <c r="K68" t="n">
        <v>0</v>
      </c>
      <c r="L68" t="n">
        <v>0</v>
      </c>
      <c r="M68" t="n">
        <v>0</v>
      </c>
      <c r="N68" t="n">
        <v>0</v>
      </c>
      <c r="O68" t="n">
        <v>0</v>
      </c>
      <c r="P68" t="n">
        <v>0</v>
      </c>
      <c r="Q68" t="n">
        <v>1</v>
      </c>
      <c r="R68" s="2" t="inlineStr">
        <is>
          <t>Tjäder</t>
        </is>
      </c>
      <c r="S68">
        <f>HYPERLINK("https://klasma.github.io/Logging_2282/artfynd/A 19437-2021 artfynd.xlsx", "A 19437-2021")</f>
        <v/>
      </c>
      <c r="T68">
        <f>HYPERLINK("https://klasma.github.io/Logging_2282/kartor/A 19437-2021 karta.png", "A 19437-2021")</f>
        <v/>
      </c>
      <c r="V68">
        <f>HYPERLINK("https://klasma.github.io/Logging_2282/klagomål/A 19437-2021 FSC-klagomål.docx", "A 19437-2021")</f>
        <v/>
      </c>
      <c r="W68">
        <f>HYPERLINK("https://klasma.github.io/Logging_2282/klagomålsmail/A 19437-2021 FSC-klagomål mail.docx", "A 19437-2021")</f>
        <v/>
      </c>
      <c r="X68">
        <f>HYPERLINK("https://klasma.github.io/Logging_2282/tillsyn/A 19437-2021 tillsynsbegäran.docx", "A 19437-2021")</f>
        <v/>
      </c>
      <c r="Y68">
        <f>HYPERLINK("https://klasma.github.io/Logging_2282/tillsynsmail/A 19437-2021 tillsynsbegäran mail.docx", "A 19437-2021")</f>
        <v/>
      </c>
      <c r="Z68">
        <f>HYPERLINK("https://klasma.github.io/Logging_2282/fåglar/A 19437-2021 prioriterade fågelarter.docx", "A 19437-2021")</f>
        <v/>
      </c>
    </row>
    <row r="69" ht="15" customHeight="1">
      <c r="A69" t="inlineStr">
        <is>
          <t>A 20741-2021</t>
        </is>
      </c>
      <c r="B69" s="1" t="n">
        <v>44316</v>
      </c>
      <c r="C69" s="1" t="n">
        <v>45786</v>
      </c>
      <c r="D69" t="inlineStr">
        <is>
          <t>VÄSTERNORRLANDS LÄN</t>
        </is>
      </c>
      <c r="E69" t="inlineStr">
        <is>
          <t>KRAMFORS</t>
        </is>
      </c>
      <c r="G69" t="n">
        <v>4.9</v>
      </c>
      <c r="H69" t="n">
        <v>0</v>
      </c>
      <c r="I69" t="n">
        <v>1</v>
      </c>
      <c r="J69" t="n">
        <v>0</v>
      </c>
      <c r="K69" t="n">
        <v>0</v>
      </c>
      <c r="L69" t="n">
        <v>0</v>
      </c>
      <c r="M69" t="n">
        <v>0</v>
      </c>
      <c r="N69" t="n">
        <v>0</v>
      </c>
      <c r="O69" t="n">
        <v>0</v>
      </c>
      <c r="P69" t="n">
        <v>0</v>
      </c>
      <c r="Q69" t="n">
        <v>1</v>
      </c>
      <c r="R69" s="2" t="inlineStr">
        <is>
          <t>Vedticka</t>
        </is>
      </c>
      <c r="S69">
        <f>HYPERLINK("https://klasma.github.io/Logging_2282/artfynd/A 20741-2021 artfynd.xlsx", "A 20741-2021")</f>
        <v/>
      </c>
      <c r="T69">
        <f>HYPERLINK("https://klasma.github.io/Logging_2282/kartor/A 20741-2021 karta.png", "A 20741-2021")</f>
        <v/>
      </c>
      <c r="V69">
        <f>HYPERLINK("https://klasma.github.io/Logging_2282/klagomål/A 20741-2021 FSC-klagomål.docx", "A 20741-2021")</f>
        <v/>
      </c>
      <c r="W69">
        <f>HYPERLINK("https://klasma.github.io/Logging_2282/klagomålsmail/A 20741-2021 FSC-klagomål mail.docx", "A 20741-2021")</f>
        <v/>
      </c>
      <c r="X69">
        <f>HYPERLINK("https://klasma.github.io/Logging_2282/tillsyn/A 20741-2021 tillsynsbegäran.docx", "A 20741-2021")</f>
        <v/>
      </c>
      <c r="Y69">
        <f>HYPERLINK("https://klasma.github.io/Logging_2282/tillsynsmail/A 20741-2021 tillsynsbegäran mail.docx", "A 20741-2021")</f>
        <v/>
      </c>
    </row>
    <row r="70" ht="15" customHeight="1">
      <c r="A70" t="inlineStr">
        <is>
          <t>A 22382-2022</t>
        </is>
      </c>
      <c r="B70" s="1" t="n">
        <v>44713</v>
      </c>
      <c r="C70" s="1" t="n">
        <v>45786</v>
      </c>
      <c r="D70" t="inlineStr">
        <is>
          <t>VÄSTERNORRLANDS LÄN</t>
        </is>
      </c>
      <c r="E70" t="inlineStr">
        <is>
          <t>KRAMFORS</t>
        </is>
      </c>
      <c r="G70" t="n">
        <v>1.5</v>
      </c>
      <c r="H70" t="n">
        <v>1</v>
      </c>
      <c r="I70" t="n">
        <v>0</v>
      </c>
      <c r="J70" t="n">
        <v>1</v>
      </c>
      <c r="K70" t="n">
        <v>0</v>
      </c>
      <c r="L70" t="n">
        <v>0</v>
      </c>
      <c r="M70" t="n">
        <v>0</v>
      </c>
      <c r="N70" t="n">
        <v>0</v>
      </c>
      <c r="O70" t="n">
        <v>1</v>
      </c>
      <c r="P70" t="n">
        <v>0</v>
      </c>
      <c r="Q70" t="n">
        <v>1</v>
      </c>
      <c r="R70" s="2" t="inlineStr">
        <is>
          <t>Spillkråka</t>
        </is>
      </c>
      <c r="S70">
        <f>HYPERLINK("https://klasma.github.io/Logging_2282/artfynd/A 22382-2022 artfynd.xlsx", "A 22382-2022")</f>
        <v/>
      </c>
      <c r="T70">
        <f>HYPERLINK("https://klasma.github.io/Logging_2282/kartor/A 22382-2022 karta.png", "A 22382-2022")</f>
        <v/>
      </c>
      <c r="V70">
        <f>HYPERLINK("https://klasma.github.io/Logging_2282/klagomål/A 22382-2022 FSC-klagomål.docx", "A 22382-2022")</f>
        <v/>
      </c>
      <c r="W70">
        <f>HYPERLINK("https://klasma.github.io/Logging_2282/klagomålsmail/A 22382-2022 FSC-klagomål mail.docx", "A 22382-2022")</f>
        <v/>
      </c>
      <c r="X70">
        <f>HYPERLINK("https://klasma.github.io/Logging_2282/tillsyn/A 22382-2022 tillsynsbegäran.docx", "A 22382-2022")</f>
        <v/>
      </c>
      <c r="Y70">
        <f>HYPERLINK("https://klasma.github.io/Logging_2282/tillsynsmail/A 22382-2022 tillsynsbegäran mail.docx", "A 22382-2022")</f>
        <v/>
      </c>
      <c r="Z70">
        <f>HYPERLINK("https://klasma.github.io/Logging_2282/fåglar/A 22382-2022 prioriterade fågelarter.docx", "A 22382-2022")</f>
        <v/>
      </c>
    </row>
    <row r="71" ht="15" customHeight="1">
      <c r="A71" t="inlineStr">
        <is>
          <t>A 21885-2023</t>
        </is>
      </c>
      <c r="B71" s="1" t="n">
        <v>45065</v>
      </c>
      <c r="C71" s="1" t="n">
        <v>45786</v>
      </c>
      <c r="D71" t="inlineStr">
        <is>
          <t>VÄSTERNORRLANDS LÄN</t>
        </is>
      </c>
      <c r="E71" t="inlineStr">
        <is>
          <t>KRAMFORS</t>
        </is>
      </c>
      <c r="G71" t="n">
        <v>1.9</v>
      </c>
      <c r="H71" t="n">
        <v>0</v>
      </c>
      <c r="I71" t="n">
        <v>1</v>
      </c>
      <c r="J71" t="n">
        <v>0</v>
      </c>
      <c r="K71" t="n">
        <v>0</v>
      </c>
      <c r="L71" t="n">
        <v>0</v>
      </c>
      <c r="M71" t="n">
        <v>0</v>
      </c>
      <c r="N71" t="n">
        <v>0</v>
      </c>
      <c r="O71" t="n">
        <v>0</v>
      </c>
      <c r="P71" t="n">
        <v>0</v>
      </c>
      <c r="Q71" t="n">
        <v>1</v>
      </c>
      <c r="R71" s="2" t="inlineStr">
        <is>
          <t>Svart trolldruva</t>
        </is>
      </c>
      <c r="S71">
        <f>HYPERLINK("https://klasma.github.io/Logging_2282/artfynd/A 21885-2023 artfynd.xlsx", "A 21885-2023")</f>
        <v/>
      </c>
      <c r="T71">
        <f>HYPERLINK("https://klasma.github.io/Logging_2282/kartor/A 21885-2023 karta.png", "A 21885-2023")</f>
        <v/>
      </c>
      <c r="V71">
        <f>HYPERLINK("https://klasma.github.io/Logging_2282/klagomål/A 21885-2023 FSC-klagomål.docx", "A 21885-2023")</f>
        <v/>
      </c>
      <c r="W71">
        <f>HYPERLINK("https://klasma.github.io/Logging_2282/klagomålsmail/A 21885-2023 FSC-klagomål mail.docx", "A 21885-2023")</f>
        <v/>
      </c>
      <c r="X71">
        <f>HYPERLINK("https://klasma.github.io/Logging_2282/tillsyn/A 21885-2023 tillsynsbegäran.docx", "A 21885-2023")</f>
        <v/>
      </c>
      <c r="Y71">
        <f>HYPERLINK("https://klasma.github.io/Logging_2282/tillsynsmail/A 21885-2023 tillsynsbegäran mail.docx", "A 21885-2023")</f>
        <v/>
      </c>
    </row>
    <row r="72" ht="15" customHeight="1">
      <c r="A72" t="inlineStr">
        <is>
          <t>A 29073-2023</t>
        </is>
      </c>
      <c r="B72" s="1" t="n">
        <v>45105</v>
      </c>
      <c r="C72" s="1" t="n">
        <v>45786</v>
      </c>
      <c r="D72" t="inlineStr">
        <is>
          <t>VÄSTERNORRLANDS LÄN</t>
        </is>
      </c>
      <c r="E72" t="inlineStr">
        <is>
          <t>KRAMFORS</t>
        </is>
      </c>
      <c r="F72" t="inlineStr">
        <is>
          <t>SCA</t>
        </is>
      </c>
      <c r="G72" t="n">
        <v>5.5</v>
      </c>
      <c r="H72" t="n">
        <v>1</v>
      </c>
      <c r="I72" t="n">
        <v>0</v>
      </c>
      <c r="J72" t="n">
        <v>1</v>
      </c>
      <c r="K72" t="n">
        <v>0</v>
      </c>
      <c r="L72" t="n">
        <v>0</v>
      </c>
      <c r="M72" t="n">
        <v>0</v>
      </c>
      <c r="N72" t="n">
        <v>0</v>
      </c>
      <c r="O72" t="n">
        <v>1</v>
      </c>
      <c r="P72" t="n">
        <v>0</v>
      </c>
      <c r="Q72" t="n">
        <v>1</v>
      </c>
      <c r="R72" s="2" t="inlineStr">
        <is>
          <t>Tretåig hackspett</t>
        </is>
      </c>
      <c r="S72">
        <f>HYPERLINK("https://klasma.github.io/Logging_2282/artfynd/A 29073-2023 artfynd.xlsx", "A 29073-2023")</f>
        <v/>
      </c>
      <c r="T72">
        <f>HYPERLINK("https://klasma.github.io/Logging_2282/kartor/A 29073-2023 karta.png", "A 29073-2023")</f>
        <v/>
      </c>
      <c r="U72">
        <f>HYPERLINK("https://klasma.github.io/Logging_2282/knärot/A 29073-2023 karta knärot.png", "A 29073-2023")</f>
        <v/>
      </c>
      <c r="V72">
        <f>HYPERLINK("https://klasma.github.io/Logging_2282/klagomål/A 29073-2023 FSC-klagomål.docx", "A 29073-2023")</f>
        <v/>
      </c>
      <c r="W72">
        <f>HYPERLINK("https://klasma.github.io/Logging_2282/klagomålsmail/A 29073-2023 FSC-klagomål mail.docx", "A 29073-2023")</f>
        <v/>
      </c>
      <c r="X72">
        <f>HYPERLINK("https://klasma.github.io/Logging_2282/tillsyn/A 29073-2023 tillsynsbegäran.docx", "A 29073-2023")</f>
        <v/>
      </c>
      <c r="Y72">
        <f>HYPERLINK("https://klasma.github.io/Logging_2282/tillsynsmail/A 29073-2023 tillsynsbegäran mail.docx", "A 29073-2023")</f>
        <v/>
      </c>
      <c r="Z72">
        <f>HYPERLINK("https://klasma.github.io/Logging_2282/fåglar/A 29073-2023 prioriterade fågelarter.docx", "A 29073-2023")</f>
        <v/>
      </c>
    </row>
    <row r="73" ht="15" customHeight="1">
      <c r="A73" t="inlineStr">
        <is>
          <t>A 45947-2023</t>
        </is>
      </c>
      <c r="B73" s="1" t="n">
        <v>45195</v>
      </c>
      <c r="C73" s="1" t="n">
        <v>45786</v>
      </c>
      <c r="D73" t="inlineStr">
        <is>
          <t>VÄSTERNORRLANDS LÄN</t>
        </is>
      </c>
      <c r="E73" t="inlineStr">
        <is>
          <t>KRAMFORS</t>
        </is>
      </c>
      <c r="F73" t="inlineStr">
        <is>
          <t>SCA</t>
        </is>
      </c>
      <c r="G73" t="n">
        <v>1.7</v>
      </c>
      <c r="H73" t="n">
        <v>0</v>
      </c>
      <c r="I73" t="n">
        <v>1</v>
      </c>
      <c r="J73" t="n">
        <v>0</v>
      </c>
      <c r="K73" t="n">
        <v>0</v>
      </c>
      <c r="L73" t="n">
        <v>0</v>
      </c>
      <c r="M73" t="n">
        <v>0</v>
      </c>
      <c r="N73" t="n">
        <v>0</v>
      </c>
      <c r="O73" t="n">
        <v>0</v>
      </c>
      <c r="P73" t="n">
        <v>0</v>
      </c>
      <c r="Q73" t="n">
        <v>1</v>
      </c>
      <c r="R73" s="2" t="inlineStr">
        <is>
          <t>Kattfotslav</t>
        </is>
      </c>
      <c r="S73">
        <f>HYPERLINK("https://klasma.github.io/Logging_2282/artfynd/A 45947-2023 artfynd.xlsx", "A 45947-2023")</f>
        <v/>
      </c>
      <c r="T73">
        <f>HYPERLINK("https://klasma.github.io/Logging_2282/kartor/A 45947-2023 karta.png", "A 45947-2023")</f>
        <v/>
      </c>
      <c r="V73">
        <f>HYPERLINK("https://klasma.github.io/Logging_2282/klagomål/A 45947-2023 FSC-klagomål.docx", "A 45947-2023")</f>
        <v/>
      </c>
      <c r="W73">
        <f>HYPERLINK("https://klasma.github.io/Logging_2282/klagomålsmail/A 45947-2023 FSC-klagomål mail.docx", "A 45947-2023")</f>
        <v/>
      </c>
      <c r="X73">
        <f>HYPERLINK("https://klasma.github.io/Logging_2282/tillsyn/A 45947-2023 tillsynsbegäran.docx", "A 45947-2023")</f>
        <v/>
      </c>
      <c r="Y73">
        <f>HYPERLINK("https://klasma.github.io/Logging_2282/tillsynsmail/A 45947-2023 tillsynsbegäran mail.docx", "A 45947-2023")</f>
        <v/>
      </c>
    </row>
    <row r="74" ht="15" customHeight="1">
      <c r="A74" t="inlineStr">
        <is>
          <t>A 48970-2023</t>
        </is>
      </c>
      <c r="B74" s="1" t="n">
        <v>45204</v>
      </c>
      <c r="C74" s="1" t="n">
        <v>45786</v>
      </c>
      <c r="D74" t="inlineStr">
        <is>
          <t>VÄSTERNORRLANDS LÄN</t>
        </is>
      </c>
      <c r="E74" t="inlineStr">
        <is>
          <t>KRAMFORS</t>
        </is>
      </c>
      <c r="G74" t="n">
        <v>3.9</v>
      </c>
      <c r="H74" t="n">
        <v>1</v>
      </c>
      <c r="I74" t="n">
        <v>0</v>
      </c>
      <c r="J74" t="n">
        <v>1</v>
      </c>
      <c r="K74" t="n">
        <v>0</v>
      </c>
      <c r="L74" t="n">
        <v>0</v>
      </c>
      <c r="M74" t="n">
        <v>0</v>
      </c>
      <c r="N74" t="n">
        <v>0</v>
      </c>
      <c r="O74" t="n">
        <v>1</v>
      </c>
      <c r="P74" t="n">
        <v>0</v>
      </c>
      <c r="Q74" t="n">
        <v>1</v>
      </c>
      <c r="R74" s="2" t="inlineStr">
        <is>
          <t>Tretåig hackspett</t>
        </is>
      </c>
      <c r="S74">
        <f>HYPERLINK("https://klasma.github.io/Logging_2282/artfynd/A 48970-2023 artfynd.xlsx", "A 48970-2023")</f>
        <v/>
      </c>
      <c r="T74">
        <f>HYPERLINK("https://klasma.github.io/Logging_2282/kartor/A 48970-2023 karta.png", "A 48970-2023")</f>
        <v/>
      </c>
      <c r="V74">
        <f>HYPERLINK("https://klasma.github.io/Logging_2282/klagomål/A 48970-2023 FSC-klagomål.docx", "A 48970-2023")</f>
        <v/>
      </c>
      <c r="W74">
        <f>HYPERLINK("https://klasma.github.io/Logging_2282/klagomålsmail/A 48970-2023 FSC-klagomål mail.docx", "A 48970-2023")</f>
        <v/>
      </c>
      <c r="X74">
        <f>HYPERLINK("https://klasma.github.io/Logging_2282/tillsyn/A 48970-2023 tillsynsbegäran.docx", "A 48970-2023")</f>
        <v/>
      </c>
      <c r="Y74">
        <f>HYPERLINK("https://klasma.github.io/Logging_2282/tillsynsmail/A 48970-2023 tillsynsbegäran mail.docx", "A 48970-2023")</f>
        <v/>
      </c>
      <c r="Z74">
        <f>HYPERLINK("https://klasma.github.io/Logging_2282/fåglar/A 48970-2023 prioriterade fågelarter.docx", "A 48970-2023")</f>
        <v/>
      </c>
    </row>
    <row r="75" ht="15" customHeight="1">
      <c r="A75" t="inlineStr">
        <is>
          <t>A 49656-2023</t>
        </is>
      </c>
      <c r="B75" s="1" t="n">
        <v>45211</v>
      </c>
      <c r="C75" s="1" t="n">
        <v>45786</v>
      </c>
      <c r="D75" t="inlineStr">
        <is>
          <t>VÄSTERNORRLANDS LÄN</t>
        </is>
      </c>
      <c r="E75" t="inlineStr">
        <is>
          <t>KRAMFORS</t>
        </is>
      </c>
      <c r="F75" t="inlineStr">
        <is>
          <t>SCA</t>
        </is>
      </c>
      <c r="G75" t="n">
        <v>2.9</v>
      </c>
      <c r="H75" t="n">
        <v>0</v>
      </c>
      <c r="I75" t="n">
        <v>0</v>
      </c>
      <c r="J75" t="n">
        <v>1</v>
      </c>
      <c r="K75" t="n">
        <v>0</v>
      </c>
      <c r="L75" t="n">
        <v>0</v>
      </c>
      <c r="M75" t="n">
        <v>0</v>
      </c>
      <c r="N75" t="n">
        <v>0</v>
      </c>
      <c r="O75" t="n">
        <v>1</v>
      </c>
      <c r="P75" t="n">
        <v>0</v>
      </c>
      <c r="Q75" t="n">
        <v>1</v>
      </c>
      <c r="R75" s="2" t="inlineStr">
        <is>
          <t>Rosenticka</t>
        </is>
      </c>
      <c r="S75">
        <f>HYPERLINK("https://klasma.github.io/Logging_2282/artfynd/A 49656-2023 artfynd.xlsx", "A 49656-2023")</f>
        <v/>
      </c>
      <c r="T75">
        <f>HYPERLINK("https://klasma.github.io/Logging_2282/kartor/A 49656-2023 karta.png", "A 49656-2023")</f>
        <v/>
      </c>
      <c r="V75">
        <f>HYPERLINK("https://klasma.github.io/Logging_2282/klagomål/A 49656-2023 FSC-klagomål.docx", "A 49656-2023")</f>
        <v/>
      </c>
      <c r="W75">
        <f>HYPERLINK("https://klasma.github.io/Logging_2282/klagomålsmail/A 49656-2023 FSC-klagomål mail.docx", "A 49656-2023")</f>
        <v/>
      </c>
      <c r="X75">
        <f>HYPERLINK("https://klasma.github.io/Logging_2282/tillsyn/A 49656-2023 tillsynsbegäran.docx", "A 49656-2023")</f>
        <v/>
      </c>
      <c r="Y75">
        <f>HYPERLINK("https://klasma.github.io/Logging_2282/tillsynsmail/A 49656-2023 tillsynsbegäran mail.docx", "A 49656-2023")</f>
        <v/>
      </c>
    </row>
    <row r="76" ht="15" customHeight="1">
      <c r="A76" t="inlineStr">
        <is>
          <t>A 55626-2023</t>
        </is>
      </c>
      <c r="B76" s="1" t="n">
        <v>45238</v>
      </c>
      <c r="C76" s="1" t="n">
        <v>45786</v>
      </c>
      <c r="D76" t="inlineStr">
        <is>
          <t>VÄSTERNORRLANDS LÄN</t>
        </is>
      </c>
      <c r="E76" t="inlineStr">
        <is>
          <t>KRAMFORS</t>
        </is>
      </c>
      <c r="G76" t="n">
        <v>8</v>
      </c>
      <c r="H76" t="n">
        <v>0</v>
      </c>
      <c r="I76" t="n">
        <v>0</v>
      </c>
      <c r="J76" t="n">
        <v>1</v>
      </c>
      <c r="K76" t="n">
        <v>0</v>
      </c>
      <c r="L76" t="n">
        <v>0</v>
      </c>
      <c r="M76" t="n">
        <v>0</v>
      </c>
      <c r="N76" t="n">
        <v>0</v>
      </c>
      <c r="O76" t="n">
        <v>1</v>
      </c>
      <c r="P76" t="n">
        <v>0</v>
      </c>
      <c r="Q76" t="n">
        <v>1</v>
      </c>
      <c r="R76" s="2" t="inlineStr">
        <is>
          <t>Gränsticka</t>
        </is>
      </c>
      <c r="S76">
        <f>HYPERLINK("https://klasma.github.io/Logging_2282/artfynd/A 55626-2023 artfynd.xlsx", "A 55626-2023")</f>
        <v/>
      </c>
      <c r="T76">
        <f>HYPERLINK("https://klasma.github.io/Logging_2282/kartor/A 55626-2023 karta.png", "A 55626-2023")</f>
        <v/>
      </c>
      <c r="V76">
        <f>HYPERLINK("https://klasma.github.io/Logging_2282/klagomål/A 55626-2023 FSC-klagomål.docx", "A 55626-2023")</f>
        <v/>
      </c>
      <c r="W76">
        <f>HYPERLINK("https://klasma.github.io/Logging_2282/klagomålsmail/A 55626-2023 FSC-klagomål mail.docx", "A 55626-2023")</f>
        <v/>
      </c>
      <c r="X76">
        <f>HYPERLINK("https://klasma.github.io/Logging_2282/tillsyn/A 55626-2023 tillsynsbegäran.docx", "A 55626-2023")</f>
        <v/>
      </c>
      <c r="Y76">
        <f>HYPERLINK("https://klasma.github.io/Logging_2282/tillsynsmail/A 55626-2023 tillsynsbegäran mail.docx", "A 55626-2023")</f>
        <v/>
      </c>
    </row>
    <row r="77" ht="15" customHeight="1">
      <c r="A77" t="inlineStr">
        <is>
          <t>A 57056-2023</t>
        </is>
      </c>
      <c r="B77" s="1" t="n">
        <v>45244</v>
      </c>
      <c r="C77" s="1" t="n">
        <v>45786</v>
      </c>
      <c r="D77" t="inlineStr">
        <is>
          <t>VÄSTERNORRLANDS LÄN</t>
        </is>
      </c>
      <c r="E77" t="inlineStr">
        <is>
          <t>KRAMFORS</t>
        </is>
      </c>
      <c r="G77" t="n">
        <v>15.9</v>
      </c>
      <c r="H77" t="n">
        <v>0</v>
      </c>
      <c r="I77" t="n">
        <v>0</v>
      </c>
      <c r="J77" t="n">
        <v>1</v>
      </c>
      <c r="K77" t="n">
        <v>0</v>
      </c>
      <c r="L77" t="n">
        <v>0</v>
      </c>
      <c r="M77" t="n">
        <v>0</v>
      </c>
      <c r="N77" t="n">
        <v>0</v>
      </c>
      <c r="O77" t="n">
        <v>1</v>
      </c>
      <c r="P77" t="n">
        <v>0</v>
      </c>
      <c r="Q77" t="n">
        <v>1</v>
      </c>
      <c r="R77" s="2" t="inlineStr">
        <is>
          <t>Garnlav</t>
        </is>
      </c>
      <c r="S77">
        <f>HYPERLINK("https://klasma.github.io/Logging_2282/artfynd/A 57056-2023 artfynd.xlsx", "A 57056-2023")</f>
        <v/>
      </c>
      <c r="T77">
        <f>HYPERLINK("https://klasma.github.io/Logging_2282/kartor/A 57056-2023 karta.png", "A 57056-2023")</f>
        <v/>
      </c>
      <c r="V77">
        <f>HYPERLINK("https://klasma.github.io/Logging_2282/klagomål/A 57056-2023 FSC-klagomål.docx", "A 57056-2023")</f>
        <v/>
      </c>
      <c r="W77">
        <f>HYPERLINK("https://klasma.github.io/Logging_2282/klagomålsmail/A 57056-2023 FSC-klagomål mail.docx", "A 57056-2023")</f>
        <v/>
      </c>
      <c r="X77">
        <f>HYPERLINK("https://klasma.github.io/Logging_2282/tillsyn/A 57056-2023 tillsynsbegäran.docx", "A 57056-2023")</f>
        <v/>
      </c>
      <c r="Y77">
        <f>HYPERLINK("https://klasma.github.io/Logging_2282/tillsynsmail/A 57056-2023 tillsynsbegäran mail.docx", "A 57056-2023")</f>
        <v/>
      </c>
    </row>
    <row r="78" ht="15" customHeight="1">
      <c r="A78" t="inlineStr">
        <is>
          <t>A 1073-2024</t>
        </is>
      </c>
      <c r="B78" s="1" t="n">
        <v>45301</v>
      </c>
      <c r="C78" s="1" t="n">
        <v>45786</v>
      </c>
      <c r="D78" t="inlineStr">
        <is>
          <t>VÄSTERNORRLANDS LÄN</t>
        </is>
      </c>
      <c r="E78" t="inlineStr">
        <is>
          <t>KRAMFORS</t>
        </is>
      </c>
      <c r="G78" t="n">
        <v>1.8</v>
      </c>
      <c r="H78" t="n">
        <v>1</v>
      </c>
      <c r="I78" t="n">
        <v>0</v>
      </c>
      <c r="J78" t="n">
        <v>1</v>
      </c>
      <c r="K78" t="n">
        <v>0</v>
      </c>
      <c r="L78" t="n">
        <v>0</v>
      </c>
      <c r="M78" t="n">
        <v>0</v>
      </c>
      <c r="N78" t="n">
        <v>0</v>
      </c>
      <c r="O78" t="n">
        <v>1</v>
      </c>
      <c r="P78" t="n">
        <v>0</v>
      </c>
      <c r="Q78" t="n">
        <v>1</v>
      </c>
      <c r="R78" s="2" t="inlineStr">
        <is>
          <t>Spillkråka</t>
        </is>
      </c>
      <c r="S78">
        <f>HYPERLINK("https://klasma.github.io/Logging_2282/artfynd/A 1073-2024 artfynd.xlsx", "A 1073-2024")</f>
        <v/>
      </c>
      <c r="T78">
        <f>HYPERLINK("https://klasma.github.io/Logging_2282/kartor/A 1073-2024 karta.png", "A 1073-2024")</f>
        <v/>
      </c>
      <c r="V78">
        <f>HYPERLINK("https://klasma.github.io/Logging_2282/klagomål/A 1073-2024 FSC-klagomål.docx", "A 1073-2024")</f>
        <v/>
      </c>
      <c r="W78">
        <f>HYPERLINK("https://klasma.github.io/Logging_2282/klagomålsmail/A 1073-2024 FSC-klagomål mail.docx", "A 1073-2024")</f>
        <v/>
      </c>
      <c r="X78">
        <f>HYPERLINK("https://klasma.github.io/Logging_2282/tillsyn/A 1073-2024 tillsynsbegäran.docx", "A 1073-2024")</f>
        <v/>
      </c>
      <c r="Y78">
        <f>HYPERLINK("https://klasma.github.io/Logging_2282/tillsynsmail/A 1073-2024 tillsynsbegäran mail.docx", "A 1073-2024")</f>
        <v/>
      </c>
      <c r="Z78">
        <f>HYPERLINK("https://klasma.github.io/Logging_2282/fåglar/A 1073-2024 prioriterade fågelarter.docx", "A 1073-2024")</f>
        <v/>
      </c>
    </row>
    <row r="79" ht="15" customHeight="1">
      <c r="A79" t="inlineStr">
        <is>
          <t>A 7153-2024</t>
        </is>
      </c>
      <c r="B79" s="1" t="n">
        <v>45344</v>
      </c>
      <c r="C79" s="1" t="n">
        <v>45786</v>
      </c>
      <c r="D79" t="inlineStr">
        <is>
          <t>VÄSTERNORRLANDS LÄN</t>
        </is>
      </c>
      <c r="E79" t="inlineStr">
        <is>
          <t>KRAMFORS</t>
        </is>
      </c>
      <c r="G79" t="n">
        <v>7.6</v>
      </c>
      <c r="H79" t="n">
        <v>0</v>
      </c>
      <c r="I79" t="n">
        <v>0</v>
      </c>
      <c r="J79" t="n">
        <v>1</v>
      </c>
      <c r="K79" t="n">
        <v>0</v>
      </c>
      <c r="L79" t="n">
        <v>0</v>
      </c>
      <c r="M79" t="n">
        <v>0</v>
      </c>
      <c r="N79" t="n">
        <v>0</v>
      </c>
      <c r="O79" t="n">
        <v>1</v>
      </c>
      <c r="P79" t="n">
        <v>0</v>
      </c>
      <c r="Q79" t="n">
        <v>1</v>
      </c>
      <c r="R79" s="2" t="inlineStr">
        <is>
          <t>Luddfingersvamp</t>
        </is>
      </c>
      <c r="S79">
        <f>HYPERLINK("https://klasma.github.io/Logging_2282/artfynd/A 7153-2024 artfynd.xlsx", "A 7153-2024")</f>
        <v/>
      </c>
      <c r="T79">
        <f>HYPERLINK("https://klasma.github.io/Logging_2282/kartor/A 7153-2024 karta.png", "A 7153-2024")</f>
        <v/>
      </c>
      <c r="V79">
        <f>HYPERLINK("https://klasma.github.io/Logging_2282/klagomål/A 7153-2024 FSC-klagomål.docx", "A 7153-2024")</f>
        <v/>
      </c>
      <c r="W79">
        <f>HYPERLINK("https://klasma.github.io/Logging_2282/klagomålsmail/A 7153-2024 FSC-klagomål mail.docx", "A 7153-2024")</f>
        <v/>
      </c>
      <c r="X79">
        <f>HYPERLINK("https://klasma.github.io/Logging_2282/tillsyn/A 7153-2024 tillsynsbegäran.docx", "A 7153-2024")</f>
        <v/>
      </c>
      <c r="Y79">
        <f>HYPERLINK("https://klasma.github.io/Logging_2282/tillsynsmail/A 7153-2024 tillsynsbegäran mail.docx", "A 7153-2024")</f>
        <v/>
      </c>
    </row>
    <row r="80" ht="15" customHeight="1">
      <c r="A80" t="inlineStr">
        <is>
          <t>A 11086-2024</t>
        </is>
      </c>
      <c r="B80" s="1" t="n">
        <v>45370</v>
      </c>
      <c r="C80" s="1" t="n">
        <v>45786</v>
      </c>
      <c r="D80" t="inlineStr">
        <is>
          <t>VÄSTERNORRLANDS LÄN</t>
        </is>
      </c>
      <c r="E80" t="inlineStr">
        <is>
          <t>KRAMFORS</t>
        </is>
      </c>
      <c r="F80" t="inlineStr">
        <is>
          <t>SCA</t>
        </is>
      </c>
      <c r="G80" t="n">
        <v>10.1</v>
      </c>
      <c r="H80" t="n">
        <v>1</v>
      </c>
      <c r="I80" t="n">
        <v>0</v>
      </c>
      <c r="J80" t="n">
        <v>1</v>
      </c>
      <c r="K80" t="n">
        <v>0</v>
      </c>
      <c r="L80" t="n">
        <v>0</v>
      </c>
      <c r="M80" t="n">
        <v>0</v>
      </c>
      <c r="N80" t="n">
        <v>0</v>
      </c>
      <c r="O80" t="n">
        <v>1</v>
      </c>
      <c r="P80" t="n">
        <v>0</v>
      </c>
      <c r="Q80" t="n">
        <v>1</v>
      </c>
      <c r="R80" s="2" t="inlineStr">
        <is>
          <t>Utter</t>
        </is>
      </c>
      <c r="S80">
        <f>HYPERLINK("https://klasma.github.io/Logging_2282/artfynd/A 11086-2024 artfynd.xlsx", "A 11086-2024")</f>
        <v/>
      </c>
      <c r="T80">
        <f>HYPERLINK("https://klasma.github.io/Logging_2282/kartor/A 11086-2024 karta.png", "A 11086-2024")</f>
        <v/>
      </c>
      <c r="V80">
        <f>HYPERLINK("https://klasma.github.io/Logging_2282/klagomål/A 11086-2024 FSC-klagomål.docx", "A 11086-2024")</f>
        <v/>
      </c>
      <c r="W80">
        <f>HYPERLINK("https://klasma.github.io/Logging_2282/klagomålsmail/A 11086-2024 FSC-klagomål mail.docx", "A 11086-2024")</f>
        <v/>
      </c>
      <c r="X80">
        <f>HYPERLINK("https://klasma.github.io/Logging_2282/tillsyn/A 11086-2024 tillsynsbegäran.docx", "A 11086-2024")</f>
        <v/>
      </c>
      <c r="Y80">
        <f>HYPERLINK("https://klasma.github.io/Logging_2282/tillsynsmail/A 11086-2024 tillsynsbegäran mail.docx", "A 11086-2024")</f>
        <v/>
      </c>
    </row>
    <row r="81" ht="15" customHeight="1">
      <c r="A81" t="inlineStr">
        <is>
          <t>A 517-2025</t>
        </is>
      </c>
      <c r="B81" s="1" t="n">
        <v>45664</v>
      </c>
      <c r="C81" s="1" t="n">
        <v>45786</v>
      </c>
      <c r="D81" t="inlineStr">
        <is>
          <t>VÄSTERNORRLANDS LÄN</t>
        </is>
      </c>
      <c r="E81" t="inlineStr">
        <is>
          <t>KRAMFORS</t>
        </is>
      </c>
      <c r="G81" t="n">
        <v>1.7</v>
      </c>
      <c r="H81" t="n">
        <v>0</v>
      </c>
      <c r="I81" t="n">
        <v>0</v>
      </c>
      <c r="J81" t="n">
        <v>1</v>
      </c>
      <c r="K81" t="n">
        <v>0</v>
      </c>
      <c r="L81" t="n">
        <v>0</v>
      </c>
      <c r="M81" t="n">
        <v>0</v>
      </c>
      <c r="N81" t="n">
        <v>0</v>
      </c>
      <c r="O81" t="n">
        <v>1</v>
      </c>
      <c r="P81" t="n">
        <v>0</v>
      </c>
      <c r="Q81" t="n">
        <v>1</v>
      </c>
      <c r="R81" s="2" t="inlineStr">
        <is>
          <t>Storplattnos</t>
        </is>
      </c>
      <c r="S81">
        <f>HYPERLINK("https://klasma.github.io/Logging_2282/artfynd/A 517-2025 artfynd.xlsx", "A 517-2025")</f>
        <v/>
      </c>
      <c r="T81">
        <f>HYPERLINK("https://klasma.github.io/Logging_2282/kartor/A 517-2025 karta.png", "A 517-2025")</f>
        <v/>
      </c>
      <c r="V81">
        <f>HYPERLINK("https://klasma.github.io/Logging_2282/klagomål/A 517-2025 FSC-klagomål.docx", "A 517-2025")</f>
        <v/>
      </c>
      <c r="W81">
        <f>HYPERLINK("https://klasma.github.io/Logging_2282/klagomålsmail/A 517-2025 FSC-klagomål mail.docx", "A 517-2025")</f>
        <v/>
      </c>
      <c r="X81">
        <f>HYPERLINK("https://klasma.github.io/Logging_2282/tillsyn/A 517-2025 tillsynsbegäran.docx", "A 517-2025")</f>
        <v/>
      </c>
      <c r="Y81">
        <f>HYPERLINK("https://klasma.github.io/Logging_2282/tillsynsmail/A 517-2025 tillsynsbegäran mail.docx", "A 517-2025")</f>
        <v/>
      </c>
    </row>
    <row r="82" ht="15" customHeight="1">
      <c r="A82" t="inlineStr">
        <is>
          <t>A 11276-2025</t>
        </is>
      </c>
      <c r="B82" s="1" t="n">
        <v>45726</v>
      </c>
      <c r="C82" s="1" t="n">
        <v>45786</v>
      </c>
      <c r="D82" t="inlineStr">
        <is>
          <t>VÄSTERNORRLANDS LÄN</t>
        </is>
      </c>
      <c r="E82" t="inlineStr">
        <is>
          <t>KRAMFORS</t>
        </is>
      </c>
      <c r="G82" t="n">
        <v>7.1</v>
      </c>
      <c r="H82" t="n">
        <v>0</v>
      </c>
      <c r="I82" t="n">
        <v>1</v>
      </c>
      <c r="J82" t="n">
        <v>0</v>
      </c>
      <c r="K82" t="n">
        <v>0</v>
      </c>
      <c r="L82" t="n">
        <v>0</v>
      </c>
      <c r="M82" t="n">
        <v>0</v>
      </c>
      <c r="N82" t="n">
        <v>0</v>
      </c>
      <c r="O82" t="n">
        <v>0</v>
      </c>
      <c r="P82" t="n">
        <v>0</v>
      </c>
      <c r="Q82" t="n">
        <v>1</v>
      </c>
      <c r="R82" s="2" t="inlineStr">
        <is>
          <t>Skinnlav</t>
        </is>
      </c>
      <c r="S82">
        <f>HYPERLINK("https://klasma.github.io/Logging_222282/artfynd/A 11276-2025 artfynd.xlsx", "A 11276-2025")</f>
        <v/>
      </c>
      <c r="T82">
        <f>HYPERLINK("https://klasma.github.io/Logging_222282/kartor/A 11276-2025 karta.png", "A 11276-2025")</f>
        <v/>
      </c>
      <c r="V82">
        <f>HYPERLINK("https://klasma.github.io/Logging_222282/klagomål/A 11276-2025 FSC-klagomål.docx", "A 11276-2025")</f>
        <v/>
      </c>
      <c r="W82">
        <f>HYPERLINK("https://klasma.github.io/Logging_222282/klagomålsmail/A 11276-2025 FSC-klagomål mail.docx", "A 11276-2025")</f>
        <v/>
      </c>
      <c r="X82">
        <f>HYPERLINK("https://klasma.github.io/Logging_222282/tillsyn/A 11276-2025 tillsynsbegäran.docx", "A 11276-2025")</f>
        <v/>
      </c>
      <c r="Y82">
        <f>HYPERLINK("https://klasma.github.io/Logging_222282/tillsynsmail/A 11276-2025 tillsynsbegäran mail.docx", "A 11276-2025")</f>
        <v/>
      </c>
    </row>
    <row r="83" ht="15" customHeight="1">
      <c r="A83" t="inlineStr">
        <is>
          <t>A 18692-2025</t>
        </is>
      </c>
      <c r="B83" s="1" t="n">
        <v>45763</v>
      </c>
      <c r="C83" s="1" t="n">
        <v>45786</v>
      </c>
      <c r="D83" t="inlineStr">
        <is>
          <t>VÄSTERNORRLANDS LÄN</t>
        </is>
      </c>
      <c r="E83" t="inlineStr">
        <is>
          <t>KRAMFORS</t>
        </is>
      </c>
      <c r="F83" t="inlineStr">
        <is>
          <t>SCA</t>
        </is>
      </c>
      <c r="G83" t="n">
        <v>13.1</v>
      </c>
      <c r="H83" t="n">
        <v>1</v>
      </c>
      <c r="I83" t="n">
        <v>0</v>
      </c>
      <c r="J83" t="n">
        <v>1</v>
      </c>
      <c r="K83" t="n">
        <v>0</v>
      </c>
      <c r="L83" t="n">
        <v>0</v>
      </c>
      <c r="M83" t="n">
        <v>0</v>
      </c>
      <c r="N83" t="n">
        <v>0</v>
      </c>
      <c r="O83" t="n">
        <v>1</v>
      </c>
      <c r="P83" t="n">
        <v>0</v>
      </c>
      <c r="Q83" t="n">
        <v>1</v>
      </c>
      <c r="R83" s="2" t="inlineStr">
        <is>
          <t>Talltita</t>
        </is>
      </c>
      <c r="S83">
        <f>HYPERLINK("https://klasma.github.io/Logging_222282/artfynd/A 18692-2025 artfynd.xlsx", "A 18692-2025")</f>
        <v/>
      </c>
      <c r="T83">
        <f>HYPERLINK("https://klasma.github.io/Logging_222282/kartor/A 18692-2025 karta.png", "A 18692-2025")</f>
        <v/>
      </c>
      <c r="V83">
        <f>HYPERLINK("https://klasma.github.io/Logging_222282/klagomål/A 18692-2025 FSC-klagomål.docx", "A 18692-2025")</f>
        <v/>
      </c>
      <c r="W83">
        <f>HYPERLINK("https://klasma.github.io/Logging_222282/klagomålsmail/A 18692-2025 FSC-klagomål mail.docx", "A 18692-2025")</f>
        <v/>
      </c>
      <c r="X83">
        <f>HYPERLINK("https://klasma.github.io/Logging_222282/tillsyn/A 18692-2025 tillsynsbegäran.docx", "A 18692-2025")</f>
        <v/>
      </c>
      <c r="Y83">
        <f>HYPERLINK("https://klasma.github.io/Logging_222282/tillsynsmail/A 18692-2025 tillsynsbegäran mail.docx", "A 18692-2025")</f>
        <v/>
      </c>
      <c r="Z83">
        <f>HYPERLINK("https://klasma.github.io/Logging_222282/fåglar/A 18692-2025 prioriterade fågelarter.docx", "A 18692-2025")</f>
        <v/>
      </c>
    </row>
    <row r="84" ht="15" customHeight="1">
      <c r="A84" t="inlineStr">
        <is>
          <t>A 18792-2025</t>
        </is>
      </c>
      <c r="B84" s="1" t="n">
        <v>45764</v>
      </c>
      <c r="C84" s="1" t="n">
        <v>45786</v>
      </c>
      <c r="D84" t="inlineStr">
        <is>
          <t>VÄSTERNORRLANDS LÄN</t>
        </is>
      </c>
      <c r="E84" t="inlineStr">
        <is>
          <t>KRAMFORS</t>
        </is>
      </c>
      <c r="F84" t="inlineStr">
        <is>
          <t>SCA</t>
        </is>
      </c>
      <c r="G84" t="n">
        <v>5.1</v>
      </c>
      <c r="H84" t="n">
        <v>0</v>
      </c>
      <c r="I84" t="n">
        <v>0</v>
      </c>
      <c r="J84" t="n">
        <v>1</v>
      </c>
      <c r="K84" t="n">
        <v>0</v>
      </c>
      <c r="L84" t="n">
        <v>0</v>
      </c>
      <c r="M84" t="n">
        <v>0</v>
      </c>
      <c r="N84" t="n">
        <v>0</v>
      </c>
      <c r="O84" t="n">
        <v>1</v>
      </c>
      <c r="P84" t="n">
        <v>0</v>
      </c>
      <c r="Q84" t="n">
        <v>1</v>
      </c>
      <c r="R84" s="2" t="inlineStr">
        <is>
          <t>Gammelgransskål</t>
        </is>
      </c>
      <c r="S84">
        <f>HYPERLINK("https://klasma.github.io/Logging_222282/artfynd/A 18792-2025 artfynd.xlsx", "A 18792-2025")</f>
        <v/>
      </c>
      <c r="T84">
        <f>HYPERLINK("https://klasma.github.io/Logging_222282/kartor/A 18792-2025 karta.png", "A 18792-2025")</f>
        <v/>
      </c>
      <c r="V84">
        <f>HYPERLINK("https://klasma.github.io/Logging_222282/klagomål/A 18792-2025 FSC-klagomål.docx", "A 18792-2025")</f>
        <v/>
      </c>
      <c r="W84">
        <f>HYPERLINK("https://klasma.github.io/Logging_222282/klagomålsmail/A 18792-2025 FSC-klagomål mail.docx", "A 18792-2025")</f>
        <v/>
      </c>
      <c r="X84">
        <f>HYPERLINK("https://klasma.github.io/Logging_222282/tillsyn/A 18792-2025 tillsynsbegäran.docx", "A 18792-2025")</f>
        <v/>
      </c>
      <c r="Y84">
        <f>HYPERLINK("https://klasma.github.io/Logging_222282/tillsynsmail/A 18792-2025 tillsynsbegäran mail.docx", "A 18792-2025")</f>
        <v/>
      </c>
    </row>
    <row r="85" ht="15" customHeight="1">
      <c r="A85" t="inlineStr">
        <is>
          <t>A 18793-2025</t>
        </is>
      </c>
      <c r="B85" s="1" t="n">
        <v>45764</v>
      </c>
      <c r="C85" s="1" t="n">
        <v>45786</v>
      </c>
      <c r="D85" t="inlineStr">
        <is>
          <t>VÄSTERNORRLANDS LÄN</t>
        </is>
      </c>
      <c r="E85" t="inlineStr">
        <is>
          <t>KRAMFORS</t>
        </is>
      </c>
      <c r="F85" t="inlineStr">
        <is>
          <t>SCA</t>
        </is>
      </c>
      <c r="G85" t="n">
        <v>2.8</v>
      </c>
      <c r="H85" t="n">
        <v>1</v>
      </c>
      <c r="I85" t="n">
        <v>0</v>
      </c>
      <c r="J85" t="n">
        <v>1</v>
      </c>
      <c r="K85" t="n">
        <v>0</v>
      </c>
      <c r="L85" t="n">
        <v>0</v>
      </c>
      <c r="M85" t="n">
        <v>0</v>
      </c>
      <c r="N85" t="n">
        <v>0</v>
      </c>
      <c r="O85" t="n">
        <v>1</v>
      </c>
      <c r="P85" t="n">
        <v>0</v>
      </c>
      <c r="Q85" t="n">
        <v>1</v>
      </c>
      <c r="R85" s="2" t="inlineStr">
        <is>
          <t>Nordfladdermus</t>
        </is>
      </c>
      <c r="S85">
        <f>HYPERLINK("https://klasma.github.io/Logging_222282/artfynd/A 18793-2025 artfynd.xlsx", "A 18793-2025")</f>
        <v/>
      </c>
      <c r="T85">
        <f>HYPERLINK("https://klasma.github.io/Logging_222282/kartor/A 18793-2025 karta.png", "A 18793-2025")</f>
        <v/>
      </c>
      <c r="V85">
        <f>HYPERLINK("https://klasma.github.io/Logging_222282/klagomål/A 18793-2025 FSC-klagomål.docx", "A 18793-2025")</f>
        <v/>
      </c>
      <c r="W85">
        <f>HYPERLINK("https://klasma.github.io/Logging_222282/klagomålsmail/A 18793-2025 FSC-klagomål mail.docx", "A 18793-2025")</f>
        <v/>
      </c>
      <c r="X85">
        <f>HYPERLINK("https://klasma.github.io/Logging_222282/tillsyn/A 18793-2025 tillsynsbegäran.docx", "A 18793-2025")</f>
        <v/>
      </c>
      <c r="Y85">
        <f>HYPERLINK("https://klasma.github.io/Logging_222282/tillsynsmail/A 18793-2025 tillsynsbegäran mail.docx", "A 18793-2025")</f>
        <v/>
      </c>
    </row>
    <row r="86" ht="15" customHeight="1">
      <c r="A86" t="inlineStr">
        <is>
          <t>A 18842-2019</t>
        </is>
      </c>
      <c r="B86" s="1" t="n">
        <v>43563</v>
      </c>
      <c r="C86" s="1" t="n">
        <v>45786</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19254-2019</t>
        </is>
      </c>
      <c r="B87" s="1" t="n">
        <v>43564</v>
      </c>
      <c r="C87" s="1" t="n">
        <v>45786</v>
      </c>
      <c r="D87" t="inlineStr">
        <is>
          <t>VÄSTERNORRLANDS LÄN</t>
        </is>
      </c>
      <c r="E87" t="inlineStr">
        <is>
          <t>KRAMFORS</t>
        </is>
      </c>
      <c r="G87" t="n">
        <v>4.8</v>
      </c>
      <c r="H87" t="n">
        <v>0</v>
      </c>
      <c r="I87" t="n">
        <v>0</v>
      </c>
      <c r="J87" t="n">
        <v>0</v>
      </c>
      <c r="K87" t="n">
        <v>0</v>
      </c>
      <c r="L87" t="n">
        <v>0</v>
      </c>
      <c r="M87" t="n">
        <v>0</v>
      </c>
      <c r="N87" t="n">
        <v>0</v>
      </c>
      <c r="O87" t="n">
        <v>0</v>
      </c>
      <c r="P87" t="n">
        <v>0</v>
      </c>
      <c r="Q87" t="n">
        <v>0</v>
      </c>
      <c r="R87" s="2" t="inlineStr"/>
    </row>
    <row r="88" ht="15" customHeight="1">
      <c r="A88" t="inlineStr">
        <is>
          <t>A 19341-2019</t>
        </is>
      </c>
      <c r="B88" s="1" t="n">
        <v>43564</v>
      </c>
      <c r="C88" s="1" t="n">
        <v>45786</v>
      </c>
      <c r="D88" t="inlineStr">
        <is>
          <t>VÄSTERNORRLANDS LÄN</t>
        </is>
      </c>
      <c r="E88" t="inlineStr">
        <is>
          <t>KRAMFORS</t>
        </is>
      </c>
      <c r="G88" t="n">
        <v>1.8</v>
      </c>
      <c r="H88" t="n">
        <v>0</v>
      </c>
      <c r="I88" t="n">
        <v>0</v>
      </c>
      <c r="J88" t="n">
        <v>0</v>
      </c>
      <c r="K88" t="n">
        <v>0</v>
      </c>
      <c r="L88" t="n">
        <v>0</v>
      </c>
      <c r="M88" t="n">
        <v>0</v>
      </c>
      <c r="N88" t="n">
        <v>0</v>
      </c>
      <c r="O88" t="n">
        <v>0</v>
      </c>
      <c r="P88" t="n">
        <v>0</v>
      </c>
      <c r="Q88" t="n">
        <v>0</v>
      </c>
      <c r="R88" s="2" t="inlineStr"/>
    </row>
    <row r="89" ht="15" customHeight="1">
      <c r="A89" t="inlineStr">
        <is>
          <t>A 19813-2019</t>
        </is>
      </c>
      <c r="B89" s="1" t="n">
        <v>43567</v>
      </c>
      <c r="C89" s="1" t="n">
        <v>45786</v>
      </c>
      <c r="D89" t="inlineStr">
        <is>
          <t>VÄSTERNORRLANDS LÄN</t>
        </is>
      </c>
      <c r="E89" t="inlineStr">
        <is>
          <t>KRAMFORS</t>
        </is>
      </c>
      <c r="G89" t="n">
        <v>2.1</v>
      </c>
      <c r="H89" t="n">
        <v>0</v>
      </c>
      <c r="I89" t="n">
        <v>0</v>
      </c>
      <c r="J89" t="n">
        <v>0</v>
      </c>
      <c r="K89" t="n">
        <v>0</v>
      </c>
      <c r="L89" t="n">
        <v>0</v>
      </c>
      <c r="M89" t="n">
        <v>0</v>
      </c>
      <c r="N89" t="n">
        <v>0</v>
      </c>
      <c r="O89" t="n">
        <v>0</v>
      </c>
      <c r="P89" t="n">
        <v>0</v>
      </c>
      <c r="Q89" t="n">
        <v>0</v>
      </c>
      <c r="R89" s="2" t="inlineStr"/>
    </row>
    <row r="90" ht="15" customHeight="1">
      <c r="A90" t="inlineStr">
        <is>
          <t>A 20653-2019</t>
        </is>
      </c>
      <c r="B90" s="1" t="n">
        <v>43572</v>
      </c>
      <c r="C90" s="1" t="n">
        <v>45786</v>
      </c>
      <c r="D90" t="inlineStr">
        <is>
          <t>VÄSTERNORRLANDS LÄN</t>
        </is>
      </c>
      <c r="E90" t="inlineStr">
        <is>
          <t>KRAMFORS</t>
        </is>
      </c>
      <c r="G90" t="n">
        <v>3.8</v>
      </c>
      <c r="H90" t="n">
        <v>0</v>
      </c>
      <c r="I90" t="n">
        <v>0</v>
      </c>
      <c r="J90" t="n">
        <v>0</v>
      </c>
      <c r="K90" t="n">
        <v>0</v>
      </c>
      <c r="L90" t="n">
        <v>0</v>
      </c>
      <c r="M90" t="n">
        <v>0</v>
      </c>
      <c r="N90" t="n">
        <v>0</v>
      </c>
      <c r="O90" t="n">
        <v>0</v>
      </c>
      <c r="P90" t="n">
        <v>0</v>
      </c>
      <c r="Q90" t="n">
        <v>0</v>
      </c>
      <c r="R90" s="2" t="inlineStr"/>
    </row>
    <row r="91" ht="15" customHeight="1">
      <c r="A91" t="inlineStr">
        <is>
          <t>A 20893-2019</t>
        </is>
      </c>
      <c r="B91" s="1" t="n">
        <v>43578</v>
      </c>
      <c r="C91" s="1" t="n">
        <v>45786</v>
      </c>
      <c r="D91" t="inlineStr">
        <is>
          <t>VÄSTERNORRLANDS LÄN</t>
        </is>
      </c>
      <c r="E91" t="inlineStr">
        <is>
          <t>KRAMFORS</t>
        </is>
      </c>
      <c r="G91" t="n">
        <v>0.7</v>
      </c>
      <c r="H91" t="n">
        <v>0</v>
      </c>
      <c r="I91" t="n">
        <v>0</v>
      </c>
      <c r="J91" t="n">
        <v>0</v>
      </c>
      <c r="K91" t="n">
        <v>0</v>
      </c>
      <c r="L91" t="n">
        <v>0</v>
      </c>
      <c r="M91" t="n">
        <v>0</v>
      </c>
      <c r="N91" t="n">
        <v>0</v>
      </c>
      <c r="O91" t="n">
        <v>0</v>
      </c>
      <c r="P91" t="n">
        <v>0</v>
      </c>
      <c r="Q91" t="n">
        <v>0</v>
      </c>
      <c r="R91" s="2" t="inlineStr"/>
    </row>
    <row r="92" ht="15" customHeight="1">
      <c r="A92" t="inlineStr">
        <is>
          <t>A 21896-2019</t>
        </is>
      </c>
      <c r="B92" s="1" t="n">
        <v>43584</v>
      </c>
      <c r="C92" s="1" t="n">
        <v>45786</v>
      </c>
      <c r="D92" t="inlineStr">
        <is>
          <t>VÄSTERNORRLANDS LÄN</t>
        </is>
      </c>
      <c r="E92" t="inlineStr">
        <is>
          <t>KRAMFORS</t>
        </is>
      </c>
      <c r="G92" t="n">
        <v>4.5</v>
      </c>
      <c r="H92" t="n">
        <v>0</v>
      </c>
      <c r="I92" t="n">
        <v>0</v>
      </c>
      <c r="J92" t="n">
        <v>0</v>
      </c>
      <c r="K92" t="n">
        <v>0</v>
      </c>
      <c r="L92" t="n">
        <v>0</v>
      </c>
      <c r="M92" t="n">
        <v>0</v>
      </c>
      <c r="N92" t="n">
        <v>0</v>
      </c>
      <c r="O92" t="n">
        <v>0</v>
      </c>
      <c r="P92" t="n">
        <v>0</v>
      </c>
      <c r="Q92" t="n">
        <v>0</v>
      </c>
      <c r="R92" s="2" t="inlineStr"/>
    </row>
    <row r="93" ht="15" customHeight="1">
      <c r="A93" t="inlineStr">
        <is>
          <t>A 22022-2019</t>
        </is>
      </c>
      <c r="B93" s="1" t="n">
        <v>43584</v>
      </c>
      <c r="C93" s="1" t="n">
        <v>45786</v>
      </c>
      <c r="D93" t="inlineStr">
        <is>
          <t>VÄSTERNORRLANDS LÄN</t>
        </is>
      </c>
      <c r="E93" t="inlineStr">
        <is>
          <t>KRAMFORS</t>
        </is>
      </c>
      <c r="G93" t="n">
        <v>7.3</v>
      </c>
      <c r="H93" t="n">
        <v>0</v>
      </c>
      <c r="I93" t="n">
        <v>0</v>
      </c>
      <c r="J93" t="n">
        <v>0</v>
      </c>
      <c r="K93" t="n">
        <v>0</v>
      </c>
      <c r="L93" t="n">
        <v>0</v>
      </c>
      <c r="M93" t="n">
        <v>0</v>
      </c>
      <c r="N93" t="n">
        <v>0</v>
      </c>
      <c r="O93" t="n">
        <v>0</v>
      </c>
      <c r="P93" t="n">
        <v>0</v>
      </c>
      <c r="Q93" t="n">
        <v>0</v>
      </c>
      <c r="R93" s="2" t="inlineStr"/>
    </row>
    <row r="94" ht="15" customHeight="1">
      <c r="A94" t="inlineStr">
        <is>
          <t>A 22060-2019</t>
        </is>
      </c>
      <c r="B94" s="1" t="n">
        <v>43584</v>
      </c>
      <c r="C94" s="1" t="n">
        <v>45786</v>
      </c>
      <c r="D94" t="inlineStr">
        <is>
          <t>VÄSTERNORRLANDS LÄN</t>
        </is>
      </c>
      <c r="E94" t="inlineStr">
        <is>
          <t>KRAMFORS</t>
        </is>
      </c>
      <c r="G94" t="n">
        <v>6.6</v>
      </c>
      <c r="H94" t="n">
        <v>0</v>
      </c>
      <c r="I94" t="n">
        <v>0</v>
      </c>
      <c r="J94" t="n">
        <v>0</v>
      </c>
      <c r="K94" t="n">
        <v>0</v>
      </c>
      <c r="L94" t="n">
        <v>0</v>
      </c>
      <c r="M94" t="n">
        <v>0</v>
      </c>
      <c r="N94" t="n">
        <v>0</v>
      </c>
      <c r="O94" t="n">
        <v>0</v>
      </c>
      <c r="P94" t="n">
        <v>0</v>
      </c>
      <c r="Q94" t="n">
        <v>0</v>
      </c>
      <c r="R94" s="2" t="inlineStr"/>
    </row>
    <row r="95" ht="15" customHeight="1">
      <c r="A95" t="inlineStr">
        <is>
          <t>A 22020-2019</t>
        </is>
      </c>
      <c r="B95" s="1" t="n">
        <v>43584</v>
      </c>
      <c r="C95" s="1" t="n">
        <v>45786</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22288-2019</t>
        </is>
      </c>
      <c r="B96" s="1" t="n">
        <v>43585</v>
      </c>
      <c r="C96" s="1" t="n">
        <v>45786</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22120-2019</t>
        </is>
      </c>
      <c r="B97" s="1" t="n">
        <v>43585</v>
      </c>
      <c r="C97" s="1" t="n">
        <v>45786</v>
      </c>
      <c r="D97" t="inlineStr">
        <is>
          <t>VÄSTERNORRLANDS LÄN</t>
        </is>
      </c>
      <c r="E97" t="inlineStr">
        <is>
          <t>KRAMFORS</t>
        </is>
      </c>
      <c r="G97" t="n">
        <v>9.5</v>
      </c>
      <c r="H97" t="n">
        <v>0</v>
      </c>
      <c r="I97" t="n">
        <v>0</v>
      </c>
      <c r="J97" t="n">
        <v>0</v>
      </c>
      <c r="K97" t="n">
        <v>0</v>
      </c>
      <c r="L97" t="n">
        <v>0</v>
      </c>
      <c r="M97" t="n">
        <v>0</v>
      </c>
      <c r="N97" t="n">
        <v>0</v>
      </c>
      <c r="O97" t="n">
        <v>0</v>
      </c>
      <c r="P97" t="n">
        <v>0</v>
      </c>
      <c r="Q97" t="n">
        <v>0</v>
      </c>
      <c r="R97" s="2" t="inlineStr"/>
    </row>
    <row r="98" ht="15" customHeight="1">
      <c r="A98" t="inlineStr">
        <is>
          <t>A 22373-2019</t>
        </is>
      </c>
      <c r="B98" s="1" t="n">
        <v>43587</v>
      </c>
      <c r="C98" s="1" t="n">
        <v>45786</v>
      </c>
      <c r="D98" t="inlineStr">
        <is>
          <t>VÄSTERNORRLANDS LÄN</t>
        </is>
      </c>
      <c r="E98" t="inlineStr">
        <is>
          <t>KRAMFORS</t>
        </is>
      </c>
      <c r="G98" t="n">
        <v>3.2</v>
      </c>
      <c r="H98" t="n">
        <v>0</v>
      </c>
      <c r="I98" t="n">
        <v>0</v>
      </c>
      <c r="J98" t="n">
        <v>0</v>
      </c>
      <c r="K98" t="n">
        <v>0</v>
      </c>
      <c r="L98" t="n">
        <v>0</v>
      </c>
      <c r="M98" t="n">
        <v>0</v>
      </c>
      <c r="N98" t="n">
        <v>0</v>
      </c>
      <c r="O98" t="n">
        <v>0</v>
      </c>
      <c r="P98" t="n">
        <v>0</v>
      </c>
      <c r="Q98" t="n">
        <v>0</v>
      </c>
      <c r="R98" s="2" t="inlineStr"/>
    </row>
    <row r="99" ht="15" customHeight="1">
      <c r="A99" t="inlineStr">
        <is>
          <t>A 22380-2019</t>
        </is>
      </c>
      <c r="B99" s="1" t="n">
        <v>43587</v>
      </c>
      <c r="C99" s="1" t="n">
        <v>45786</v>
      </c>
      <c r="D99" t="inlineStr">
        <is>
          <t>VÄSTERNORRLANDS LÄN</t>
        </is>
      </c>
      <c r="E99" t="inlineStr">
        <is>
          <t>KRAMFORS</t>
        </is>
      </c>
      <c r="G99" t="n">
        <v>6.5</v>
      </c>
      <c r="H99" t="n">
        <v>0</v>
      </c>
      <c r="I99" t="n">
        <v>0</v>
      </c>
      <c r="J99" t="n">
        <v>0</v>
      </c>
      <c r="K99" t="n">
        <v>0</v>
      </c>
      <c r="L99" t="n">
        <v>0</v>
      </c>
      <c r="M99" t="n">
        <v>0</v>
      </c>
      <c r="N99" t="n">
        <v>0</v>
      </c>
      <c r="O99" t="n">
        <v>0</v>
      </c>
      <c r="P99" t="n">
        <v>0</v>
      </c>
      <c r="Q99" t="n">
        <v>0</v>
      </c>
      <c r="R99" s="2" t="inlineStr"/>
    </row>
    <row r="100" ht="15" customHeight="1">
      <c r="A100" t="inlineStr">
        <is>
          <t>A 23069-2019</t>
        </is>
      </c>
      <c r="B100" s="1" t="n">
        <v>43591</v>
      </c>
      <c r="C100" s="1" t="n">
        <v>45786</v>
      </c>
      <c r="D100" t="inlineStr">
        <is>
          <t>VÄSTERNORRLANDS LÄN</t>
        </is>
      </c>
      <c r="E100" t="inlineStr">
        <is>
          <t>KRAMFORS</t>
        </is>
      </c>
      <c r="G100" t="n">
        <v>9.6</v>
      </c>
      <c r="H100" t="n">
        <v>0</v>
      </c>
      <c r="I100" t="n">
        <v>0</v>
      </c>
      <c r="J100" t="n">
        <v>0</v>
      </c>
      <c r="K100" t="n">
        <v>0</v>
      </c>
      <c r="L100" t="n">
        <v>0</v>
      </c>
      <c r="M100" t="n">
        <v>0</v>
      </c>
      <c r="N100" t="n">
        <v>0</v>
      </c>
      <c r="O100" t="n">
        <v>0</v>
      </c>
      <c r="P100" t="n">
        <v>0</v>
      </c>
      <c r="Q100" t="n">
        <v>0</v>
      </c>
      <c r="R100" s="2" t="inlineStr"/>
    </row>
    <row r="101" ht="15" customHeight="1">
      <c r="A101" t="inlineStr">
        <is>
          <t>A 23296-2019</t>
        </is>
      </c>
      <c r="B101" s="1" t="n">
        <v>43593</v>
      </c>
      <c r="C101" s="1" t="n">
        <v>45786</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23766-2019</t>
        </is>
      </c>
      <c r="B102" s="1" t="n">
        <v>43595</v>
      </c>
      <c r="C102" s="1" t="n">
        <v>45786</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26089-2019</t>
        </is>
      </c>
      <c r="B103" s="1" t="n">
        <v>43605</v>
      </c>
      <c r="C103" s="1" t="n">
        <v>45786</v>
      </c>
      <c r="D103" t="inlineStr">
        <is>
          <t>VÄSTERNORRLANDS LÄN</t>
        </is>
      </c>
      <c r="E103" t="inlineStr">
        <is>
          <t>KRAMFORS</t>
        </is>
      </c>
      <c r="G103" t="n">
        <v>0.7</v>
      </c>
      <c r="H103" t="n">
        <v>0</v>
      </c>
      <c r="I103" t="n">
        <v>0</v>
      </c>
      <c r="J103" t="n">
        <v>0</v>
      </c>
      <c r="K103" t="n">
        <v>0</v>
      </c>
      <c r="L103" t="n">
        <v>0</v>
      </c>
      <c r="M103" t="n">
        <v>0</v>
      </c>
      <c r="N103" t="n">
        <v>0</v>
      </c>
      <c r="O103" t="n">
        <v>0</v>
      </c>
      <c r="P103" t="n">
        <v>0</v>
      </c>
      <c r="Q103" t="n">
        <v>0</v>
      </c>
      <c r="R103" s="2" t="inlineStr"/>
    </row>
    <row r="104" ht="15" customHeight="1">
      <c r="A104" t="inlineStr">
        <is>
          <t>A 25450-2019</t>
        </is>
      </c>
      <c r="B104" s="1" t="n">
        <v>43606</v>
      </c>
      <c r="C104" s="1" t="n">
        <v>45786</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25995-2019</t>
        </is>
      </c>
      <c r="B105" s="1" t="n">
        <v>43608</v>
      </c>
      <c r="C105" s="1" t="n">
        <v>45786</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25996-2019</t>
        </is>
      </c>
      <c r="B106" s="1" t="n">
        <v>43608</v>
      </c>
      <c r="C106" s="1" t="n">
        <v>45786</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26062-2019</t>
        </is>
      </c>
      <c r="B107" s="1" t="n">
        <v>43609</v>
      </c>
      <c r="C107" s="1" t="n">
        <v>45786</v>
      </c>
      <c r="D107" t="inlineStr">
        <is>
          <t>VÄSTERNORRLANDS LÄN</t>
        </is>
      </c>
      <c r="E107" t="inlineStr">
        <is>
          <t>KRAMFORS</t>
        </is>
      </c>
      <c r="G107" t="n">
        <v>0.9</v>
      </c>
      <c r="H107" t="n">
        <v>0</v>
      </c>
      <c r="I107" t="n">
        <v>0</v>
      </c>
      <c r="J107" t="n">
        <v>0</v>
      </c>
      <c r="K107" t="n">
        <v>0</v>
      </c>
      <c r="L107" t="n">
        <v>0</v>
      </c>
      <c r="M107" t="n">
        <v>0</v>
      </c>
      <c r="N107" t="n">
        <v>0</v>
      </c>
      <c r="O107" t="n">
        <v>0</v>
      </c>
      <c r="P107" t="n">
        <v>0</v>
      </c>
      <c r="Q107" t="n">
        <v>0</v>
      </c>
      <c r="R107" s="2" t="inlineStr"/>
    </row>
    <row r="108" ht="15" customHeight="1">
      <c r="A108" t="inlineStr">
        <is>
          <t>A 26300-2019</t>
        </is>
      </c>
      <c r="B108" s="1" t="n">
        <v>43612</v>
      </c>
      <c r="C108" s="1" t="n">
        <v>45786</v>
      </c>
      <c r="D108" t="inlineStr">
        <is>
          <t>VÄSTERNORRLANDS LÄN</t>
        </is>
      </c>
      <c r="E108" t="inlineStr">
        <is>
          <t>KRAMFORS</t>
        </is>
      </c>
      <c r="G108" t="n">
        <v>2.2</v>
      </c>
      <c r="H108" t="n">
        <v>0</v>
      </c>
      <c r="I108" t="n">
        <v>0</v>
      </c>
      <c r="J108" t="n">
        <v>0</v>
      </c>
      <c r="K108" t="n">
        <v>0</v>
      </c>
      <c r="L108" t="n">
        <v>0</v>
      </c>
      <c r="M108" t="n">
        <v>0</v>
      </c>
      <c r="N108" t="n">
        <v>0</v>
      </c>
      <c r="O108" t="n">
        <v>0</v>
      </c>
      <c r="P108" t="n">
        <v>0</v>
      </c>
      <c r="Q108" t="n">
        <v>0</v>
      </c>
      <c r="R108" s="2" t="inlineStr"/>
    </row>
    <row r="109" ht="15" customHeight="1">
      <c r="A109" t="inlineStr">
        <is>
          <t>A 27896-2019</t>
        </is>
      </c>
      <c r="B109" s="1" t="n">
        <v>43620</v>
      </c>
      <c r="C109" s="1" t="n">
        <v>45786</v>
      </c>
      <c r="D109" t="inlineStr">
        <is>
          <t>VÄSTERNORRLANDS LÄN</t>
        </is>
      </c>
      <c r="E109" t="inlineStr">
        <is>
          <t>KRAMFORS</t>
        </is>
      </c>
      <c r="G109" t="n">
        <v>1.9</v>
      </c>
      <c r="H109" t="n">
        <v>0</v>
      </c>
      <c r="I109" t="n">
        <v>0</v>
      </c>
      <c r="J109" t="n">
        <v>0</v>
      </c>
      <c r="K109" t="n">
        <v>0</v>
      </c>
      <c r="L109" t="n">
        <v>0</v>
      </c>
      <c r="M109" t="n">
        <v>0</v>
      </c>
      <c r="N109" t="n">
        <v>0</v>
      </c>
      <c r="O109" t="n">
        <v>0</v>
      </c>
      <c r="P109" t="n">
        <v>0</v>
      </c>
      <c r="Q109" t="n">
        <v>0</v>
      </c>
      <c r="R109" s="2" t="inlineStr"/>
    </row>
    <row r="110" ht="15" customHeight="1">
      <c r="A110" t="inlineStr">
        <is>
          <t>A 27895-2019</t>
        </is>
      </c>
      <c r="B110" s="1" t="n">
        <v>43620</v>
      </c>
      <c r="C110" s="1" t="n">
        <v>45786</v>
      </c>
      <c r="D110" t="inlineStr">
        <is>
          <t>VÄSTERNORRLANDS LÄN</t>
        </is>
      </c>
      <c r="E110" t="inlineStr">
        <is>
          <t>KRAMFORS</t>
        </is>
      </c>
      <c r="G110" t="n">
        <v>1.4</v>
      </c>
      <c r="H110" t="n">
        <v>0</v>
      </c>
      <c r="I110" t="n">
        <v>0</v>
      </c>
      <c r="J110" t="n">
        <v>0</v>
      </c>
      <c r="K110" t="n">
        <v>0</v>
      </c>
      <c r="L110" t="n">
        <v>0</v>
      </c>
      <c r="M110" t="n">
        <v>0</v>
      </c>
      <c r="N110" t="n">
        <v>0</v>
      </c>
      <c r="O110" t="n">
        <v>0</v>
      </c>
      <c r="P110" t="n">
        <v>0</v>
      </c>
      <c r="Q110" t="n">
        <v>0</v>
      </c>
      <c r="R110" s="2" t="inlineStr"/>
    </row>
    <row r="111" ht="15" customHeight="1">
      <c r="A111" t="inlineStr">
        <is>
          <t>A 27972-2019</t>
        </is>
      </c>
      <c r="B111" s="1" t="n">
        <v>43620</v>
      </c>
      <c r="C111" s="1" t="n">
        <v>45786</v>
      </c>
      <c r="D111" t="inlineStr">
        <is>
          <t>VÄSTERNORRLANDS LÄN</t>
        </is>
      </c>
      <c r="E111" t="inlineStr">
        <is>
          <t>KRAMFORS</t>
        </is>
      </c>
      <c r="G111" t="n">
        <v>2.7</v>
      </c>
      <c r="H111" t="n">
        <v>0</v>
      </c>
      <c r="I111" t="n">
        <v>0</v>
      </c>
      <c r="J111" t="n">
        <v>0</v>
      </c>
      <c r="K111" t="n">
        <v>0</v>
      </c>
      <c r="L111" t="n">
        <v>0</v>
      </c>
      <c r="M111" t="n">
        <v>0</v>
      </c>
      <c r="N111" t="n">
        <v>0</v>
      </c>
      <c r="O111" t="n">
        <v>0</v>
      </c>
      <c r="P111" t="n">
        <v>0</v>
      </c>
      <c r="Q111" t="n">
        <v>0</v>
      </c>
      <c r="R111" s="2" t="inlineStr"/>
    </row>
    <row r="112" ht="15" customHeight="1">
      <c r="A112" t="inlineStr">
        <is>
          <t>A 28603-2019</t>
        </is>
      </c>
      <c r="B112" s="1" t="n">
        <v>43626</v>
      </c>
      <c r="C112" s="1" t="n">
        <v>45786</v>
      </c>
      <c r="D112" t="inlineStr">
        <is>
          <t>VÄSTERNORRLANDS LÄN</t>
        </is>
      </c>
      <c r="E112" t="inlineStr">
        <is>
          <t>KRAMFORS</t>
        </is>
      </c>
      <c r="G112" t="n">
        <v>9.199999999999999</v>
      </c>
      <c r="H112" t="n">
        <v>0</v>
      </c>
      <c r="I112" t="n">
        <v>0</v>
      </c>
      <c r="J112" t="n">
        <v>0</v>
      </c>
      <c r="K112" t="n">
        <v>0</v>
      </c>
      <c r="L112" t="n">
        <v>0</v>
      </c>
      <c r="M112" t="n">
        <v>0</v>
      </c>
      <c r="N112" t="n">
        <v>0</v>
      </c>
      <c r="O112" t="n">
        <v>0</v>
      </c>
      <c r="P112" t="n">
        <v>0</v>
      </c>
      <c r="Q112" t="n">
        <v>0</v>
      </c>
      <c r="R112" s="2" t="inlineStr"/>
    </row>
    <row r="113" ht="15" customHeight="1">
      <c r="A113" t="inlineStr">
        <is>
          <t>A 28602-2019</t>
        </is>
      </c>
      <c r="B113" s="1" t="n">
        <v>43626</v>
      </c>
      <c r="C113" s="1" t="n">
        <v>45786</v>
      </c>
      <c r="D113" t="inlineStr">
        <is>
          <t>VÄSTERNORRLANDS LÄN</t>
        </is>
      </c>
      <c r="E113" t="inlineStr">
        <is>
          <t>KRAMFORS</t>
        </is>
      </c>
      <c r="G113" t="n">
        <v>3.2</v>
      </c>
      <c r="H113" t="n">
        <v>0</v>
      </c>
      <c r="I113" t="n">
        <v>0</v>
      </c>
      <c r="J113" t="n">
        <v>0</v>
      </c>
      <c r="K113" t="n">
        <v>0</v>
      </c>
      <c r="L113" t="n">
        <v>0</v>
      </c>
      <c r="M113" t="n">
        <v>0</v>
      </c>
      <c r="N113" t="n">
        <v>0</v>
      </c>
      <c r="O113" t="n">
        <v>0</v>
      </c>
      <c r="P113" t="n">
        <v>0</v>
      </c>
      <c r="Q113" t="n">
        <v>0</v>
      </c>
      <c r="R113" s="2" t="inlineStr"/>
    </row>
    <row r="114" ht="15" customHeight="1">
      <c r="A114" t="inlineStr">
        <is>
          <t>A 28516-2019</t>
        </is>
      </c>
      <c r="B114" s="1" t="n">
        <v>43626</v>
      </c>
      <c r="C114" s="1" t="n">
        <v>45786</v>
      </c>
      <c r="D114" t="inlineStr">
        <is>
          <t>VÄSTERNORRLANDS LÄN</t>
        </is>
      </c>
      <c r="E114" t="inlineStr">
        <is>
          <t>KRAMFORS</t>
        </is>
      </c>
      <c r="G114" t="n">
        <v>2.5</v>
      </c>
      <c r="H114" t="n">
        <v>0</v>
      </c>
      <c r="I114" t="n">
        <v>0</v>
      </c>
      <c r="J114" t="n">
        <v>0</v>
      </c>
      <c r="K114" t="n">
        <v>0</v>
      </c>
      <c r="L114" t="n">
        <v>0</v>
      </c>
      <c r="M114" t="n">
        <v>0</v>
      </c>
      <c r="N114" t="n">
        <v>0</v>
      </c>
      <c r="O114" t="n">
        <v>0</v>
      </c>
      <c r="P114" t="n">
        <v>0</v>
      </c>
      <c r="Q114" t="n">
        <v>0</v>
      </c>
      <c r="R114" s="2" t="inlineStr"/>
    </row>
    <row r="115" ht="15" customHeight="1">
      <c r="A115" t="inlineStr">
        <is>
          <t>A 28792-2019</t>
        </is>
      </c>
      <c r="B115" s="1" t="n">
        <v>43627</v>
      </c>
      <c r="C115" s="1" t="n">
        <v>45786</v>
      </c>
      <c r="D115" t="inlineStr">
        <is>
          <t>VÄSTERNORRLANDS LÄN</t>
        </is>
      </c>
      <c r="E115" t="inlineStr">
        <is>
          <t>KRAMFORS</t>
        </is>
      </c>
      <c r="G115" t="n">
        <v>0.8</v>
      </c>
      <c r="H115" t="n">
        <v>0</v>
      </c>
      <c r="I115" t="n">
        <v>0</v>
      </c>
      <c r="J115" t="n">
        <v>0</v>
      </c>
      <c r="K115" t="n">
        <v>0</v>
      </c>
      <c r="L115" t="n">
        <v>0</v>
      </c>
      <c r="M115" t="n">
        <v>0</v>
      </c>
      <c r="N115" t="n">
        <v>0</v>
      </c>
      <c r="O115" t="n">
        <v>0</v>
      </c>
      <c r="P115" t="n">
        <v>0</v>
      </c>
      <c r="Q115" t="n">
        <v>0</v>
      </c>
      <c r="R115" s="2" t="inlineStr"/>
    </row>
    <row r="116" ht="15" customHeight="1">
      <c r="A116" t="inlineStr">
        <is>
          <t>A 30985-2019</t>
        </is>
      </c>
      <c r="B116" s="1" t="n">
        <v>43640</v>
      </c>
      <c r="C116" s="1" t="n">
        <v>45786</v>
      </c>
      <c r="D116" t="inlineStr">
        <is>
          <t>VÄSTERNORRLANDS LÄN</t>
        </is>
      </c>
      <c r="E116" t="inlineStr">
        <is>
          <t>KRAMFORS</t>
        </is>
      </c>
      <c r="G116" t="n">
        <v>7.1</v>
      </c>
      <c r="H116" t="n">
        <v>0</v>
      </c>
      <c r="I116" t="n">
        <v>0</v>
      </c>
      <c r="J116" t="n">
        <v>0</v>
      </c>
      <c r="K116" t="n">
        <v>0</v>
      </c>
      <c r="L116" t="n">
        <v>0</v>
      </c>
      <c r="M116" t="n">
        <v>0</v>
      </c>
      <c r="N116" t="n">
        <v>0</v>
      </c>
      <c r="O116" t="n">
        <v>0</v>
      </c>
      <c r="P116" t="n">
        <v>0</v>
      </c>
      <c r="Q116" t="n">
        <v>0</v>
      </c>
      <c r="R116" s="2" t="inlineStr"/>
    </row>
    <row r="117" ht="15" customHeight="1">
      <c r="A117" t="inlineStr">
        <is>
          <t>A 32737-2019</t>
        </is>
      </c>
      <c r="B117" s="1" t="n">
        <v>43647</v>
      </c>
      <c r="C117" s="1" t="n">
        <v>45786</v>
      </c>
      <c r="D117" t="inlineStr">
        <is>
          <t>VÄSTERNORRLANDS LÄN</t>
        </is>
      </c>
      <c r="E117" t="inlineStr">
        <is>
          <t>KRAMFORS</t>
        </is>
      </c>
      <c r="G117" t="n">
        <v>1.8</v>
      </c>
      <c r="H117" t="n">
        <v>0</v>
      </c>
      <c r="I117" t="n">
        <v>0</v>
      </c>
      <c r="J117" t="n">
        <v>0</v>
      </c>
      <c r="K117" t="n">
        <v>0</v>
      </c>
      <c r="L117" t="n">
        <v>0</v>
      </c>
      <c r="M117" t="n">
        <v>0</v>
      </c>
      <c r="N117" t="n">
        <v>0</v>
      </c>
      <c r="O117" t="n">
        <v>0</v>
      </c>
      <c r="P117" t="n">
        <v>0</v>
      </c>
      <c r="Q117" t="n">
        <v>0</v>
      </c>
      <c r="R117" s="2" t="inlineStr"/>
    </row>
    <row r="118" ht="15" customHeight="1">
      <c r="A118" t="inlineStr">
        <is>
          <t>A 33965-2019</t>
        </is>
      </c>
      <c r="B118" s="1" t="n">
        <v>43654</v>
      </c>
      <c r="C118" s="1" t="n">
        <v>45786</v>
      </c>
      <c r="D118" t="inlineStr">
        <is>
          <t>VÄSTERNORRLANDS LÄN</t>
        </is>
      </c>
      <c r="E118" t="inlineStr">
        <is>
          <t>KRAMFORS</t>
        </is>
      </c>
      <c r="G118" t="n">
        <v>6.8</v>
      </c>
      <c r="H118" t="n">
        <v>0</v>
      </c>
      <c r="I118" t="n">
        <v>0</v>
      </c>
      <c r="J118" t="n">
        <v>0</v>
      </c>
      <c r="K118" t="n">
        <v>0</v>
      </c>
      <c r="L118" t="n">
        <v>0</v>
      </c>
      <c r="M118" t="n">
        <v>0</v>
      </c>
      <c r="N118" t="n">
        <v>0</v>
      </c>
      <c r="O118" t="n">
        <v>0</v>
      </c>
      <c r="P118" t="n">
        <v>0</v>
      </c>
      <c r="Q118" t="n">
        <v>0</v>
      </c>
      <c r="R118" s="2" t="inlineStr"/>
    </row>
    <row r="119" ht="15" customHeight="1">
      <c r="A119" t="inlineStr">
        <is>
          <t>A 34677-2019</t>
        </is>
      </c>
      <c r="B119" s="1" t="n">
        <v>43657</v>
      </c>
      <c r="C119" s="1" t="n">
        <v>45786</v>
      </c>
      <c r="D119" t="inlineStr">
        <is>
          <t>VÄSTERNORRLANDS LÄN</t>
        </is>
      </c>
      <c r="E119" t="inlineStr">
        <is>
          <t>KRAMFORS</t>
        </is>
      </c>
      <c r="G119" t="n">
        <v>10.1</v>
      </c>
      <c r="H119" t="n">
        <v>0</v>
      </c>
      <c r="I119" t="n">
        <v>0</v>
      </c>
      <c r="J119" t="n">
        <v>0</v>
      </c>
      <c r="K119" t="n">
        <v>0</v>
      </c>
      <c r="L119" t="n">
        <v>0</v>
      </c>
      <c r="M119" t="n">
        <v>0</v>
      </c>
      <c r="N119" t="n">
        <v>0</v>
      </c>
      <c r="O119" t="n">
        <v>0</v>
      </c>
      <c r="P119" t="n">
        <v>0</v>
      </c>
      <c r="Q119" t="n">
        <v>0</v>
      </c>
      <c r="R119" s="2" t="inlineStr"/>
    </row>
    <row r="120" ht="15" customHeight="1">
      <c r="A120" t="inlineStr">
        <is>
          <t>A 37986-2019</t>
        </is>
      </c>
      <c r="B120" s="1" t="n">
        <v>43682</v>
      </c>
      <c r="C120" s="1" t="n">
        <v>45786</v>
      </c>
      <c r="D120" t="inlineStr">
        <is>
          <t>VÄSTERNORRLANDS LÄN</t>
        </is>
      </c>
      <c r="E120" t="inlineStr">
        <is>
          <t>KRAMFORS</t>
        </is>
      </c>
      <c r="G120" t="n">
        <v>0.4</v>
      </c>
      <c r="H120" t="n">
        <v>0</v>
      </c>
      <c r="I120" t="n">
        <v>0</v>
      </c>
      <c r="J120" t="n">
        <v>0</v>
      </c>
      <c r="K120" t="n">
        <v>0</v>
      </c>
      <c r="L120" t="n">
        <v>0</v>
      </c>
      <c r="M120" t="n">
        <v>0</v>
      </c>
      <c r="N120" t="n">
        <v>0</v>
      </c>
      <c r="O120" t="n">
        <v>0</v>
      </c>
      <c r="P120" t="n">
        <v>0</v>
      </c>
      <c r="Q120" t="n">
        <v>0</v>
      </c>
      <c r="R120" s="2" t="inlineStr"/>
    </row>
    <row r="121" ht="15" customHeight="1">
      <c r="A121" t="inlineStr">
        <is>
          <t>A 37914-2019</t>
        </is>
      </c>
      <c r="B121" s="1" t="n">
        <v>43683</v>
      </c>
      <c r="C121" s="1" t="n">
        <v>45786</v>
      </c>
      <c r="D121" t="inlineStr">
        <is>
          <t>VÄSTERNORRLANDS LÄN</t>
        </is>
      </c>
      <c r="E121" t="inlineStr">
        <is>
          <t>KRAMFORS</t>
        </is>
      </c>
      <c r="G121" t="n">
        <v>3.8</v>
      </c>
      <c r="H121" t="n">
        <v>0</v>
      </c>
      <c r="I121" t="n">
        <v>0</v>
      </c>
      <c r="J121" t="n">
        <v>0</v>
      </c>
      <c r="K121" t="n">
        <v>0</v>
      </c>
      <c r="L121" t="n">
        <v>0</v>
      </c>
      <c r="M121" t="n">
        <v>0</v>
      </c>
      <c r="N121" t="n">
        <v>0</v>
      </c>
      <c r="O121" t="n">
        <v>0</v>
      </c>
      <c r="P121" t="n">
        <v>0</v>
      </c>
      <c r="Q121" t="n">
        <v>0</v>
      </c>
      <c r="R121" s="2" t="inlineStr"/>
    </row>
    <row r="122" ht="15" customHeight="1">
      <c r="A122" t="inlineStr">
        <is>
          <t>A 39395-2019</t>
        </is>
      </c>
      <c r="B122" s="1" t="n">
        <v>43690</v>
      </c>
      <c r="C122" s="1" t="n">
        <v>45786</v>
      </c>
      <c r="D122" t="inlineStr">
        <is>
          <t>VÄSTERNORRLANDS LÄN</t>
        </is>
      </c>
      <c r="E122" t="inlineStr">
        <is>
          <t>KRAMFORS</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40481-2019</t>
        </is>
      </c>
      <c r="B123" s="1" t="n">
        <v>43696</v>
      </c>
      <c r="C123" s="1" t="n">
        <v>45786</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40516-2019</t>
        </is>
      </c>
      <c r="B124" s="1" t="n">
        <v>43696</v>
      </c>
      <c r="C124" s="1" t="n">
        <v>45786</v>
      </c>
      <c r="D124" t="inlineStr">
        <is>
          <t>VÄSTERNORRLANDS LÄN</t>
        </is>
      </c>
      <c r="E124" t="inlineStr">
        <is>
          <t>KRAMFORS</t>
        </is>
      </c>
      <c r="G124" t="n">
        <v>16.7</v>
      </c>
      <c r="H124" t="n">
        <v>0</v>
      </c>
      <c r="I124" t="n">
        <v>0</v>
      </c>
      <c r="J124" t="n">
        <v>0</v>
      </c>
      <c r="K124" t="n">
        <v>0</v>
      </c>
      <c r="L124" t="n">
        <v>0</v>
      </c>
      <c r="M124" t="n">
        <v>0</v>
      </c>
      <c r="N124" t="n">
        <v>0</v>
      </c>
      <c r="O124" t="n">
        <v>0</v>
      </c>
      <c r="P124" t="n">
        <v>0</v>
      </c>
      <c r="Q124" t="n">
        <v>0</v>
      </c>
      <c r="R124" s="2" t="inlineStr"/>
    </row>
    <row r="125" ht="15" customHeight="1">
      <c r="A125" t="inlineStr">
        <is>
          <t>A 40480-2019</t>
        </is>
      </c>
      <c r="B125" s="1" t="n">
        <v>43696</v>
      </c>
      <c r="C125" s="1" t="n">
        <v>45786</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43201-2019</t>
        </is>
      </c>
      <c r="B126" s="1" t="n">
        <v>43705</v>
      </c>
      <c r="C126" s="1" t="n">
        <v>45786</v>
      </c>
      <c r="D126" t="inlineStr">
        <is>
          <t>VÄSTERNORRLANDS LÄN</t>
        </is>
      </c>
      <c r="E126" t="inlineStr">
        <is>
          <t>KRAMFORS</t>
        </is>
      </c>
      <c r="F126" t="inlineStr">
        <is>
          <t>SCA</t>
        </is>
      </c>
      <c r="G126" t="n">
        <v>16.6</v>
      </c>
      <c r="H126" t="n">
        <v>0</v>
      </c>
      <c r="I126" t="n">
        <v>0</v>
      </c>
      <c r="J126" t="n">
        <v>0</v>
      </c>
      <c r="K126" t="n">
        <v>0</v>
      </c>
      <c r="L126" t="n">
        <v>0</v>
      </c>
      <c r="M126" t="n">
        <v>0</v>
      </c>
      <c r="N126" t="n">
        <v>0</v>
      </c>
      <c r="O126" t="n">
        <v>0</v>
      </c>
      <c r="P126" t="n">
        <v>0</v>
      </c>
      <c r="Q126" t="n">
        <v>0</v>
      </c>
      <c r="R126" s="2" t="inlineStr"/>
    </row>
    <row r="127" ht="15" customHeight="1">
      <c r="A127" t="inlineStr">
        <is>
          <t>A 44328-2019</t>
        </is>
      </c>
      <c r="B127" s="1" t="n">
        <v>43710</v>
      </c>
      <c r="C127" s="1" t="n">
        <v>45786</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44317-2019</t>
        </is>
      </c>
      <c r="B128" s="1" t="n">
        <v>43710</v>
      </c>
      <c r="C128" s="1" t="n">
        <v>45786</v>
      </c>
      <c r="D128" t="inlineStr">
        <is>
          <t>VÄSTERNORRLANDS LÄN</t>
        </is>
      </c>
      <c r="E128" t="inlineStr">
        <is>
          <t>KRAMFORS</t>
        </is>
      </c>
      <c r="G128" t="n">
        <v>5.5</v>
      </c>
      <c r="H128" t="n">
        <v>0</v>
      </c>
      <c r="I128" t="n">
        <v>0</v>
      </c>
      <c r="J128" t="n">
        <v>0</v>
      </c>
      <c r="K128" t="n">
        <v>0</v>
      </c>
      <c r="L128" t="n">
        <v>0</v>
      </c>
      <c r="M128" t="n">
        <v>0</v>
      </c>
      <c r="N128" t="n">
        <v>0</v>
      </c>
      <c r="O128" t="n">
        <v>0</v>
      </c>
      <c r="P128" t="n">
        <v>0</v>
      </c>
      <c r="Q128" t="n">
        <v>0</v>
      </c>
      <c r="R128" s="2" t="inlineStr"/>
    </row>
    <row r="129" ht="15" customHeight="1">
      <c r="A129" t="inlineStr">
        <is>
          <t>A 44772-2019</t>
        </is>
      </c>
      <c r="B129" s="1" t="n">
        <v>43712</v>
      </c>
      <c r="C129" s="1" t="n">
        <v>45786</v>
      </c>
      <c r="D129" t="inlineStr">
        <is>
          <t>VÄSTERNORRLANDS LÄN</t>
        </is>
      </c>
      <c r="E129" t="inlineStr">
        <is>
          <t>KRAMFORS</t>
        </is>
      </c>
      <c r="G129" t="n">
        <v>1.9</v>
      </c>
      <c r="H129" t="n">
        <v>0</v>
      </c>
      <c r="I129" t="n">
        <v>0</v>
      </c>
      <c r="J129" t="n">
        <v>0</v>
      </c>
      <c r="K129" t="n">
        <v>0</v>
      </c>
      <c r="L129" t="n">
        <v>0</v>
      </c>
      <c r="M129" t="n">
        <v>0</v>
      </c>
      <c r="N129" t="n">
        <v>0</v>
      </c>
      <c r="O129" t="n">
        <v>0</v>
      </c>
      <c r="P129" t="n">
        <v>0</v>
      </c>
      <c r="Q129" t="n">
        <v>0</v>
      </c>
      <c r="R129" s="2" t="inlineStr"/>
    </row>
    <row r="130" ht="15" customHeight="1">
      <c r="A130" t="inlineStr">
        <is>
          <t>A 46583-2019</t>
        </is>
      </c>
      <c r="B130" s="1" t="n">
        <v>43717</v>
      </c>
      <c r="C130" s="1" t="n">
        <v>45786</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46527-2019</t>
        </is>
      </c>
      <c r="B131" s="1" t="n">
        <v>43717</v>
      </c>
      <c r="C131" s="1" t="n">
        <v>45786</v>
      </c>
      <c r="D131" t="inlineStr">
        <is>
          <t>VÄSTERNORRLANDS LÄN</t>
        </is>
      </c>
      <c r="E131" t="inlineStr">
        <is>
          <t>KRAMFORS</t>
        </is>
      </c>
      <c r="G131" t="n">
        <v>0.9</v>
      </c>
      <c r="H131" t="n">
        <v>0</v>
      </c>
      <c r="I131" t="n">
        <v>0</v>
      </c>
      <c r="J131" t="n">
        <v>0</v>
      </c>
      <c r="K131" t="n">
        <v>0</v>
      </c>
      <c r="L131" t="n">
        <v>0</v>
      </c>
      <c r="M131" t="n">
        <v>0</v>
      </c>
      <c r="N131" t="n">
        <v>0</v>
      </c>
      <c r="O131" t="n">
        <v>0</v>
      </c>
      <c r="P131" t="n">
        <v>0</v>
      </c>
      <c r="Q131" t="n">
        <v>0</v>
      </c>
      <c r="R131" s="2" t="inlineStr"/>
    </row>
    <row r="132" ht="15" customHeight="1">
      <c r="A132" t="inlineStr">
        <is>
          <t>A 47832-2019</t>
        </is>
      </c>
      <c r="B132" s="1" t="n">
        <v>43724</v>
      </c>
      <c r="C132" s="1" t="n">
        <v>45786</v>
      </c>
      <c r="D132" t="inlineStr">
        <is>
          <t>VÄSTERNORRLANDS LÄN</t>
        </is>
      </c>
      <c r="E132" t="inlineStr">
        <is>
          <t>KRAMFORS</t>
        </is>
      </c>
      <c r="G132" t="n">
        <v>4.5</v>
      </c>
      <c r="H132" t="n">
        <v>0</v>
      </c>
      <c r="I132" t="n">
        <v>0</v>
      </c>
      <c r="J132" t="n">
        <v>0</v>
      </c>
      <c r="K132" t="n">
        <v>0</v>
      </c>
      <c r="L132" t="n">
        <v>0</v>
      </c>
      <c r="M132" t="n">
        <v>0</v>
      </c>
      <c r="N132" t="n">
        <v>0</v>
      </c>
      <c r="O132" t="n">
        <v>0</v>
      </c>
      <c r="P132" t="n">
        <v>0</v>
      </c>
      <c r="Q132" t="n">
        <v>0</v>
      </c>
      <c r="R132" s="2" t="inlineStr"/>
    </row>
    <row r="133" ht="15" customHeight="1">
      <c r="A133" t="inlineStr">
        <is>
          <t>A 49137-2019</t>
        </is>
      </c>
      <c r="B133" s="1" t="n">
        <v>43727</v>
      </c>
      <c r="C133" s="1" t="n">
        <v>45786</v>
      </c>
      <c r="D133" t="inlineStr">
        <is>
          <t>VÄSTERNORRLANDS LÄN</t>
        </is>
      </c>
      <c r="E133" t="inlineStr">
        <is>
          <t>KRAMFORS</t>
        </is>
      </c>
      <c r="G133" t="n">
        <v>14.2</v>
      </c>
      <c r="H133" t="n">
        <v>0</v>
      </c>
      <c r="I133" t="n">
        <v>0</v>
      </c>
      <c r="J133" t="n">
        <v>0</v>
      </c>
      <c r="K133" t="n">
        <v>0</v>
      </c>
      <c r="L133" t="n">
        <v>0</v>
      </c>
      <c r="M133" t="n">
        <v>0</v>
      </c>
      <c r="N133" t="n">
        <v>0</v>
      </c>
      <c r="O133" t="n">
        <v>0</v>
      </c>
      <c r="P133" t="n">
        <v>0</v>
      </c>
      <c r="Q133" t="n">
        <v>0</v>
      </c>
      <c r="R133" s="2" t="inlineStr"/>
    </row>
    <row r="134" ht="15" customHeight="1">
      <c r="A134" t="inlineStr">
        <is>
          <t>A 49188-2019</t>
        </is>
      </c>
      <c r="B134" s="1" t="n">
        <v>43728</v>
      </c>
      <c r="C134" s="1" t="n">
        <v>45786</v>
      </c>
      <c r="D134" t="inlineStr">
        <is>
          <t>VÄSTERNORRLANDS LÄN</t>
        </is>
      </c>
      <c r="E134" t="inlineStr">
        <is>
          <t>KRAMFORS</t>
        </is>
      </c>
      <c r="F134" t="inlineStr">
        <is>
          <t>Kommuner</t>
        </is>
      </c>
      <c r="G134" t="n">
        <v>4.2</v>
      </c>
      <c r="H134" t="n">
        <v>0</v>
      </c>
      <c r="I134" t="n">
        <v>0</v>
      </c>
      <c r="J134" t="n">
        <v>0</v>
      </c>
      <c r="K134" t="n">
        <v>0</v>
      </c>
      <c r="L134" t="n">
        <v>0</v>
      </c>
      <c r="M134" t="n">
        <v>0</v>
      </c>
      <c r="N134" t="n">
        <v>0</v>
      </c>
      <c r="O134" t="n">
        <v>0</v>
      </c>
      <c r="P134" t="n">
        <v>0</v>
      </c>
      <c r="Q134" t="n">
        <v>0</v>
      </c>
      <c r="R134" s="2" t="inlineStr"/>
    </row>
    <row r="135" ht="15" customHeight="1">
      <c r="A135" t="inlineStr">
        <is>
          <t>A 49490-2019</t>
        </is>
      </c>
      <c r="B135" s="1" t="n">
        <v>43732</v>
      </c>
      <c r="C135" s="1" t="n">
        <v>45786</v>
      </c>
      <c r="D135" t="inlineStr">
        <is>
          <t>VÄSTERNORRLANDS LÄN</t>
        </is>
      </c>
      <c r="E135" t="inlineStr">
        <is>
          <t>KRAMFORS</t>
        </is>
      </c>
      <c r="G135" t="n">
        <v>0.6</v>
      </c>
      <c r="H135" t="n">
        <v>0</v>
      </c>
      <c r="I135" t="n">
        <v>0</v>
      </c>
      <c r="J135" t="n">
        <v>0</v>
      </c>
      <c r="K135" t="n">
        <v>0</v>
      </c>
      <c r="L135" t="n">
        <v>0</v>
      </c>
      <c r="M135" t="n">
        <v>0</v>
      </c>
      <c r="N135" t="n">
        <v>0</v>
      </c>
      <c r="O135" t="n">
        <v>0</v>
      </c>
      <c r="P135" t="n">
        <v>0</v>
      </c>
      <c r="Q135" t="n">
        <v>0</v>
      </c>
      <c r="R135" s="2" t="inlineStr"/>
    </row>
    <row r="136" ht="15" customHeight="1">
      <c r="A136" t="inlineStr">
        <is>
          <t>A 51890-2019</t>
        </is>
      </c>
      <c r="B136" s="1" t="n">
        <v>43734</v>
      </c>
      <c r="C136" s="1" t="n">
        <v>45786</v>
      </c>
      <c r="D136" t="inlineStr">
        <is>
          <t>VÄSTERNORRLANDS LÄN</t>
        </is>
      </c>
      <c r="E136" t="inlineStr">
        <is>
          <t>KRAMFORS</t>
        </is>
      </c>
      <c r="F136" t="inlineStr">
        <is>
          <t>Kommuner</t>
        </is>
      </c>
      <c r="G136" t="n">
        <v>6.1</v>
      </c>
      <c r="H136" t="n">
        <v>0</v>
      </c>
      <c r="I136" t="n">
        <v>0</v>
      </c>
      <c r="J136" t="n">
        <v>0</v>
      </c>
      <c r="K136" t="n">
        <v>0</v>
      </c>
      <c r="L136" t="n">
        <v>0</v>
      </c>
      <c r="M136" t="n">
        <v>0</v>
      </c>
      <c r="N136" t="n">
        <v>0</v>
      </c>
      <c r="O136" t="n">
        <v>0</v>
      </c>
      <c r="P136" t="n">
        <v>0</v>
      </c>
      <c r="Q136" t="n">
        <v>0</v>
      </c>
      <c r="R136" s="2" t="inlineStr"/>
    </row>
    <row r="137" ht="15" customHeight="1">
      <c r="A137" t="inlineStr">
        <is>
          <t>A 51323-2019</t>
        </is>
      </c>
      <c r="B137" s="1" t="n">
        <v>43740</v>
      </c>
      <c r="C137" s="1" t="n">
        <v>45786</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51305-2019</t>
        </is>
      </c>
      <c r="B138" s="1" t="n">
        <v>43739</v>
      </c>
      <c r="C138" s="1" t="n">
        <v>45786</v>
      </c>
      <c r="D138" t="inlineStr">
        <is>
          <t>VÄSTERNORRLANDS LÄN</t>
        </is>
      </c>
      <c r="E138" t="inlineStr">
        <is>
          <t>KRAMFORS</t>
        </is>
      </c>
      <c r="G138" t="n">
        <v>0.7</v>
      </c>
      <c r="H138" t="n">
        <v>0</v>
      </c>
      <c r="I138" t="n">
        <v>0</v>
      </c>
      <c r="J138" t="n">
        <v>0</v>
      </c>
      <c r="K138" t="n">
        <v>0</v>
      </c>
      <c r="L138" t="n">
        <v>0</v>
      </c>
      <c r="M138" t="n">
        <v>0</v>
      </c>
      <c r="N138" t="n">
        <v>0</v>
      </c>
      <c r="O138" t="n">
        <v>0</v>
      </c>
      <c r="P138" t="n">
        <v>0</v>
      </c>
      <c r="Q138" t="n">
        <v>0</v>
      </c>
      <c r="R138" s="2" t="inlineStr"/>
    </row>
    <row r="139" ht="15" customHeight="1">
      <c r="A139" t="inlineStr">
        <is>
          <t>A 51057-2019</t>
        </is>
      </c>
      <c r="B139" s="1" t="n">
        <v>43739</v>
      </c>
      <c r="C139" s="1" t="n">
        <v>45786</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51035-2019</t>
        </is>
      </c>
      <c r="B140" s="1" t="n">
        <v>43739</v>
      </c>
      <c r="C140" s="1" t="n">
        <v>45786</v>
      </c>
      <c r="D140" t="inlineStr">
        <is>
          <t>VÄSTERNORRLANDS LÄN</t>
        </is>
      </c>
      <c r="E140" t="inlineStr">
        <is>
          <t>KRAMFORS</t>
        </is>
      </c>
      <c r="G140" t="n">
        <v>6.5</v>
      </c>
      <c r="H140" t="n">
        <v>0</v>
      </c>
      <c r="I140" t="n">
        <v>0</v>
      </c>
      <c r="J140" t="n">
        <v>0</v>
      </c>
      <c r="K140" t="n">
        <v>0</v>
      </c>
      <c r="L140" t="n">
        <v>0</v>
      </c>
      <c r="M140" t="n">
        <v>0</v>
      </c>
      <c r="N140" t="n">
        <v>0</v>
      </c>
      <c r="O140" t="n">
        <v>0</v>
      </c>
      <c r="P140" t="n">
        <v>0</v>
      </c>
      <c r="Q140" t="n">
        <v>0</v>
      </c>
      <c r="R140" s="2" t="inlineStr"/>
    </row>
    <row r="141" ht="15" customHeight="1">
      <c r="A141" t="inlineStr">
        <is>
          <t>A 53167-2019</t>
        </is>
      </c>
      <c r="B141" s="1" t="n">
        <v>43747</v>
      </c>
      <c r="C141" s="1" t="n">
        <v>45786</v>
      </c>
      <c r="D141" t="inlineStr">
        <is>
          <t>VÄSTERNORRLANDS LÄN</t>
        </is>
      </c>
      <c r="E141" t="inlineStr">
        <is>
          <t>KRAMFORS</t>
        </is>
      </c>
      <c r="G141" t="n">
        <v>2.9</v>
      </c>
      <c r="H141" t="n">
        <v>0</v>
      </c>
      <c r="I141" t="n">
        <v>0</v>
      </c>
      <c r="J141" t="n">
        <v>0</v>
      </c>
      <c r="K141" t="n">
        <v>0</v>
      </c>
      <c r="L141" t="n">
        <v>0</v>
      </c>
      <c r="M141" t="n">
        <v>0</v>
      </c>
      <c r="N141" t="n">
        <v>0</v>
      </c>
      <c r="O141" t="n">
        <v>0</v>
      </c>
      <c r="P141" t="n">
        <v>0</v>
      </c>
      <c r="Q141" t="n">
        <v>0</v>
      </c>
      <c r="R141" s="2" t="inlineStr"/>
    </row>
    <row r="142" ht="15" customHeight="1">
      <c r="A142" t="inlineStr">
        <is>
          <t>A 56486-2019</t>
        </is>
      </c>
      <c r="B142" s="1" t="n">
        <v>43762</v>
      </c>
      <c r="C142" s="1" t="n">
        <v>45786</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56544-2019</t>
        </is>
      </c>
      <c r="B143" s="1" t="n">
        <v>43763</v>
      </c>
      <c r="C143" s="1" t="n">
        <v>45786</v>
      </c>
      <c r="D143" t="inlineStr">
        <is>
          <t>VÄSTERNORRLANDS LÄN</t>
        </is>
      </c>
      <c r="E143" t="inlineStr">
        <is>
          <t>KRAMFORS</t>
        </is>
      </c>
      <c r="G143" t="n">
        <v>31.4</v>
      </c>
      <c r="H143" t="n">
        <v>0</v>
      </c>
      <c r="I143" t="n">
        <v>0</v>
      </c>
      <c r="J143" t="n">
        <v>0</v>
      </c>
      <c r="K143" t="n">
        <v>0</v>
      </c>
      <c r="L143" t="n">
        <v>0</v>
      </c>
      <c r="M143" t="n">
        <v>0</v>
      </c>
      <c r="N143" t="n">
        <v>0</v>
      </c>
      <c r="O143" t="n">
        <v>0</v>
      </c>
      <c r="P143" t="n">
        <v>0</v>
      </c>
      <c r="Q143" t="n">
        <v>0</v>
      </c>
      <c r="R143" s="2" t="inlineStr"/>
    </row>
    <row r="144" ht="15" customHeight="1">
      <c r="A144" t="inlineStr">
        <is>
          <t>A 56988-2019</t>
        </is>
      </c>
      <c r="B144" s="1" t="n">
        <v>43766</v>
      </c>
      <c r="C144" s="1" t="n">
        <v>45786</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57859-2019</t>
        </is>
      </c>
      <c r="B145" s="1" t="n">
        <v>43768</v>
      </c>
      <c r="C145" s="1" t="n">
        <v>45786</v>
      </c>
      <c r="D145" t="inlineStr">
        <is>
          <t>VÄSTERNORRLANDS LÄN</t>
        </is>
      </c>
      <c r="E145" t="inlineStr">
        <is>
          <t>KRAMFORS</t>
        </is>
      </c>
      <c r="F145" t="inlineStr">
        <is>
          <t>Kommuner</t>
        </is>
      </c>
      <c r="G145" t="n">
        <v>3.9</v>
      </c>
      <c r="H145" t="n">
        <v>0</v>
      </c>
      <c r="I145" t="n">
        <v>0</v>
      </c>
      <c r="J145" t="n">
        <v>0</v>
      </c>
      <c r="K145" t="n">
        <v>0</v>
      </c>
      <c r="L145" t="n">
        <v>0</v>
      </c>
      <c r="M145" t="n">
        <v>0</v>
      </c>
      <c r="N145" t="n">
        <v>0</v>
      </c>
      <c r="O145" t="n">
        <v>0</v>
      </c>
      <c r="P145" t="n">
        <v>0</v>
      </c>
      <c r="Q145" t="n">
        <v>0</v>
      </c>
      <c r="R145" s="2" t="inlineStr"/>
    </row>
    <row r="146" ht="15" customHeight="1">
      <c r="A146" t="inlineStr">
        <is>
          <t>A 58834-2019</t>
        </is>
      </c>
      <c r="B146" s="1" t="n">
        <v>43768</v>
      </c>
      <c r="C146" s="1" t="n">
        <v>45786</v>
      </c>
      <c r="D146" t="inlineStr">
        <is>
          <t>VÄSTERNORRLANDS LÄN</t>
        </is>
      </c>
      <c r="E146" t="inlineStr">
        <is>
          <t>KRAMFORS</t>
        </is>
      </c>
      <c r="G146" t="n">
        <v>7.7</v>
      </c>
      <c r="H146" t="n">
        <v>0</v>
      </c>
      <c r="I146" t="n">
        <v>0</v>
      </c>
      <c r="J146" t="n">
        <v>0</v>
      </c>
      <c r="K146" t="n">
        <v>0</v>
      </c>
      <c r="L146" t="n">
        <v>0</v>
      </c>
      <c r="M146" t="n">
        <v>0</v>
      </c>
      <c r="N146" t="n">
        <v>0</v>
      </c>
      <c r="O146" t="n">
        <v>0</v>
      </c>
      <c r="P146" t="n">
        <v>0</v>
      </c>
      <c r="Q146" t="n">
        <v>0</v>
      </c>
      <c r="R146" s="2" t="inlineStr"/>
    </row>
    <row r="147" ht="15" customHeight="1">
      <c r="A147" t="inlineStr">
        <is>
          <t>A 58841-2019</t>
        </is>
      </c>
      <c r="B147" s="1" t="n">
        <v>43768</v>
      </c>
      <c r="C147" s="1" t="n">
        <v>45786</v>
      </c>
      <c r="D147" t="inlineStr">
        <is>
          <t>VÄSTERNORRLANDS LÄN</t>
        </is>
      </c>
      <c r="E147" t="inlineStr">
        <is>
          <t>KRAMFORS</t>
        </is>
      </c>
      <c r="G147" t="n">
        <v>3.2</v>
      </c>
      <c r="H147" t="n">
        <v>0</v>
      </c>
      <c r="I147" t="n">
        <v>0</v>
      </c>
      <c r="J147" t="n">
        <v>0</v>
      </c>
      <c r="K147" t="n">
        <v>0</v>
      </c>
      <c r="L147" t="n">
        <v>0</v>
      </c>
      <c r="M147" t="n">
        <v>0</v>
      </c>
      <c r="N147" t="n">
        <v>0</v>
      </c>
      <c r="O147" t="n">
        <v>0</v>
      </c>
      <c r="P147" t="n">
        <v>0</v>
      </c>
      <c r="Q147" t="n">
        <v>0</v>
      </c>
      <c r="R147" s="2" t="inlineStr"/>
    </row>
    <row r="148" ht="15" customHeight="1">
      <c r="A148" t="inlineStr">
        <is>
          <t>A 58768-2019</t>
        </is>
      </c>
      <c r="B148" s="1" t="n">
        <v>43773</v>
      </c>
      <c r="C148" s="1" t="n">
        <v>45786</v>
      </c>
      <c r="D148" t="inlineStr">
        <is>
          <t>VÄSTERNORRLANDS LÄN</t>
        </is>
      </c>
      <c r="E148" t="inlineStr">
        <is>
          <t>KRAMFORS</t>
        </is>
      </c>
      <c r="G148" t="n">
        <v>5.3</v>
      </c>
      <c r="H148" t="n">
        <v>0</v>
      </c>
      <c r="I148" t="n">
        <v>0</v>
      </c>
      <c r="J148" t="n">
        <v>0</v>
      </c>
      <c r="K148" t="n">
        <v>0</v>
      </c>
      <c r="L148" t="n">
        <v>0</v>
      </c>
      <c r="M148" t="n">
        <v>0</v>
      </c>
      <c r="N148" t="n">
        <v>0</v>
      </c>
      <c r="O148" t="n">
        <v>0</v>
      </c>
      <c r="P148" t="n">
        <v>0</v>
      </c>
      <c r="Q148" t="n">
        <v>0</v>
      </c>
      <c r="R148" s="2" t="inlineStr"/>
    </row>
    <row r="149" ht="15" customHeight="1">
      <c r="A149" t="inlineStr">
        <is>
          <t>A 58769-2019</t>
        </is>
      </c>
      <c r="B149" s="1" t="n">
        <v>43773</v>
      </c>
      <c r="C149" s="1" t="n">
        <v>45786</v>
      </c>
      <c r="D149" t="inlineStr">
        <is>
          <t>VÄSTERNORRLANDS LÄN</t>
        </is>
      </c>
      <c r="E149" t="inlineStr">
        <is>
          <t>KRAMFORS</t>
        </is>
      </c>
      <c r="G149" t="n">
        <v>1.3</v>
      </c>
      <c r="H149" t="n">
        <v>0</v>
      </c>
      <c r="I149" t="n">
        <v>0</v>
      </c>
      <c r="J149" t="n">
        <v>0</v>
      </c>
      <c r="K149" t="n">
        <v>0</v>
      </c>
      <c r="L149" t="n">
        <v>0</v>
      </c>
      <c r="M149" t="n">
        <v>0</v>
      </c>
      <c r="N149" t="n">
        <v>0</v>
      </c>
      <c r="O149" t="n">
        <v>0</v>
      </c>
      <c r="P149" t="n">
        <v>0</v>
      </c>
      <c r="Q149" t="n">
        <v>0</v>
      </c>
      <c r="R149" s="2" t="inlineStr"/>
    </row>
    <row r="150" ht="15" customHeight="1">
      <c r="A150" t="inlineStr">
        <is>
          <t>A 58847-2019</t>
        </is>
      </c>
      <c r="B150" s="1" t="n">
        <v>43774</v>
      </c>
      <c r="C150" s="1" t="n">
        <v>45786</v>
      </c>
      <c r="D150" t="inlineStr">
        <is>
          <t>VÄSTERNORRLANDS LÄN</t>
        </is>
      </c>
      <c r="E150" t="inlineStr">
        <is>
          <t>KRAMFORS</t>
        </is>
      </c>
      <c r="G150" t="n">
        <v>1</v>
      </c>
      <c r="H150" t="n">
        <v>0</v>
      </c>
      <c r="I150" t="n">
        <v>0</v>
      </c>
      <c r="J150" t="n">
        <v>0</v>
      </c>
      <c r="K150" t="n">
        <v>0</v>
      </c>
      <c r="L150" t="n">
        <v>0</v>
      </c>
      <c r="M150" t="n">
        <v>0</v>
      </c>
      <c r="N150" t="n">
        <v>0</v>
      </c>
      <c r="O150" t="n">
        <v>0</v>
      </c>
      <c r="P150" t="n">
        <v>0</v>
      </c>
      <c r="Q150" t="n">
        <v>0</v>
      </c>
      <c r="R150" s="2" t="inlineStr"/>
    </row>
    <row r="151" ht="15" customHeight="1">
      <c r="A151" t="inlineStr">
        <is>
          <t>A 59686-2019</t>
        </is>
      </c>
      <c r="B151" s="1" t="n">
        <v>43774</v>
      </c>
      <c r="C151" s="1" t="n">
        <v>45786</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58852-2019</t>
        </is>
      </c>
      <c r="B152" s="1" t="n">
        <v>43774</v>
      </c>
      <c r="C152" s="1" t="n">
        <v>45786</v>
      </c>
      <c r="D152" t="inlineStr">
        <is>
          <t>VÄSTERNORRLANDS LÄN</t>
        </is>
      </c>
      <c r="E152" t="inlineStr">
        <is>
          <t>KRAMFORS</t>
        </is>
      </c>
      <c r="G152" t="n">
        <v>0.9</v>
      </c>
      <c r="H152" t="n">
        <v>0</v>
      </c>
      <c r="I152" t="n">
        <v>0</v>
      </c>
      <c r="J152" t="n">
        <v>0</v>
      </c>
      <c r="K152" t="n">
        <v>0</v>
      </c>
      <c r="L152" t="n">
        <v>0</v>
      </c>
      <c r="M152" t="n">
        <v>0</v>
      </c>
      <c r="N152" t="n">
        <v>0</v>
      </c>
      <c r="O152" t="n">
        <v>0</v>
      </c>
      <c r="P152" t="n">
        <v>0</v>
      </c>
      <c r="Q152" t="n">
        <v>0</v>
      </c>
      <c r="R152" s="2" t="inlineStr"/>
    </row>
    <row r="153" ht="15" customHeight="1">
      <c r="A153" t="inlineStr">
        <is>
          <t>A 62178-2019</t>
        </is>
      </c>
      <c r="B153" s="1" t="n">
        <v>43787</v>
      </c>
      <c r="C153" s="1" t="n">
        <v>45786</v>
      </c>
      <c r="D153" t="inlineStr">
        <is>
          <t>VÄSTERNORRLANDS LÄN</t>
        </is>
      </c>
      <c r="E153" t="inlineStr">
        <is>
          <t>KRAMFORS</t>
        </is>
      </c>
      <c r="G153" t="n">
        <v>1.7</v>
      </c>
      <c r="H153" t="n">
        <v>0</v>
      </c>
      <c r="I153" t="n">
        <v>0</v>
      </c>
      <c r="J153" t="n">
        <v>0</v>
      </c>
      <c r="K153" t="n">
        <v>0</v>
      </c>
      <c r="L153" t="n">
        <v>0</v>
      </c>
      <c r="M153" t="n">
        <v>0</v>
      </c>
      <c r="N153" t="n">
        <v>0</v>
      </c>
      <c r="O153" t="n">
        <v>0</v>
      </c>
      <c r="P153" t="n">
        <v>0</v>
      </c>
      <c r="Q153" t="n">
        <v>0</v>
      </c>
      <c r="R153" s="2" t="inlineStr"/>
    </row>
    <row r="154" ht="15" customHeight="1">
      <c r="A154" t="inlineStr">
        <is>
          <t>A 62180-2019</t>
        </is>
      </c>
      <c r="B154" s="1" t="n">
        <v>43787</v>
      </c>
      <c r="C154" s="1" t="n">
        <v>45786</v>
      </c>
      <c r="D154" t="inlineStr">
        <is>
          <t>VÄSTERNORRLANDS LÄN</t>
        </is>
      </c>
      <c r="E154" t="inlineStr">
        <is>
          <t>KRAMFORS</t>
        </is>
      </c>
      <c r="G154" t="n">
        <v>1.5</v>
      </c>
      <c r="H154" t="n">
        <v>0</v>
      </c>
      <c r="I154" t="n">
        <v>0</v>
      </c>
      <c r="J154" t="n">
        <v>0</v>
      </c>
      <c r="K154" t="n">
        <v>0</v>
      </c>
      <c r="L154" t="n">
        <v>0</v>
      </c>
      <c r="M154" t="n">
        <v>0</v>
      </c>
      <c r="N154" t="n">
        <v>0</v>
      </c>
      <c r="O154" t="n">
        <v>0</v>
      </c>
      <c r="P154" t="n">
        <v>0</v>
      </c>
      <c r="Q154" t="n">
        <v>0</v>
      </c>
      <c r="R154" s="2" t="inlineStr"/>
    </row>
    <row r="155" ht="15" customHeight="1">
      <c r="A155" t="inlineStr">
        <is>
          <t>A 63612-2019</t>
        </is>
      </c>
      <c r="B155" s="1" t="n">
        <v>43789</v>
      </c>
      <c r="C155" s="1" t="n">
        <v>45786</v>
      </c>
      <c r="D155" t="inlineStr">
        <is>
          <t>VÄSTERNORRLANDS LÄN</t>
        </is>
      </c>
      <c r="E155" t="inlineStr">
        <is>
          <t>KRAMFORS</t>
        </is>
      </c>
      <c r="G155" t="n">
        <v>0.9</v>
      </c>
      <c r="H155" t="n">
        <v>0</v>
      </c>
      <c r="I155" t="n">
        <v>0</v>
      </c>
      <c r="J155" t="n">
        <v>0</v>
      </c>
      <c r="K155" t="n">
        <v>0</v>
      </c>
      <c r="L155" t="n">
        <v>0</v>
      </c>
      <c r="M155" t="n">
        <v>0</v>
      </c>
      <c r="N155" t="n">
        <v>0</v>
      </c>
      <c r="O155" t="n">
        <v>0</v>
      </c>
      <c r="P155" t="n">
        <v>0</v>
      </c>
      <c r="Q155" t="n">
        <v>0</v>
      </c>
      <c r="R155" s="2" t="inlineStr"/>
    </row>
    <row r="156" ht="15" customHeight="1">
      <c r="A156" t="inlineStr">
        <is>
          <t>A 64217-2019</t>
        </is>
      </c>
      <c r="B156" s="1" t="n">
        <v>43797</v>
      </c>
      <c r="C156" s="1" t="n">
        <v>45786</v>
      </c>
      <c r="D156" t="inlineStr">
        <is>
          <t>VÄSTERNORRLANDS LÄN</t>
        </is>
      </c>
      <c r="E156" t="inlineStr">
        <is>
          <t>KRAMFORS</t>
        </is>
      </c>
      <c r="G156" t="n">
        <v>2.2</v>
      </c>
      <c r="H156" t="n">
        <v>0</v>
      </c>
      <c r="I156" t="n">
        <v>0</v>
      </c>
      <c r="J156" t="n">
        <v>0</v>
      </c>
      <c r="K156" t="n">
        <v>0</v>
      </c>
      <c r="L156" t="n">
        <v>0</v>
      </c>
      <c r="M156" t="n">
        <v>0</v>
      </c>
      <c r="N156" t="n">
        <v>0</v>
      </c>
      <c r="O156" t="n">
        <v>0</v>
      </c>
      <c r="P156" t="n">
        <v>0</v>
      </c>
      <c r="Q156" t="n">
        <v>0</v>
      </c>
      <c r="R156" s="2" t="inlineStr"/>
    </row>
    <row r="157" ht="15" customHeight="1">
      <c r="A157" t="inlineStr">
        <is>
          <t>A 65354-2019</t>
        </is>
      </c>
      <c r="B157" s="1" t="n">
        <v>43803</v>
      </c>
      <c r="C157" s="1" t="n">
        <v>45786</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66975-2019</t>
        </is>
      </c>
      <c r="B158" s="1" t="n">
        <v>43810</v>
      </c>
      <c r="C158" s="1" t="n">
        <v>45786</v>
      </c>
      <c r="D158" t="inlineStr">
        <is>
          <t>VÄSTERNORRLANDS LÄN</t>
        </is>
      </c>
      <c r="E158" t="inlineStr">
        <is>
          <t>KRAMFORS</t>
        </is>
      </c>
      <c r="G158" t="n">
        <v>4</v>
      </c>
      <c r="H158" t="n">
        <v>0</v>
      </c>
      <c r="I158" t="n">
        <v>0</v>
      </c>
      <c r="J158" t="n">
        <v>0</v>
      </c>
      <c r="K158" t="n">
        <v>0</v>
      </c>
      <c r="L158" t="n">
        <v>0</v>
      </c>
      <c r="M158" t="n">
        <v>0</v>
      </c>
      <c r="N158" t="n">
        <v>0</v>
      </c>
      <c r="O158" t="n">
        <v>0</v>
      </c>
      <c r="P158" t="n">
        <v>0</v>
      </c>
      <c r="Q158" t="n">
        <v>0</v>
      </c>
      <c r="R158" s="2" t="inlineStr"/>
    </row>
    <row r="159" ht="15" customHeight="1">
      <c r="A159" t="inlineStr">
        <is>
          <t>A 67272-2019</t>
        </is>
      </c>
      <c r="B159" s="1" t="n">
        <v>43812</v>
      </c>
      <c r="C159" s="1" t="n">
        <v>45786</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67366-2019</t>
        </is>
      </c>
      <c r="B160" s="1" t="n">
        <v>43812</v>
      </c>
      <c r="C160" s="1" t="n">
        <v>45786</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67278-2019</t>
        </is>
      </c>
      <c r="B161" s="1" t="n">
        <v>43812</v>
      </c>
      <c r="C161" s="1" t="n">
        <v>45786</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67813-2019</t>
        </is>
      </c>
      <c r="B162" s="1" t="n">
        <v>43815</v>
      </c>
      <c r="C162" s="1" t="n">
        <v>45786</v>
      </c>
      <c r="D162" t="inlineStr">
        <is>
          <t>VÄSTERNORRLANDS LÄN</t>
        </is>
      </c>
      <c r="E162" t="inlineStr">
        <is>
          <t>KRAMFORS</t>
        </is>
      </c>
      <c r="F162" t="inlineStr">
        <is>
          <t>SCA</t>
        </is>
      </c>
      <c r="G162" t="n">
        <v>24.1</v>
      </c>
      <c r="H162" t="n">
        <v>0</v>
      </c>
      <c r="I162" t="n">
        <v>0</v>
      </c>
      <c r="J162" t="n">
        <v>0</v>
      </c>
      <c r="K162" t="n">
        <v>0</v>
      </c>
      <c r="L162" t="n">
        <v>0</v>
      </c>
      <c r="M162" t="n">
        <v>0</v>
      </c>
      <c r="N162" t="n">
        <v>0</v>
      </c>
      <c r="O162" t="n">
        <v>0</v>
      </c>
      <c r="P162" t="n">
        <v>0</v>
      </c>
      <c r="Q162" t="n">
        <v>0</v>
      </c>
      <c r="R162" s="2" t="inlineStr"/>
    </row>
    <row r="163" ht="15" customHeight="1">
      <c r="A163" t="inlineStr">
        <is>
          <t>A 975-2020</t>
        </is>
      </c>
      <c r="B163" s="1" t="n">
        <v>43819</v>
      </c>
      <c r="C163" s="1" t="n">
        <v>45786</v>
      </c>
      <c r="D163" t="inlineStr">
        <is>
          <t>VÄSTERNORRLANDS LÄN</t>
        </is>
      </c>
      <c r="E163" t="inlineStr">
        <is>
          <t>KRAMFORS</t>
        </is>
      </c>
      <c r="G163" t="n">
        <v>6.8</v>
      </c>
      <c r="H163" t="n">
        <v>0</v>
      </c>
      <c r="I163" t="n">
        <v>0</v>
      </c>
      <c r="J163" t="n">
        <v>0</v>
      </c>
      <c r="K163" t="n">
        <v>0</v>
      </c>
      <c r="L163" t="n">
        <v>0</v>
      </c>
      <c r="M163" t="n">
        <v>0</v>
      </c>
      <c r="N163" t="n">
        <v>0</v>
      </c>
      <c r="O163" t="n">
        <v>0</v>
      </c>
      <c r="P163" t="n">
        <v>0</v>
      </c>
      <c r="Q163" t="n">
        <v>0</v>
      </c>
      <c r="R163" s="2" t="inlineStr"/>
    </row>
    <row r="164" ht="15" customHeight="1">
      <c r="A164" t="inlineStr">
        <is>
          <t>A 68845-2019</t>
        </is>
      </c>
      <c r="B164" s="1" t="n">
        <v>43819</v>
      </c>
      <c r="C164" s="1" t="n">
        <v>45786</v>
      </c>
      <c r="D164" t="inlineStr">
        <is>
          <t>VÄSTERNORRLANDS LÄN</t>
        </is>
      </c>
      <c r="E164" t="inlineStr">
        <is>
          <t>KRAMFORS</t>
        </is>
      </c>
      <c r="G164" t="n">
        <v>2.3</v>
      </c>
      <c r="H164" t="n">
        <v>0</v>
      </c>
      <c r="I164" t="n">
        <v>0</v>
      </c>
      <c r="J164" t="n">
        <v>0</v>
      </c>
      <c r="K164" t="n">
        <v>0</v>
      </c>
      <c r="L164" t="n">
        <v>0</v>
      </c>
      <c r="M164" t="n">
        <v>0</v>
      </c>
      <c r="N164" t="n">
        <v>0</v>
      </c>
      <c r="O164" t="n">
        <v>0</v>
      </c>
      <c r="P164" t="n">
        <v>0</v>
      </c>
      <c r="Q164" t="n">
        <v>0</v>
      </c>
      <c r="R164" s="2" t="inlineStr"/>
    </row>
    <row r="165" ht="15" customHeight="1">
      <c r="A165" t="inlineStr">
        <is>
          <t>A 1982-2020</t>
        </is>
      </c>
      <c r="B165" s="1" t="n">
        <v>43845</v>
      </c>
      <c r="C165" s="1" t="n">
        <v>45786</v>
      </c>
      <c r="D165" t="inlineStr">
        <is>
          <t>VÄSTERNORRLANDS LÄN</t>
        </is>
      </c>
      <c r="E165" t="inlineStr">
        <is>
          <t>KRAMFORS</t>
        </is>
      </c>
      <c r="G165" t="n">
        <v>3.3</v>
      </c>
      <c r="H165" t="n">
        <v>0</v>
      </c>
      <c r="I165" t="n">
        <v>0</v>
      </c>
      <c r="J165" t="n">
        <v>0</v>
      </c>
      <c r="K165" t="n">
        <v>0</v>
      </c>
      <c r="L165" t="n">
        <v>0</v>
      </c>
      <c r="M165" t="n">
        <v>0</v>
      </c>
      <c r="N165" t="n">
        <v>0</v>
      </c>
      <c r="O165" t="n">
        <v>0</v>
      </c>
      <c r="P165" t="n">
        <v>0</v>
      </c>
      <c r="Q165" t="n">
        <v>0</v>
      </c>
      <c r="R165" s="2" t="inlineStr"/>
    </row>
    <row r="166" ht="15" customHeight="1">
      <c r="A166" t="inlineStr">
        <is>
          <t>A 2361-2020</t>
        </is>
      </c>
      <c r="B166" s="1" t="n">
        <v>43846</v>
      </c>
      <c r="C166" s="1" t="n">
        <v>45786</v>
      </c>
      <c r="D166" t="inlineStr">
        <is>
          <t>VÄSTERNORRLANDS LÄN</t>
        </is>
      </c>
      <c r="E166" t="inlineStr">
        <is>
          <t>KRAMFORS</t>
        </is>
      </c>
      <c r="G166" t="n">
        <v>4.6</v>
      </c>
      <c r="H166" t="n">
        <v>0</v>
      </c>
      <c r="I166" t="n">
        <v>0</v>
      </c>
      <c r="J166" t="n">
        <v>0</v>
      </c>
      <c r="K166" t="n">
        <v>0</v>
      </c>
      <c r="L166" t="n">
        <v>0</v>
      </c>
      <c r="M166" t="n">
        <v>0</v>
      </c>
      <c r="N166" t="n">
        <v>0</v>
      </c>
      <c r="O166" t="n">
        <v>0</v>
      </c>
      <c r="P166" t="n">
        <v>0</v>
      </c>
      <c r="Q166" t="n">
        <v>0</v>
      </c>
      <c r="R166" s="2" t="inlineStr"/>
    </row>
    <row r="167" ht="15" customHeight="1">
      <c r="A167" t="inlineStr">
        <is>
          <t>A 2794-2020</t>
        </is>
      </c>
      <c r="B167" s="1" t="n">
        <v>43850</v>
      </c>
      <c r="C167" s="1" t="n">
        <v>45786</v>
      </c>
      <c r="D167" t="inlineStr">
        <is>
          <t>VÄSTERNORRLANDS LÄN</t>
        </is>
      </c>
      <c r="E167" t="inlineStr">
        <is>
          <t>KRAMFORS</t>
        </is>
      </c>
      <c r="G167" t="n">
        <v>2.4</v>
      </c>
      <c r="H167" t="n">
        <v>0</v>
      </c>
      <c r="I167" t="n">
        <v>0</v>
      </c>
      <c r="J167" t="n">
        <v>0</v>
      </c>
      <c r="K167" t="n">
        <v>0</v>
      </c>
      <c r="L167" t="n">
        <v>0</v>
      </c>
      <c r="M167" t="n">
        <v>0</v>
      </c>
      <c r="N167" t="n">
        <v>0</v>
      </c>
      <c r="O167" t="n">
        <v>0</v>
      </c>
      <c r="P167" t="n">
        <v>0</v>
      </c>
      <c r="Q167" t="n">
        <v>0</v>
      </c>
      <c r="R167" s="2" t="inlineStr"/>
    </row>
    <row r="168" ht="15" customHeight="1">
      <c r="A168" t="inlineStr">
        <is>
          <t>A 2793-2020</t>
        </is>
      </c>
      <c r="B168" s="1" t="n">
        <v>43850</v>
      </c>
      <c r="C168" s="1" t="n">
        <v>45786</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3496-2020</t>
        </is>
      </c>
      <c r="B169" s="1" t="n">
        <v>43852</v>
      </c>
      <c r="C169" s="1" t="n">
        <v>45786</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3490-2020</t>
        </is>
      </c>
      <c r="B170" s="1" t="n">
        <v>43852</v>
      </c>
      <c r="C170" s="1" t="n">
        <v>45786</v>
      </c>
      <c r="D170" t="inlineStr">
        <is>
          <t>VÄSTERNORRLANDS LÄN</t>
        </is>
      </c>
      <c r="E170" t="inlineStr">
        <is>
          <t>KRAMFORS</t>
        </is>
      </c>
      <c r="G170" t="n">
        <v>2.9</v>
      </c>
      <c r="H170" t="n">
        <v>0</v>
      </c>
      <c r="I170" t="n">
        <v>0</v>
      </c>
      <c r="J170" t="n">
        <v>0</v>
      </c>
      <c r="K170" t="n">
        <v>0</v>
      </c>
      <c r="L170" t="n">
        <v>0</v>
      </c>
      <c r="M170" t="n">
        <v>0</v>
      </c>
      <c r="N170" t="n">
        <v>0</v>
      </c>
      <c r="O170" t="n">
        <v>0</v>
      </c>
      <c r="P170" t="n">
        <v>0</v>
      </c>
      <c r="Q170" t="n">
        <v>0</v>
      </c>
      <c r="R170" s="2" t="inlineStr"/>
    </row>
    <row r="171" ht="15" customHeight="1">
      <c r="A171" t="inlineStr">
        <is>
          <t>A 5707-2020</t>
        </is>
      </c>
      <c r="B171" s="1" t="n">
        <v>43861</v>
      </c>
      <c r="C171" s="1" t="n">
        <v>45786</v>
      </c>
      <c r="D171" t="inlineStr">
        <is>
          <t>VÄSTERNORRLANDS LÄN</t>
        </is>
      </c>
      <c r="E171" t="inlineStr">
        <is>
          <t>KRAMFORS</t>
        </is>
      </c>
      <c r="G171" t="n">
        <v>3.9</v>
      </c>
      <c r="H171" t="n">
        <v>0</v>
      </c>
      <c r="I171" t="n">
        <v>0</v>
      </c>
      <c r="J171" t="n">
        <v>0</v>
      </c>
      <c r="K171" t="n">
        <v>0</v>
      </c>
      <c r="L171" t="n">
        <v>0</v>
      </c>
      <c r="M171" t="n">
        <v>0</v>
      </c>
      <c r="N171" t="n">
        <v>0</v>
      </c>
      <c r="O171" t="n">
        <v>0</v>
      </c>
      <c r="P171" t="n">
        <v>0</v>
      </c>
      <c r="Q171" t="n">
        <v>0</v>
      </c>
      <c r="R171" s="2" t="inlineStr"/>
    </row>
    <row r="172" ht="15" customHeight="1">
      <c r="A172" t="inlineStr">
        <is>
          <t>A 6269-2020</t>
        </is>
      </c>
      <c r="B172" s="1" t="n">
        <v>43866</v>
      </c>
      <c r="C172" s="1" t="n">
        <v>45786</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8130-2020</t>
        </is>
      </c>
      <c r="B173" s="1" t="n">
        <v>43867</v>
      </c>
      <c r="C173" s="1" t="n">
        <v>45786</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7175-2020</t>
        </is>
      </c>
      <c r="B174" s="1" t="n">
        <v>43868</v>
      </c>
      <c r="C174" s="1" t="n">
        <v>45786</v>
      </c>
      <c r="D174" t="inlineStr">
        <is>
          <t>VÄSTERNORRLANDS LÄN</t>
        </is>
      </c>
      <c r="E174" t="inlineStr">
        <is>
          <t>KRAMFORS</t>
        </is>
      </c>
      <c r="G174" t="n">
        <v>3.5</v>
      </c>
      <c r="H174" t="n">
        <v>0</v>
      </c>
      <c r="I174" t="n">
        <v>0</v>
      </c>
      <c r="J174" t="n">
        <v>0</v>
      </c>
      <c r="K174" t="n">
        <v>0</v>
      </c>
      <c r="L174" t="n">
        <v>0</v>
      </c>
      <c r="M174" t="n">
        <v>0</v>
      </c>
      <c r="N174" t="n">
        <v>0</v>
      </c>
      <c r="O174" t="n">
        <v>0</v>
      </c>
      <c r="P174" t="n">
        <v>0</v>
      </c>
      <c r="Q174" t="n">
        <v>0</v>
      </c>
      <c r="R174" s="2" t="inlineStr"/>
    </row>
    <row r="175" ht="15" customHeight="1">
      <c r="A175" t="inlineStr">
        <is>
          <t>A 8487-2020</t>
        </is>
      </c>
      <c r="B175" s="1" t="n">
        <v>43874</v>
      </c>
      <c r="C175" s="1" t="n">
        <v>45786</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8486-2020</t>
        </is>
      </c>
      <c r="B176" s="1" t="n">
        <v>43875</v>
      </c>
      <c r="C176" s="1" t="n">
        <v>45786</v>
      </c>
      <c r="D176" t="inlineStr">
        <is>
          <t>VÄSTERNORRLANDS LÄN</t>
        </is>
      </c>
      <c r="E176" t="inlineStr">
        <is>
          <t>KRAMFORS</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8524-2020</t>
        </is>
      </c>
      <c r="B177" s="1" t="n">
        <v>43875</v>
      </c>
      <c r="C177" s="1" t="n">
        <v>45786</v>
      </c>
      <c r="D177" t="inlineStr">
        <is>
          <t>VÄSTERNORRLANDS LÄN</t>
        </is>
      </c>
      <c r="E177" t="inlineStr">
        <is>
          <t>KRAMFORS</t>
        </is>
      </c>
      <c r="F177" t="inlineStr">
        <is>
          <t>Kommuner</t>
        </is>
      </c>
      <c r="G177" t="n">
        <v>0.7</v>
      </c>
      <c r="H177" t="n">
        <v>0</v>
      </c>
      <c r="I177" t="n">
        <v>0</v>
      </c>
      <c r="J177" t="n">
        <v>0</v>
      </c>
      <c r="K177" t="n">
        <v>0</v>
      </c>
      <c r="L177" t="n">
        <v>0</v>
      </c>
      <c r="M177" t="n">
        <v>0</v>
      </c>
      <c r="N177" t="n">
        <v>0</v>
      </c>
      <c r="O177" t="n">
        <v>0</v>
      </c>
      <c r="P177" t="n">
        <v>0</v>
      </c>
      <c r="Q177" t="n">
        <v>0</v>
      </c>
      <c r="R177" s="2" t="inlineStr"/>
    </row>
    <row r="178" ht="15" customHeight="1">
      <c r="A178" t="inlineStr">
        <is>
          <t>A 8479-2020</t>
        </is>
      </c>
      <c r="B178" s="1" t="n">
        <v>43875</v>
      </c>
      <c r="C178" s="1" t="n">
        <v>45786</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8525-2020</t>
        </is>
      </c>
      <c r="B179" s="1" t="n">
        <v>43875</v>
      </c>
      <c r="C179" s="1" t="n">
        <v>45786</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9836-2020</t>
        </is>
      </c>
      <c r="B180" s="1" t="n">
        <v>43881</v>
      </c>
      <c r="C180" s="1" t="n">
        <v>45786</v>
      </c>
      <c r="D180" t="inlineStr">
        <is>
          <t>VÄSTERNORRLANDS LÄN</t>
        </is>
      </c>
      <c r="E180" t="inlineStr">
        <is>
          <t>KRAMFORS</t>
        </is>
      </c>
      <c r="G180" t="n">
        <v>3.2</v>
      </c>
      <c r="H180" t="n">
        <v>0</v>
      </c>
      <c r="I180" t="n">
        <v>0</v>
      </c>
      <c r="J180" t="n">
        <v>0</v>
      </c>
      <c r="K180" t="n">
        <v>0</v>
      </c>
      <c r="L180" t="n">
        <v>0</v>
      </c>
      <c r="M180" t="n">
        <v>0</v>
      </c>
      <c r="N180" t="n">
        <v>0</v>
      </c>
      <c r="O180" t="n">
        <v>0</v>
      </c>
      <c r="P180" t="n">
        <v>0</v>
      </c>
      <c r="Q180" t="n">
        <v>0</v>
      </c>
      <c r="R180" s="2" t="inlineStr"/>
    </row>
    <row r="181" ht="15" customHeight="1">
      <c r="A181" t="inlineStr">
        <is>
          <t>A 12464-2020</t>
        </is>
      </c>
      <c r="B181" s="1" t="n">
        <v>43892</v>
      </c>
      <c r="C181" s="1" t="n">
        <v>45786</v>
      </c>
      <c r="D181" t="inlineStr">
        <is>
          <t>VÄSTERNORRLANDS LÄN</t>
        </is>
      </c>
      <c r="E181" t="inlineStr">
        <is>
          <t>KRAMFORS</t>
        </is>
      </c>
      <c r="G181" t="n">
        <v>1.7</v>
      </c>
      <c r="H181" t="n">
        <v>0</v>
      </c>
      <c r="I181" t="n">
        <v>0</v>
      </c>
      <c r="J181" t="n">
        <v>0</v>
      </c>
      <c r="K181" t="n">
        <v>0</v>
      </c>
      <c r="L181" t="n">
        <v>0</v>
      </c>
      <c r="M181" t="n">
        <v>0</v>
      </c>
      <c r="N181" t="n">
        <v>0</v>
      </c>
      <c r="O181" t="n">
        <v>0</v>
      </c>
      <c r="P181" t="n">
        <v>0</v>
      </c>
      <c r="Q181" t="n">
        <v>0</v>
      </c>
      <c r="R181" s="2" t="inlineStr"/>
    </row>
    <row r="182" ht="15" customHeight="1">
      <c r="A182" t="inlineStr">
        <is>
          <t>A 14092-2020</t>
        </is>
      </c>
      <c r="B182" s="1" t="n">
        <v>43899</v>
      </c>
      <c r="C182" s="1" t="n">
        <v>45786</v>
      </c>
      <c r="D182" t="inlineStr">
        <is>
          <t>VÄSTERNORRLANDS LÄN</t>
        </is>
      </c>
      <c r="E182" t="inlineStr">
        <is>
          <t>KRAMFORS</t>
        </is>
      </c>
      <c r="G182" t="n">
        <v>1.3</v>
      </c>
      <c r="H182" t="n">
        <v>0</v>
      </c>
      <c r="I182" t="n">
        <v>0</v>
      </c>
      <c r="J182" t="n">
        <v>0</v>
      </c>
      <c r="K182" t="n">
        <v>0</v>
      </c>
      <c r="L182" t="n">
        <v>0</v>
      </c>
      <c r="M182" t="n">
        <v>0</v>
      </c>
      <c r="N182" t="n">
        <v>0</v>
      </c>
      <c r="O182" t="n">
        <v>0</v>
      </c>
      <c r="P182" t="n">
        <v>0</v>
      </c>
      <c r="Q182" t="n">
        <v>0</v>
      </c>
      <c r="R182" s="2" t="inlineStr"/>
    </row>
    <row r="183" ht="15" customHeight="1">
      <c r="A183" t="inlineStr">
        <is>
          <t>A 14086-2020</t>
        </is>
      </c>
      <c r="B183" s="1" t="n">
        <v>43899</v>
      </c>
      <c r="C183" s="1" t="n">
        <v>45786</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14861-2020</t>
        </is>
      </c>
      <c r="B184" s="1" t="n">
        <v>43909</v>
      </c>
      <c r="C184" s="1" t="n">
        <v>45786</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16160-2020</t>
        </is>
      </c>
      <c r="B185" s="1" t="n">
        <v>43916</v>
      </c>
      <c r="C185" s="1" t="n">
        <v>45786</v>
      </c>
      <c r="D185" t="inlineStr">
        <is>
          <t>VÄSTERNORRLANDS LÄN</t>
        </is>
      </c>
      <c r="E185" t="inlineStr">
        <is>
          <t>KRAMFORS</t>
        </is>
      </c>
      <c r="G185" t="n">
        <v>2.1</v>
      </c>
      <c r="H185" t="n">
        <v>0</v>
      </c>
      <c r="I185" t="n">
        <v>0</v>
      </c>
      <c r="J185" t="n">
        <v>0</v>
      </c>
      <c r="K185" t="n">
        <v>0</v>
      </c>
      <c r="L185" t="n">
        <v>0</v>
      </c>
      <c r="M185" t="n">
        <v>0</v>
      </c>
      <c r="N185" t="n">
        <v>0</v>
      </c>
      <c r="O185" t="n">
        <v>0</v>
      </c>
      <c r="P185" t="n">
        <v>0</v>
      </c>
      <c r="Q185" t="n">
        <v>0</v>
      </c>
      <c r="R185" s="2" t="inlineStr"/>
    </row>
    <row r="186" ht="15" customHeight="1">
      <c r="A186" t="inlineStr">
        <is>
          <t>A 19000-2020</t>
        </is>
      </c>
      <c r="B186" s="1" t="n">
        <v>43935</v>
      </c>
      <c r="C186" s="1" t="n">
        <v>45786</v>
      </c>
      <c r="D186" t="inlineStr">
        <is>
          <t>VÄSTERNORRLANDS LÄN</t>
        </is>
      </c>
      <c r="E186" t="inlineStr">
        <is>
          <t>KRAMFORS</t>
        </is>
      </c>
      <c r="G186" t="n">
        <v>1.1</v>
      </c>
      <c r="H186" t="n">
        <v>0</v>
      </c>
      <c r="I186" t="n">
        <v>0</v>
      </c>
      <c r="J186" t="n">
        <v>0</v>
      </c>
      <c r="K186" t="n">
        <v>0</v>
      </c>
      <c r="L186" t="n">
        <v>0</v>
      </c>
      <c r="M186" t="n">
        <v>0</v>
      </c>
      <c r="N186" t="n">
        <v>0</v>
      </c>
      <c r="O186" t="n">
        <v>0</v>
      </c>
      <c r="P186" t="n">
        <v>0</v>
      </c>
      <c r="Q186" t="n">
        <v>0</v>
      </c>
      <c r="R186" s="2" t="inlineStr"/>
    </row>
    <row r="187" ht="15" customHeight="1">
      <c r="A187" t="inlineStr">
        <is>
          <t>A 19164-2020</t>
        </is>
      </c>
      <c r="B187" s="1" t="n">
        <v>43936</v>
      </c>
      <c r="C187" s="1" t="n">
        <v>45786</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19708-2020</t>
        </is>
      </c>
      <c r="B188" s="1" t="n">
        <v>43937</v>
      </c>
      <c r="C188" s="1" t="n">
        <v>45786</v>
      </c>
      <c r="D188" t="inlineStr">
        <is>
          <t>VÄSTERNORRLANDS LÄN</t>
        </is>
      </c>
      <c r="E188" t="inlineStr">
        <is>
          <t>KRAMFORS</t>
        </is>
      </c>
      <c r="F188" t="inlineStr">
        <is>
          <t>Kyrkan</t>
        </is>
      </c>
      <c r="G188" t="n">
        <v>6.4</v>
      </c>
      <c r="H188" t="n">
        <v>0</v>
      </c>
      <c r="I188" t="n">
        <v>0</v>
      </c>
      <c r="J188" t="n">
        <v>0</v>
      </c>
      <c r="K188" t="n">
        <v>0</v>
      </c>
      <c r="L188" t="n">
        <v>0</v>
      </c>
      <c r="M188" t="n">
        <v>0</v>
      </c>
      <c r="N188" t="n">
        <v>0</v>
      </c>
      <c r="O188" t="n">
        <v>0</v>
      </c>
      <c r="P188" t="n">
        <v>0</v>
      </c>
      <c r="Q188" t="n">
        <v>0</v>
      </c>
      <c r="R188" s="2" t="inlineStr"/>
    </row>
    <row r="189" ht="15" customHeight="1">
      <c r="A189" t="inlineStr">
        <is>
          <t>A 21021-2020</t>
        </is>
      </c>
      <c r="B189" s="1" t="n">
        <v>43950</v>
      </c>
      <c r="C189" s="1" t="n">
        <v>45786</v>
      </c>
      <c r="D189" t="inlineStr">
        <is>
          <t>VÄSTERNORRLANDS LÄN</t>
        </is>
      </c>
      <c r="E189" t="inlineStr">
        <is>
          <t>KRAMFORS</t>
        </is>
      </c>
      <c r="F189" t="inlineStr">
        <is>
          <t>SCA</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22369-2020</t>
        </is>
      </c>
      <c r="B190" s="1" t="n">
        <v>43957</v>
      </c>
      <c r="C190" s="1" t="n">
        <v>45786</v>
      </c>
      <c r="D190" t="inlineStr">
        <is>
          <t>VÄSTERNORRLANDS LÄN</t>
        </is>
      </c>
      <c r="E190" t="inlineStr">
        <is>
          <t>KRAMFORS</t>
        </is>
      </c>
      <c r="G190" t="n">
        <v>1.5</v>
      </c>
      <c r="H190" t="n">
        <v>0</v>
      </c>
      <c r="I190" t="n">
        <v>0</v>
      </c>
      <c r="J190" t="n">
        <v>0</v>
      </c>
      <c r="K190" t="n">
        <v>0</v>
      </c>
      <c r="L190" t="n">
        <v>0</v>
      </c>
      <c r="M190" t="n">
        <v>0</v>
      </c>
      <c r="N190" t="n">
        <v>0</v>
      </c>
      <c r="O190" t="n">
        <v>0</v>
      </c>
      <c r="P190" t="n">
        <v>0</v>
      </c>
      <c r="Q190" t="n">
        <v>0</v>
      </c>
      <c r="R190" s="2" t="inlineStr"/>
    </row>
    <row r="191" ht="15" customHeight="1">
      <c r="A191" t="inlineStr">
        <is>
          <t>A 22698-2020</t>
        </is>
      </c>
      <c r="B191" s="1" t="n">
        <v>43963</v>
      </c>
      <c r="C191" s="1" t="n">
        <v>45786</v>
      </c>
      <c r="D191" t="inlineStr">
        <is>
          <t>VÄSTERNORRLANDS LÄN</t>
        </is>
      </c>
      <c r="E191" t="inlineStr">
        <is>
          <t>KRAMFORS</t>
        </is>
      </c>
      <c r="F191" t="inlineStr">
        <is>
          <t>SCA</t>
        </is>
      </c>
      <c r="G191" t="n">
        <v>8.5</v>
      </c>
      <c r="H191" t="n">
        <v>0</v>
      </c>
      <c r="I191" t="n">
        <v>0</v>
      </c>
      <c r="J191" t="n">
        <v>0</v>
      </c>
      <c r="K191" t="n">
        <v>0</v>
      </c>
      <c r="L191" t="n">
        <v>0</v>
      </c>
      <c r="M191" t="n">
        <v>0</v>
      </c>
      <c r="N191" t="n">
        <v>0</v>
      </c>
      <c r="O191" t="n">
        <v>0</v>
      </c>
      <c r="P191" t="n">
        <v>0</v>
      </c>
      <c r="Q191" t="n">
        <v>0</v>
      </c>
      <c r="R191" s="2" t="inlineStr"/>
    </row>
    <row r="192" ht="15" customHeight="1">
      <c r="A192" t="inlineStr">
        <is>
          <t>A 22829-2020</t>
        </is>
      </c>
      <c r="B192" s="1" t="n">
        <v>43964</v>
      </c>
      <c r="C192" s="1" t="n">
        <v>45786</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22841-2020</t>
        </is>
      </c>
      <c r="B193" s="1" t="n">
        <v>43964</v>
      </c>
      <c r="C193" s="1" t="n">
        <v>45786</v>
      </c>
      <c r="D193" t="inlineStr">
        <is>
          <t>VÄSTERNORRLANDS LÄN</t>
        </is>
      </c>
      <c r="E193" t="inlineStr">
        <is>
          <t>KRAMFORS</t>
        </is>
      </c>
      <c r="G193" t="n">
        <v>0.9</v>
      </c>
      <c r="H193" t="n">
        <v>0</v>
      </c>
      <c r="I193" t="n">
        <v>0</v>
      </c>
      <c r="J193" t="n">
        <v>0</v>
      </c>
      <c r="K193" t="n">
        <v>0</v>
      </c>
      <c r="L193" t="n">
        <v>0</v>
      </c>
      <c r="M193" t="n">
        <v>0</v>
      </c>
      <c r="N193" t="n">
        <v>0</v>
      </c>
      <c r="O193" t="n">
        <v>0</v>
      </c>
      <c r="P193" t="n">
        <v>0</v>
      </c>
      <c r="Q193" t="n">
        <v>0</v>
      </c>
      <c r="R193" s="2" t="inlineStr"/>
    </row>
    <row r="194" ht="15" customHeight="1">
      <c r="A194" t="inlineStr">
        <is>
          <t>A 23752-2020</t>
        </is>
      </c>
      <c r="B194" s="1" t="n">
        <v>43969</v>
      </c>
      <c r="C194" s="1" t="n">
        <v>45786</v>
      </c>
      <c r="D194" t="inlineStr">
        <is>
          <t>VÄSTERNORRLANDS LÄN</t>
        </is>
      </c>
      <c r="E194" t="inlineStr">
        <is>
          <t>KRAMFORS</t>
        </is>
      </c>
      <c r="G194" t="n">
        <v>4.1</v>
      </c>
      <c r="H194" t="n">
        <v>0</v>
      </c>
      <c r="I194" t="n">
        <v>0</v>
      </c>
      <c r="J194" t="n">
        <v>0</v>
      </c>
      <c r="K194" t="n">
        <v>0</v>
      </c>
      <c r="L194" t="n">
        <v>0</v>
      </c>
      <c r="M194" t="n">
        <v>0</v>
      </c>
      <c r="N194" t="n">
        <v>0</v>
      </c>
      <c r="O194" t="n">
        <v>0</v>
      </c>
      <c r="P194" t="n">
        <v>0</v>
      </c>
      <c r="Q194" t="n">
        <v>0</v>
      </c>
      <c r="R194" s="2" t="inlineStr"/>
    </row>
    <row r="195" ht="15" customHeight="1">
      <c r="A195" t="inlineStr">
        <is>
          <t>A 24665-2020</t>
        </is>
      </c>
      <c r="B195" s="1" t="n">
        <v>43977</v>
      </c>
      <c r="C195" s="1" t="n">
        <v>45786</v>
      </c>
      <c r="D195" t="inlineStr">
        <is>
          <t>VÄSTERNORRLANDS LÄN</t>
        </is>
      </c>
      <c r="E195" t="inlineStr">
        <is>
          <t>KRAMFORS</t>
        </is>
      </c>
      <c r="G195" t="n">
        <v>2.3</v>
      </c>
      <c r="H195" t="n">
        <v>0</v>
      </c>
      <c r="I195" t="n">
        <v>0</v>
      </c>
      <c r="J195" t="n">
        <v>0</v>
      </c>
      <c r="K195" t="n">
        <v>0</v>
      </c>
      <c r="L195" t="n">
        <v>0</v>
      </c>
      <c r="M195" t="n">
        <v>0</v>
      </c>
      <c r="N195" t="n">
        <v>0</v>
      </c>
      <c r="O195" t="n">
        <v>0</v>
      </c>
      <c r="P195" t="n">
        <v>0</v>
      </c>
      <c r="Q195" t="n">
        <v>0</v>
      </c>
      <c r="R195" s="2" t="inlineStr"/>
    </row>
    <row r="196" ht="15" customHeight="1">
      <c r="A196" t="inlineStr">
        <is>
          <t>A 25290-2020</t>
        </is>
      </c>
      <c r="B196" s="1" t="n">
        <v>43979</v>
      </c>
      <c r="C196" s="1" t="n">
        <v>45786</v>
      </c>
      <c r="D196" t="inlineStr">
        <is>
          <t>VÄSTERNORRLANDS LÄN</t>
        </is>
      </c>
      <c r="E196" t="inlineStr">
        <is>
          <t>KRAMFORS</t>
        </is>
      </c>
      <c r="G196" t="n">
        <v>1.2</v>
      </c>
      <c r="H196" t="n">
        <v>0</v>
      </c>
      <c r="I196" t="n">
        <v>0</v>
      </c>
      <c r="J196" t="n">
        <v>0</v>
      </c>
      <c r="K196" t="n">
        <v>0</v>
      </c>
      <c r="L196" t="n">
        <v>0</v>
      </c>
      <c r="M196" t="n">
        <v>0</v>
      </c>
      <c r="N196" t="n">
        <v>0</v>
      </c>
      <c r="O196" t="n">
        <v>0</v>
      </c>
      <c r="P196" t="n">
        <v>0</v>
      </c>
      <c r="Q196" t="n">
        <v>0</v>
      </c>
      <c r="R196" s="2" t="inlineStr"/>
    </row>
    <row r="197" ht="15" customHeight="1">
      <c r="A197" t="inlineStr">
        <is>
          <t>A 25659-2020</t>
        </is>
      </c>
      <c r="B197" s="1" t="n">
        <v>43983</v>
      </c>
      <c r="C197" s="1" t="n">
        <v>45786</v>
      </c>
      <c r="D197" t="inlineStr">
        <is>
          <t>VÄSTERNORRLANDS LÄN</t>
        </is>
      </c>
      <c r="E197" t="inlineStr">
        <is>
          <t>KRAMFORS</t>
        </is>
      </c>
      <c r="G197" t="n">
        <v>2.6</v>
      </c>
      <c r="H197" t="n">
        <v>0</v>
      </c>
      <c r="I197" t="n">
        <v>0</v>
      </c>
      <c r="J197" t="n">
        <v>0</v>
      </c>
      <c r="K197" t="n">
        <v>0</v>
      </c>
      <c r="L197" t="n">
        <v>0</v>
      </c>
      <c r="M197" t="n">
        <v>0</v>
      </c>
      <c r="N197" t="n">
        <v>0</v>
      </c>
      <c r="O197" t="n">
        <v>0</v>
      </c>
      <c r="P197" t="n">
        <v>0</v>
      </c>
      <c r="Q197" t="n">
        <v>0</v>
      </c>
      <c r="R197" s="2" t="inlineStr"/>
    </row>
    <row r="198" ht="15" customHeight="1">
      <c r="A198" t="inlineStr">
        <is>
          <t>A 26976-2020</t>
        </is>
      </c>
      <c r="B198" s="1" t="n">
        <v>43990</v>
      </c>
      <c r="C198" s="1" t="n">
        <v>45786</v>
      </c>
      <c r="D198" t="inlineStr">
        <is>
          <t>VÄSTERNORRLANDS LÄN</t>
        </is>
      </c>
      <c r="E198" t="inlineStr">
        <is>
          <t>KRAMFORS</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27454-2020</t>
        </is>
      </c>
      <c r="B199" s="1" t="n">
        <v>43992</v>
      </c>
      <c r="C199" s="1" t="n">
        <v>45786</v>
      </c>
      <c r="D199" t="inlineStr">
        <is>
          <t>VÄSTERNORRLANDS LÄN</t>
        </is>
      </c>
      <c r="E199" t="inlineStr">
        <is>
          <t>KRAMFORS</t>
        </is>
      </c>
      <c r="G199" t="n">
        <v>1.9</v>
      </c>
      <c r="H199" t="n">
        <v>0</v>
      </c>
      <c r="I199" t="n">
        <v>0</v>
      </c>
      <c r="J199" t="n">
        <v>0</v>
      </c>
      <c r="K199" t="n">
        <v>0</v>
      </c>
      <c r="L199" t="n">
        <v>0</v>
      </c>
      <c r="M199" t="n">
        <v>0</v>
      </c>
      <c r="N199" t="n">
        <v>0</v>
      </c>
      <c r="O199" t="n">
        <v>0</v>
      </c>
      <c r="P199" t="n">
        <v>0</v>
      </c>
      <c r="Q199" t="n">
        <v>0</v>
      </c>
      <c r="R199" s="2" t="inlineStr"/>
    </row>
    <row r="200" ht="15" customHeight="1">
      <c r="A200" t="inlineStr">
        <is>
          <t>A 27886-2020</t>
        </is>
      </c>
      <c r="B200" s="1" t="n">
        <v>43994</v>
      </c>
      <c r="C200" s="1" t="n">
        <v>45786</v>
      </c>
      <c r="D200" t="inlineStr">
        <is>
          <t>VÄSTERNORRLANDS LÄN</t>
        </is>
      </c>
      <c r="E200" t="inlineStr">
        <is>
          <t>KRAMFORS</t>
        </is>
      </c>
      <c r="G200" t="n">
        <v>4.8</v>
      </c>
      <c r="H200" t="n">
        <v>0</v>
      </c>
      <c r="I200" t="n">
        <v>0</v>
      </c>
      <c r="J200" t="n">
        <v>0</v>
      </c>
      <c r="K200" t="n">
        <v>0</v>
      </c>
      <c r="L200" t="n">
        <v>0</v>
      </c>
      <c r="M200" t="n">
        <v>0</v>
      </c>
      <c r="N200" t="n">
        <v>0</v>
      </c>
      <c r="O200" t="n">
        <v>0</v>
      </c>
      <c r="P200" t="n">
        <v>0</v>
      </c>
      <c r="Q200" t="n">
        <v>0</v>
      </c>
      <c r="R200" s="2" t="inlineStr"/>
    </row>
    <row r="201" ht="15" customHeight="1">
      <c r="A201" t="inlineStr">
        <is>
          <t>A 28195-2020</t>
        </is>
      </c>
      <c r="B201" s="1" t="n">
        <v>43998</v>
      </c>
      <c r="C201" s="1" t="n">
        <v>45786</v>
      </c>
      <c r="D201" t="inlineStr">
        <is>
          <t>VÄSTERNORRLANDS LÄN</t>
        </is>
      </c>
      <c r="E201" t="inlineStr">
        <is>
          <t>KRAMFORS</t>
        </is>
      </c>
      <c r="G201" t="n">
        <v>5</v>
      </c>
      <c r="H201" t="n">
        <v>0</v>
      </c>
      <c r="I201" t="n">
        <v>0</v>
      </c>
      <c r="J201" t="n">
        <v>0</v>
      </c>
      <c r="K201" t="n">
        <v>0</v>
      </c>
      <c r="L201" t="n">
        <v>0</v>
      </c>
      <c r="M201" t="n">
        <v>0</v>
      </c>
      <c r="N201" t="n">
        <v>0</v>
      </c>
      <c r="O201" t="n">
        <v>0</v>
      </c>
      <c r="P201" t="n">
        <v>0</v>
      </c>
      <c r="Q201" t="n">
        <v>0</v>
      </c>
      <c r="R201" s="2" t="inlineStr"/>
    </row>
    <row r="202" ht="15" customHeight="1">
      <c r="A202" t="inlineStr">
        <is>
          <t>A 27951-2020</t>
        </is>
      </c>
      <c r="B202" s="1" t="n">
        <v>43997</v>
      </c>
      <c r="C202" s="1" t="n">
        <v>45786</v>
      </c>
      <c r="D202" t="inlineStr">
        <is>
          <t>VÄSTERNORRLANDS LÄN</t>
        </is>
      </c>
      <c r="E202" t="inlineStr">
        <is>
          <t>KRAMFORS</t>
        </is>
      </c>
      <c r="G202" t="n">
        <v>18.7</v>
      </c>
      <c r="H202" t="n">
        <v>0</v>
      </c>
      <c r="I202" t="n">
        <v>0</v>
      </c>
      <c r="J202" t="n">
        <v>0</v>
      </c>
      <c r="K202" t="n">
        <v>0</v>
      </c>
      <c r="L202" t="n">
        <v>0</v>
      </c>
      <c r="M202" t="n">
        <v>0</v>
      </c>
      <c r="N202" t="n">
        <v>0</v>
      </c>
      <c r="O202" t="n">
        <v>0</v>
      </c>
      <c r="P202" t="n">
        <v>0</v>
      </c>
      <c r="Q202" t="n">
        <v>0</v>
      </c>
      <c r="R202" s="2" t="inlineStr"/>
    </row>
    <row r="203" ht="15" customHeight="1">
      <c r="A203" t="inlineStr">
        <is>
          <t>A 28532-2020</t>
        </is>
      </c>
      <c r="B203" s="1" t="n">
        <v>43999</v>
      </c>
      <c r="C203" s="1" t="n">
        <v>45786</v>
      </c>
      <c r="D203" t="inlineStr">
        <is>
          <t>VÄSTERNORRLANDS LÄN</t>
        </is>
      </c>
      <c r="E203" t="inlineStr">
        <is>
          <t>KRAMFORS</t>
        </is>
      </c>
      <c r="G203" t="n">
        <v>4.6</v>
      </c>
      <c r="H203" t="n">
        <v>0</v>
      </c>
      <c r="I203" t="n">
        <v>0</v>
      </c>
      <c r="J203" t="n">
        <v>0</v>
      </c>
      <c r="K203" t="n">
        <v>0</v>
      </c>
      <c r="L203" t="n">
        <v>0</v>
      </c>
      <c r="M203" t="n">
        <v>0</v>
      </c>
      <c r="N203" t="n">
        <v>0</v>
      </c>
      <c r="O203" t="n">
        <v>0</v>
      </c>
      <c r="P203" t="n">
        <v>0</v>
      </c>
      <c r="Q203" t="n">
        <v>0</v>
      </c>
      <c r="R203" s="2" t="inlineStr"/>
    </row>
    <row r="204" ht="15" customHeight="1">
      <c r="A204" t="inlineStr">
        <is>
          <t>A 29070-2020</t>
        </is>
      </c>
      <c r="B204" s="1" t="n">
        <v>44001</v>
      </c>
      <c r="C204" s="1" t="n">
        <v>45786</v>
      </c>
      <c r="D204" t="inlineStr">
        <is>
          <t>VÄSTERNORRLANDS LÄN</t>
        </is>
      </c>
      <c r="E204" t="inlineStr">
        <is>
          <t>KRAMFORS</t>
        </is>
      </c>
      <c r="G204" t="n">
        <v>0.8</v>
      </c>
      <c r="H204" t="n">
        <v>0</v>
      </c>
      <c r="I204" t="n">
        <v>0</v>
      </c>
      <c r="J204" t="n">
        <v>0</v>
      </c>
      <c r="K204" t="n">
        <v>0</v>
      </c>
      <c r="L204" t="n">
        <v>0</v>
      </c>
      <c r="M204" t="n">
        <v>0</v>
      </c>
      <c r="N204" t="n">
        <v>0</v>
      </c>
      <c r="O204" t="n">
        <v>0</v>
      </c>
      <c r="P204" t="n">
        <v>0</v>
      </c>
      <c r="Q204" t="n">
        <v>0</v>
      </c>
      <c r="R204" s="2" t="inlineStr"/>
    </row>
    <row r="205" ht="15" customHeight="1">
      <c r="A205" t="inlineStr">
        <is>
          <t>A 29507-2020</t>
        </is>
      </c>
      <c r="B205" s="1" t="n">
        <v>44004</v>
      </c>
      <c r="C205" s="1" t="n">
        <v>45786</v>
      </c>
      <c r="D205" t="inlineStr">
        <is>
          <t>VÄSTERNORRLANDS LÄN</t>
        </is>
      </c>
      <c r="E205" t="inlineStr">
        <is>
          <t>KRAMFORS</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29815-2020</t>
        </is>
      </c>
      <c r="B206" s="1" t="n">
        <v>44005</v>
      </c>
      <c r="C206" s="1" t="n">
        <v>45786</v>
      </c>
      <c r="D206" t="inlineStr">
        <is>
          <t>VÄSTERNORRLANDS LÄN</t>
        </is>
      </c>
      <c r="E206" t="inlineStr">
        <is>
          <t>KRAMFORS</t>
        </is>
      </c>
      <c r="G206" t="n">
        <v>3.3</v>
      </c>
      <c r="H206" t="n">
        <v>0</v>
      </c>
      <c r="I206" t="n">
        <v>0</v>
      </c>
      <c r="J206" t="n">
        <v>0</v>
      </c>
      <c r="K206" t="n">
        <v>0</v>
      </c>
      <c r="L206" t="n">
        <v>0</v>
      </c>
      <c r="M206" t="n">
        <v>0</v>
      </c>
      <c r="N206" t="n">
        <v>0</v>
      </c>
      <c r="O206" t="n">
        <v>0</v>
      </c>
      <c r="P206" t="n">
        <v>0</v>
      </c>
      <c r="Q206" t="n">
        <v>0</v>
      </c>
      <c r="R206" s="2" t="inlineStr"/>
    </row>
    <row r="207" ht="15" customHeight="1">
      <c r="A207" t="inlineStr">
        <is>
          <t>A 30158-2020</t>
        </is>
      </c>
      <c r="B207" s="1" t="n">
        <v>44005</v>
      </c>
      <c r="C207" s="1" t="n">
        <v>45786</v>
      </c>
      <c r="D207" t="inlineStr">
        <is>
          <t>VÄSTERNORRLANDS LÄN</t>
        </is>
      </c>
      <c r="E207" t="inlineStr">
        <is>
          <t>KRAMFORS</t>
        </is>
      </c>
      <c r="G207" t="n">
        <v>0.6</v>
      </c>
      <c r="H207" t="n">
        <v>0</v>
      </c>
      <c r="I207" t="n">
        <v>0</v>
      </c>
      <c r="J207" t="n">
        <v>0</v>
      </c>
      <c r="K207" t="n">
        <v>0</v>
      </c>
      <c r="L207" t="n">
        <v>0</v>
      </c>
      <c r="M207" t="n">
        <v>0</v>
      </c>
      <c r="N207" t="n">
        <v>0</v>
      </c>
      <c r="O207" t="n">
        <v>0</v>
      </c>
      <c r="P207" t="n">
        <v>0</v>
      </c>
      <c r="Q207" t="n">
        <v>0</v>
      </c>
      <c r="R207" s="2" t="inlineStr"/>
    </row>
    <row r="208" ht="15" customHeight="1">
      <c r="A208" t="inlineStr">
        <is>
          <t>A 30159-2020</t>
        </is>
      </c>
      <c r="B208" s="1" t="n">
        <v>44005</v>
      </c>
      <c r="C208" s="1" t="n">
        <v>45786</v>
      </c>
      <c r="D208" t="inlineStr">
        <is>
          <t>VÄSTERNORRLANDS LÄN</t>
        </is>
      </c>
      <c r="E208" t="inlineStr">
        <is>
          <t>KRAMFORS</t>
        </is>
      </c>
      <c r="G208" t="n">
        <v>1</v>
      </c>
      <c r="H208" t="n">
        <v>0</v>
      </c>
      <c r="I208" t="n">
        <v>0</v>
      </c>
      <c r="J208" t="n">
        <v>0</v>
      </c>
      <c r="K208" t="n">
        <v>0</v>
      </c>
      <c r="L208" t="n">
        <v>0</v>
      </c>
      <c r="M208" t="n">
        <v>0</v>
      </c>
      <c r="N208" t="n">
        <v>0</v>
      </c>
      <c r="O208" t="n">
        <v>0</v>
      </c>
      <c r="P208" t="n">
        <v>0</v>
      </c>
      <c r="Q208" t="n">
        <v>0</v>
      </c>
      <c r="R208" s="2" t="inlineStr"/>
    </row>
    <row r="209" ht="15" customHeight="1">
      <c r="A209" t="inlineStr">
        <is>
          <t>A 30162-2020</t>
        </is>
      </c>
      <c r="B209" s="1" t="n">
        <v>44005</v>
      </c>
      <c r="C209" s="1" t="n">
        <v>45786</v>
      </c>
      <c r="D209" t="inlineStr">
        <is>
          <t>VÄSTERNORRLANDS LÄN</t>
        </is>
      </c>
      <c r="E209" t="inlineStr">
        <is>
          <t>KRAMFORS</t>
        </is>
      </c>
      <c r="G209" t="n">
        <v>2.1</v>
      </c>
      <c r="H209" t="n">
        <v>0</v>
      </c>
      <c r="I209" t="n">
        <v>0</v>
      </c>
      <c r="J209" t="n">
        <v>0</v>
      </c>
      <c r="K209" t="n">
        <v>0</v>
      </c>
      <c r="L209" t="n">
        <v>0</v>
      </c>
      <c r="M209" t="n">
        <v>0</v>
      </c>
      <c r="N209" t="n">
        <v>0</v>
      </c>
      <c r="O209" t="n">
        <v>0</v>
      </c>
      <c r="P209" t="n">
        <v>0</v>
      </c>
      <c r="Q209" t="n">
        <v>0</v>
      </c>
      <c r="R209" s="2" t="inlineStr"/>
    </row>
    <row r="210" ht="15" customHeight="1">
      <c r="A210" t="inlineStr">
        <is>
          <t>A 31293-2020</t>
        </is>
      </c>
      <c r="B210" s="1" t="n">
        <v>44012</v>
      </c>
      <c r="C210" s="1" t="n">
        <v>45786</v>
      </c>
      <c r="D210" t="inlineStr">
        <is>
          <t>VÄSTERNORRLANDS LÄN</t>
        </is>
      </c>
      <c r="E210" t="inlineStr">
        <is>
          <t>KRAMFORS</t>
        </is>
      </c>
      <c r="G210" t="n">
        <v>0.6</v>
      </c>
      <c r="H210" t="n">
        <v>0</v>
      </c>
      <c r="I210" t="n">
        <v>0</v>
      </c>
      <c r="J210" t="n">
        <v>0</v>
      </c>
      <c r="K210" t="n">
        <v>0</v>
      </c>
      <c r="L210" t="n">
        <v>0</v>
      </c>
      <c r="M210" t="n">
        <v>0</v>
      </c>
      <c r="N210" t="n">
        <v>0</v>
      </c>
      <c r="O210" t="n">
        <v>0</v>
      </c>
      <c r="P210" t="n">
        <v>0</v>
      </c>
      <c r="Q210" t="n">
        <v>0</v>
      </c>
      <c r="R210" s="2" t="inlineStr"/>
    </row>
    <row r="211" ht="15" customHeight="1">
      <c r="A211" t="inlineStr">
        <is>
          <t>A 31294-2020</t>
        </is>
      </c>
      <c r="B211" s="1" t="n">
        <v>44012</v>
      </c>
      <c r="C211" s="1" t="n">
        <v>45786</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32115-2020</t>
        </is>
      </c>
      <c r="B212" s="1" t="n">
        <v>44014</v>
      </c>
      <c r="C212" s="1" t="n">
        <v>45786</v>
      </c>
      <c r="D212" t="inlineStr">
        <is>
          <t>VÄSTERNORRLANDS LÄN</t>
        </is>
      </c>
      <c r="E212" t="inlineStr">
        <is>
          <t>KRAMFORS</t>
        </is>
      </c>
      <c r="G212" t="n">
        <v>2.1</v>
      </c>
      <c r="H212" t="n">
        <v>0</v>
      </c>
      <c r="I212" t="n">
        <v>0</v>
      </c>
      <c r="J212" t="n">
        <v>0</v>
      </c>
      <c r="K212" t="n">
        <v>0</v>
      </c>
      <c r="L212" t="n">
        <v>0</v>
      </c>
      <c r="M212" t="n">
        <v>0</v>
      </c>
      <c r="N212" t="n">
        <v>0</v>
      </c>
      <c r="O212" t="n">
        <v>0</v>
      </c>
      <c r="P212" t="n">
        <v>0</v>
      </c>
      <c r="Q212" t="n">
        <v>0</v>
      </c>
      <c r="R212" s="2" t="inlineStr"/>
    </row>
    <row r="213" ht="15" customHeight="1">
      <c r="A213" t="inlineStr">
        <is>
          <t>A 32866-2020</t>
        </is>
      </c>
      <c r="B213" s="1" t="n">
        <v>44018</v>
      </c>
      <c r="C213" s="1" t="n">
        <v>45786</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32852-2020</t>
        </is>
      </c>
      <c r="B214" s="1" t="n">
        <v>44018</v>
      </c>
      <c r="C214" s="1" t="n">
        <v>45786</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32772-2020</t>
        </is>
      </c>
      <c r="B215" s="1" t="n">
        <v>44019</v>
      </c>
      <c r="C215" s="1" t="n">
        <v>45786</v>
      </c>
      <c r="D215" t="inlineStr">
        <is>
          <t>VÄSTERNORRLANDS LÄN</t>
        </is>
      </c>
      <c r="E215" t="inlineStr">
        <is>
          <t>KRAMFORS</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32774-2020</t>
        </is>
      </c>
      <c r="B216" s="1" t="n">
        <v>44019</v>
      </c>
      <c r="C216" s="1" t="n">
        <v>45786</v>
      </c>
      <c r="D216" t="inlineStr">
        <is>
          <t>VÄSTERNORRLANDS LÄN</t>
        </is>
      </c>
      <c r="E216" t="inlineStr">
        <is>
          <t>KRAMFORS</t>
        </is>
      </c>
      <c r="G216" t="n">
        <v>4.2</v>
      </c>
      <c r="H216" t="n">
        <v>0</v>
      </c>
      <c r="I216" t="n">
        <v>0</v>
      </c>
      <c r="J216" t="n">
        <v>0</v>
      </c>
      <c r="K216" t="n">
        <v>0</v>
      </c>
      <c r="L216" t="n">
        <v>0</v>
      </c>
      <c r="M216" t="n">
        <v>0</v>
      </c>
      <c r="N216" t="n">
        <v>0</v>
      </c>
      <c r="O216" t="n">
        <v>0</v>
      </c>
      <c r="P216" t="n">
        <v>0</v>
      </c>
      <c r="Q216" t="n">
        <v>0</v>
      </c>
      <c r="R216" s="2" t="inlineStr"/>
    </row>
    <row r="217" ht="15" customHeight="1">
      <c r="A217" t="inlineStr">
        <is>
          <t>A 33929-2020</t>
        </is>
      </c>
      <c r="B217" s="1" t="n">
        <v>44027</v>
      </c>
      <c r="C217" s="1" t="n">
        <v>45786</v>
      </c>
      <c r="D217" t="inlineStr">
        <is>
          <t>VÄSTERNORRLANDS LÄN</t>
        </is>
      </c>
      <c r="E217" t="inlineStr">
        <is>
          <t>KRAMFORS</t>
        </is>
      </c>
      <c r="G217" t="n">
        <v>2.7</v>
      </c>
      <c r="H217" t="n">
        <v>0</v>
      </c>
      <c r="I217" t="n">
        <v>0</v>
      </c>
      <c r="J217" t="n">
        <v>0</v>
      </c>
      <c r="K217" t="n">
        <v>0</v>
      </c>
      <c r="L217" t="n">
        <v>0</v>
      </c>
      <c r="M217" t="n">
        <v>0</v>
      </c>
      <c r="N217" t="n">
        <v>0</v>
      </c>
      <c r="O217" t="n">
        <v>0</v>
      </c>
      <c r="P217" t="n">
        <v>0</v>
      </c>
      <c r="Q217" t="n">
        <v>0</v>
      </c>
      <c r="R217" s="2" t="inlineStr"/>
    </row>
    <row r="218" ht="15" customHeight="1">
      <c r="A218" t="inlineStr">
        <is>
          <t>A 34352-2020</t>
        </is>
      </c>
      <c r="B218" s="1" t="n">
        <v>44028</v>
      </c>
      <c r="C218" s="1" t="n">
        <v>45786</v>
      </c>
      <c r="D218" t="inlineStr">
        <is>
          <t>VÄSTERNORRLANDS LÄN</t>
        </is>
      </c>
      <c r="E218" t="inlineStr">
        <is>
          <t>KRAMFORS</t>
        </is>
      </c>
      <c r="G218" t="n">
        <v>1.6</v>
      </c>
      <c r="H218" t="n">
        <v>0</v>
      </c>
      <c r="I218" t="n">
        <v>0</v>
      </c>
      <c r="J218" t="n">
        <v>0</v>
      </c>
      <c r="K218" t="n">
        <v>0</v>
      </c>
      <c r="L218" t="n">
        <v>0</v>
      </c>
      <c r="M218" t="n">
        <v>0</v>
      </c>
      <c r="N218" t="n">
        <v>0</v>
      </c>
      <c r="O218" t="n">
        <v>0</v>
      </c>
      <c r="P218" t="n">
        <v>0</v>
      </c>
      <c r="Q218" t="n">
        <v>0</v>
      </c>
      <c r="R218" s="2" t="inlineStr"/>
    </row>
    <row r="219" ht="15" customHeight="1">
      <c r="A219" t="inlineStr">
        <is>
          <t>A 35527-2020</t>
        </is>
      </c>
      <c r="B219" s="1" t="n">
        <v>44043</v>
      </c>
      <c r="C219" s="1" t="n">
        <v>45786</v>
      </c>
      <c r="D219" t="inlineStr">
        <is>
          <t>VÄSTERNORRLANDS LÄN</t>
        </is>
      </c>
      <c r="E219" t="inlineStr">
        <is>
          <t>KRAMFORS</t>
        </is>
      </c>
      <c r="G219" t="n">
        <v>0.7</v>
      </c>
      <c r="H219" t="n">
        <v>0</v>
      </c>
      <c r="I219" t="n">
        <v>0</v>
      </c>
      <c r="J219" t="n">
        <v>0</v>
      </c>
      <c r="K219" t="n">
        <v>0</v>
      </c>
      <c r="L219" t="n">
        <v>0</v>
      </c>
      <c r="M219" t="n">
        <v>0</v>
      </c>
      <c r="N219" t="n">
        <v>0</v>
      </c>
      <c r="O219" t="n">
        <v>0</v>
      </c>
      <c r="P219" t="n">
        <v>0</v>
      </c>
      <c r="Q219" t="n">
        <v>0</v>
      </c>
      <c r="R219" s="2" t="inlineStr"/>
    </row>
    <row r="220" ht="15" customHeight="1">
      <c r="A220" t="inlineStr">
        <is>
          <t>A 35526-2020</t>
        </is>
      </c>
      <c r="B220" s="1" t="n">
        <v>44043</v>
      </c>
      <c r="C220" s="1" t="n">
        <v>45786</v>
      </c>
      <c r="D220" t="inlineStr">
        <is>
          <t>VÄSTERNORRLANDS LÄN</t>
        </is>
      </c>
      <c r="E220" t="inlineStr">
        <is>
          <t>KRAMFORS</t>
        </is>
      </c>
      <c r="G220" t="n">
        <v>0.9</v>
      </c>
      <c r="H220" t="n">
        <v>0</v>
      </c>
      <c r="I220" t="n">
        <v>0</v>
      </c>
      <c r="J220" t="n">
        <v>0</v>
      </c>
      <c r="K220" t="n">
        <v>0</v>
      </c>
      <c r="L220" t="n">
        <v>0</v>
      </c>
      <c r="M220" t="n">
        <v>0</v>
      </c>
      <c r="N220" t="n">
        <v>0</v>
      </c>
      <c r="O220" t="n">
        <v>0</v>
      </c>
      <c r="P220" t="n">
        <v>0</v>
      </c>
      <c r="Q220" t="n">
        <v>0</v>
      </c>
      <c r="R220" s="2" t="inlineStr"/>
    </row>
    <row r="221" ht="15" customHeight="1">
      <c r="A221" t="inlineStr">
        <is>
          <t>A 35720-2020</t>
        </is>
      </c>
      <c r="B221" s="1" t="n">
        <v>44046</v>
      </c>
      <c r="C221" s="1" t="n">
        <v>45786</v>
      </c>
      <c r="D221" t="inlineStr">
        <is>
          <t>VÄSTERNORRLANDS LÄN</t>
        </is>
      </c>
      <c r="E221" t="inlineStr">
        <is>
          <t>KRAMFORS</t>
        </is>
      </c>
      <c r="G221" t="n">
        <v>3.1</v>
      </c>
      <c r="H221" t="n">
        <v>0</v>
      </c>
      <c r="I221" t="n">
        <v>0</v>
      </c>
      <c r="J221" t="n">
        <v>0</v>
      </c>
      <c r="K221" t="n">
        <v>0</v>
      </c>
      <c r="L221" t="n">
        <v>0</v>
      </c>
      <c r="M221" t="n">
        <v>0</v>
      </c>
      <c r="N221" t="n">
        <v>0</v>
      </c>
      <c r="O221" t="n">
        <v>0</v>
      </c>
      <c r="P221" t="n">
        <v>0</v>
      </c>
      <c r="Q221" t="n">
        <v>0</v>
      </c>
      <c r="R221" s="2" t="inlineStr"/>
    </row>
    <row r="222" ht="15" customHeight="1">
      <c r="A222" t="inlineStr">
        <is>
          <t>A 36013-2020</t>
        </is>
      </c>
      <c r="B222" s="1" t="n">
        <v>44047</v>
      </c>
      <c r="C222" s="1" t="n">
        <v>45786</v>
      </c>
      <c r="D222" t="inlineStr">
        <is>
          <t>VÄSTERNORRLANDS LÄN</t>
        </is>
      </c>
      <c r="E222" t="inlineStr">
        <is>
          <t>KRAMFORS</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37188-2020</t>
        </is>
      </c>
      <c r="B223" s="1" t="n">
        <v>44054</v>
      </c>
      <c r="C223" s="1" t="n">
        <v>45786</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37228-2020</t>
        </is>
      </c>
      <c r="B224" s="1" t="n">
        <v>44054</v>
      </c>
      <c r="C224" s="1" t="n">
        <v>45786</v>
      </c>
      <c r="D224" t="inlineStr">
        <is>
          <t>VÄSTERNORRLANDS LÄN</t>
        </is>
      </c>
      <c r="E224" t="inlineStr">
        <is>
          <t>KRAMFORS</t>
        </is>
      </c>
      <c r="F224" t="inlineStr">
        <is>
          <t>SCA</t>
        </is>
      </c>
      <c r="G224" t="n">
        <v>26.3</v>
      </c>
      <c r="H224" t="n">
        <v>0</v>
      </c>
      <c r="I224" t="n">
        <v>0</v>
      </c>
      <c r="J224" t="n">
        <v>0</v>
      </c>
      <c r="K224" t="n">
        <v>0</v>
      </c>
      <c r="L224" t="n">
        <v>0</v>
      </c>
      <c r="M224" t="n">
        <v>0</v>
      </c>
      <c r="N224" t="n">
        <v>0</v>
      </c>
      <c r="O224" t="n">
        <v>0</v>
      </c>
      <c r="P224" t="n">
        <v>0</v>
      </c>
      <c r="Q224" t="n">
        <v>0</v>
      </c>
      <c r="R224" s="2" t="inlineStr"/>
    </row>
    <row r="225" ht="15" customHeight="1">
      <c r="A225" t="inlineStr">
        <is>
          <t>A 37903-2020</t>
        </is>
      </c>
      <c r="B225" s="1" t="n">
        <v>44057</v>
      </c>
      <c r="C225" s="1" t="n">
        <v>45786</v>
      </c>
      <c r="D225" t="inlineStr">
        <is>
          <t>VÄSTERNORRLANDS LÄN</t>
        </is>
      </c>
      <c r="E225" t="inlineStr">
        <is>
          <t>KRAMFORS</t>
        </is>
      </c>
      <c r="G225" t="n">
        <v>0.3</v>
      </c>
      <c r="H225" t="n">
        <v>0</v>
      </c>
      <c r="I225" t="n">
        <v>0</v>
      </c>
      <c r="J225" t="n">
        <v>0</v>
      </c>
      <c r="K225" t="n">
        <v>0</v>
      </c>
      <c r="L225" t="n">
        <v>0</v>
      </c>
      <c r="M225" t="n">
        <v>0</v>
      </c>
      <c r="N225" t="n">
        <v>0</v>
      </c>
      <c r="O225" t="n">
        <v>0</v>
      </c>
      <c r="P225" t="n">
        <v>0</v>
      </c>
      <c r="Q225" t="n">
        <v>0</v>
      </c>
      <c r="R225" s="2" t="inlineStr"/>
    </row>
    <row r="226" ht="15" customHeight="1">
      <c r="A226" t="inlineStr">
        <is>
          <t>A 37904-2020</t>
        </is>
      </c>
      <c r="B226" s="1" t="n">
        <v>44057</v>
      </c>
      <c r="C226" s="1" t="n">
        <v>45786</v>
      </c>
      <c r="D226" t="inlineStr">
        <is>
          <t>VÄSTERNORRLANDS LÄN</t>
        </is>
      </c>
      <c r="E226" t="inlineStr">
        <is>
          <t>KRAMFORS</t>
        </is>
      </c>
      <c r="G226" t="n">
        <v>0.1</v>
      </c>
      <c r="H226" t="n">
        <v>0</v>
      </c>
      <c r="I226" t="n">
        <v>0</v>
      </c>
      <c r="J226" t="n">
        <v>0</v>
      </c>
      <c r="K226" t="n">
        <v>0</v>
      </c>
      <c r="L226" t="n">
        <v>0</v>
      </c>
      <c r="M226" t="n">
        <v>0</v>
      </c>
      <c r="N226" t="n">
        <v>0</v>
      </c>
      <c r="O226" t="n">
        <v>0</v>
      </c>
      <c r="P226" t="n">
        <v>0</v>
      </c>
      <c r="Q226" t="n">
        <v>0</v>
      </c>
      <c r="R226" s="2" t="inlineStr"/>
    </row>
    <row r="227" ht="15" customHeight="1">
      <c r="A227" t="inlineStr">
        <is>
          <t>A 37905-2020</t>
        </is>
      </c>
      <c r="B227" s="1" t="n">
        <v>44057</v>
      </c>
      <c r="C227" s="1" t="n">
        <v>45786</v>
      </c>
      <c r="D227" t="inlineStr">
        <is>
          <t>VÄSTERNORRLANDS LÄN</t>
        </is>
      </c>
      <c r="E227" t="inlineStr">
        <is>
          <t>KRAMFORS</t>
        </is>
      </c>
      <c r="G227" t="n">
        <v>0.2</v>
      </c>
      <c r="H227" t="n">
        <v>0</v>
      </c>
      <c r="I227" t="n">
        <v>0</v>
      </c>
      <c r="J227" t="n">
        <v>0</v>
      </c>
      <c r="K227" t="n">
        <v>0</v>
      </c>
      <c r="L227" t="n">
        <v>0</v>
      </c>
      <c r="M227" t="n">
        <v>0</v>
      </c>
      <c r="N227" t="n">
        <v>0</v>
      </c>
      <c r="O227" t="n">
        <v>0</v>
      </c>
      <c r="P227" t="n">
        <v>0</v>
      </c>
      <c r="Q227" t="n">
        <v>0</v>
      </c>
      <c r="R227" s="2" t="inlineStr"/>
    </row>
    <row r="228" ht="15" customHeight="1">
      <c r="A228" t="inlineStr">
        <is>
          <t>A 38469-2020</t>
        </is>
      </c>
      <c r="B228" s="1" t="n">
        <v>44060</v>
      </c>
      <c r="C228" s="1" t="n">
        <v>45786</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41066-2020</t>
        </is>
      </c>
      <c r="B229" s="1" t="n">
        <v>44071</v>
      </c>
      <c r="C229" s="1" t="n">
        <v>45786</v>
      </c>
      <c r="D229" t="inlineStr">
        <is>
          <t>VÄSTERNORRLANDS LÄN</t>
        </is>
      </c>
      <c r="E229" t="inlineStr">
        <is>
          <t>KRAMFORS</t>
        </is>
      </c>
      <c r="G229" t="n">
        <v>0.1</v>
      </c>
      <c r="H229" t="n">
        <v>0</v>
      </c>
      <c r="I229" t="n">
        <v>0</v>
      </c>
      <c r="J229" t="n">
        <v>0</v>
      </c>
      <c r="K229" t="n">
        <v>0</v>
      </c>
      <c r="L229" t="n">
        <v>0</v>
      </c>
      <c r="M229" t="n">
        <v>0</v>
      </c>
      <c r="N229" t="n">
        <v>0</v>
      </c>
      <c r="O229" t="n">
        <v>0</v>
      </c>
      <c r="P229" t="n">
        <v>0</v>
      </c>
      <c r="Q229" t="n">
        <v>0</v>
      </c>
      <c r="R229" s="2" t="inlineStr"/>
    </row>
    <row r="230" ht="15" customHeight="1">
      <c r="A230" t="inlineStr">
        <is>
          <t>A 45025-2020</t>
        </is>
      </c>
      <c r="B230" s="1" t="n">
        <v>44088</v>
      </c>
      <c r="C230" s="1" t="n">
        <v>45786</v>
      </c>
      <c r="D230" t="inlineStr">
        <is>
          <t>VÄSTERNORRLANDS LÄN</t>
        </is>
      </c>
      <c r="E230" t="inlineStr">
        <is>
          <t>KRAMFORS</t>
        </is>
      </c>
      <c r="G230" t="n">
        <v>1.5</v>
      </c>
      <c r="H230" t="n">
        <v>0</v>
      </c>
      <c r="I230" t="n">
        <v>0</v>
      </c>
      <c r="J230" t="n">
        <v>0</v>
      </c>
      <c r="K230" t="n">
        <v>0</v>
      </c>
      <c r="L230" t="n">
        <v>0</v>
      </c>
      <c r="M230" t="n">
        <v>0</v>
      </c>
      <c r="N230" t="n">
        <v>0</v>
      </c>
      <c r="O230" t="n">
        <v>0</v>
      </c>
      <c r="P230" t="n">
        <v>0</v>
      </c>
      <c r="Q230" t="n">
        <v>0</v>
      </c>
      <c r="R230" s="2" t="inlineStr"/>
    </row>
    <row r="231" ht="15" customHeight="1">
      <c r="A231" t="inlineStr">
        <is>
          <t>A 45545-2020</t>
        </is>
      </c>
      <c r="B231" s="1" t="n">
        <v>44089</v>
      </c>
      <c r="C231" s="1" t="n">
        <v>45786</v>
      </c>
      <c r="D231" t="inlineStr">
        <is>
          <t>VÄSTERNORRLANDS LÄN</t>
        </is>
      </c>
      <c r="E231" t="inlineStr">
        <is>
          <t>KRAMFORS</t>
        </is>
      </c>
      <c r="G231" t="n">
        <v>5.9</v>
      </c>
      <c r="H231" t="n">
        <v>0</v>
      </c>
      <c r="I231" t="n">
        <v>0</v>
      </c>
      <c r="J231" t="n">
        <v>0</v>
      </c>
      <c r="K231" t="n">
        <v>0</v>
      </c>
      <c r="L231" t="n">
        <v>0</v>
      </c>
      <c r="M231" t="n">
        <v>0</v>
      </c>
      <c r="N231" t="n">
        <v>0</v>
      </c>
      <c r="O231" t="n">
        <v>0</v>
      </c>
      <c r="P231" t="n">
        <v>0</v>
      </c>
      <c r="Q231" t="n">
        <v>0</v>
      </c>
      <c r="R231" s="2" t="inlineStr"/>
    </row>
    <row r="232" ht="15" customHeight="1">
      <c r="A232" t="inlineStr">
        <is>
          <t>A 45544-2020</t>
        </is>
      </c>
      <c r="B232" s="1" t="n">
        <v>44090</v>
      </c>
      <c r="C232" s="1" t="n">
        <v>45786</v>
      </c>
      <c r="D232" t="inlineStr">
        <is>
          <t>VÄSTERNORRLANDS LÄN</t>
        </is>
      </c>
      <c r="E232" t="inlineStr">
        <is>
          <t>KRAMFORS</t>
        </is>
      </c>
      <c r="G232" t="n">
        <v>0.8</v>
      </c>
      <c r="H232" t="n">
        <v>0</v>
      </c>
      <c r="I232" t="n">
        <v>0</v>
      </c>
      <c r="J232" t="n">
        <v>0</v>
      </c>
      <c r="K232" t="n">
        <v>0</v>
      </c>
      <c r="L232" t="n">
        <v>0</v>
      </c>
      <c r="M232" t="n">
        <v>0</v>
      </c>
      <c r="N232" t="n">
        <v>0</v>
      </c>
      <c r="O232" t="n">
        <v>0</v>
      </c>
      <c r="P232" t="n">
        <v>0</v>
      </c>
      <c r="Q232" t="n">
        <v>0</v>
      </c>
      <c r="R232" s="2" t="inlineStr"/>
    </row>
    <row r="233" ht="15" customHeight="1">
      <c r="A233" t="inlineStr">
        <is>
          <t>A 46672-2020</t>
        </is>
      </c>
      <c r="B233" s="1" t="n">
        <v>44089</v>
      </c>
      <c r="C233" s="1" t="n">
        <v>45786</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45649-2020</t>
        </is>
      </c>
      <c r="B234" s="1" t="n">
        <v>44090</v>
      </c>
      <c r="C234" s="1" t="n">
        <v>45786</v>
      </c>
      <c r="D234" t="inlineStr">
        <is>
          <t>VÄSTERNORRLANDS LÄN</t>
        </is>
      </c>
      <c r="E234" t="inlineStr">
        <is>
          <t>KRAMFORS</t>
        </is>
      </c>
      <c r="G234" t="n">
        <v>1.8</v>
      </c>
      <c r="H234" t="n">
        <v>0</v>
      </c>
      <c r="I234" t="n">
        <v>0</v>
      </c>
      <c r="J234" t="n">
        <v>0</v>
      </c>
      <c r="K234" t="n">
        <v>0</v>
      </c>
      <c r="L234" t="n">
        <v>0</v>
      </c>
      <c r="M234" t="n">
        <v>0</v>
      </c>
      <c r="N234" t="n">
        <v>0</v>
      </c>
      <c r="O234" t="n">
        <v>0</v>
      </c>
      <c r="P234" t="n">
        <v>0</v>
      </c>
      <c r="Q234" t="n">
        <v>0</v>
      </c>
      <c r="R234" s="2" t="inlineStr"/>
    </row>
    <row r="235" ht="15" customHeight="1">
      <c r="A235" t="inlineStr">
        <is>
          <t>A 46048-2020</t>
        </is>
      </c>
      <c r="B235" s="1" t="n">
        <v>44091</v>
      </c>
      <c r="C235" s="1" t="n">
        <v>45786</v>
      </c>
      <c r="D235" t="inlineStr">
        <is>
          <t>VÄSTERNORRLANDS LÄN</t>
        </is>
      </c>
      <c r="E235" t="inlineStr">
        <is>
          <t>KRAMFORS</t>
        </is>
      </c>
      <c r="G235" t="n">
        <v>2.3</v>
      </c>
      <c r="H235" t="n">
        <v>0</v>
      </c>
      <c r="I235" t="n">
        <v>0</v>
      </c>
      <c r="J235" t="n">
        <v>0</v>
      </c>
      <c r="K235" t="n">
        <v>0</v>
      </c>
      <c r="L235" t="n">
        <v>0</v>
      </c>
      <c r="M235" t="n">
        <v>0</v>
      </c>
      <c r="N235" t="n">
        <v>0</v>
      </c>
      <c r="O235" t="n">
        <v>0</v>
      </c>
      <c r="P235" t="n">
        <v>0</v>
      </c>
      <c r="Q235" t="n">
        <v>0</v>
      </c>
      <c r="R235" s="2" t="inlineStr"/>
    </row>
    <row r="236" ht="15" customHeight="1">
      <c r="A236" t="inlineStr">
        <is>
          <t>A 47351-2020</t>
        </is>
      </c>
      <c r="B236" s="1" t="n">
        <v>44095</v>
      </c>
      <c r="C236" s="1" t="n">
        <v>45786</v>
      </c>
      <c r="D236" t="inlineStr">
        <is>
          <t>VÄSTERNORRLANDS LÄN</t>
        </is>
      </c>
      <c r="E236" t="inlineStr">
        <is>
          <t>KRAMFORS</t>
        </is>
      </c>
      <c r="G236" t="n">
        <v>2</v>
      </c>
      <c r="H236" t="n">
        <v>0</v>
      </c>
      <c r="I236" t="n">
        <v>0</v>
      </c>
      <c r="J236" t="n">
        <v>0</v>
      </c>
      <c r="K236" t="n">
        <v>0</v>
      </c>
      <c r="L236" t="n">
        <v>0</v>
      </c>
      <c r="M236" t="n">
        <v>0</v>
      </c>
      <c r="N236" t="n">
        <v>0</v>
      </c>
      <c r="O236" t="n">
        <v>0</v>
      </c>
      <c r="P236" t="n">
        <v>0</v>
      </c>
      <c r="Q236" t="n">
        <v>0</v>
      </c>
      <c r="R236" s="2" t="inlineStr"/>
    </row>
    <row r="237" ht="15" customHeight="1">
      <c r="A237" t="inlineStr">
        <is>
          <t>A 47875-2020</t>
        </is>
      </c>
      <c r="B237" s="1" t="n">
        <v>44096</v>
      </c>
      <c r="C237" s="1" t="n">
        <v>45786</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47874-2020</t>
        </is>
      </c>
      <c r="B238" s="1" t="n">
        <v>44096</v>
      </c>
      <c r="C238" s="1" t="n">
        <v>45786</v>
      </c>
      <c r="D238" t="inlineStr">
        <is>
          <t>VÄSTERNORRLANDS LÄN</t>
        </is>
      </c>
      <c r="E238" t="inlineStr">
        <is>
          <t>KRAMFORS</t>
        </is>
      </c>
      <c r="G238" t="n">
        <v>6.6</v>
      </c>
      <c r="H238" t="n">
        <v>0</v>
      </c>
      <c r="I238" t="n">
        <v>0</v>
      </c>
      <c r="J238" t="n">
        <v>0</v>
      </c>
      <c r="K238" t="n">
        <v>0</v>
      </c>
      <c r="L238" t="n">
        <v>0</v>
      </c>
      <c r="M238" t="n">
        <v>0</v>
      </c>
      <c r="N238" t="n">
        <v>0</v>
      </c>
      <c r="O238" t="n">
        <v>0</v>
      </c>
      <c r="P238" t="n">
        <v>0</v>
      </c>
      <c r="Q238" t="n">
        <v>0</v>
      </c>
      <c r="R238" s="2" t="inlineStr"/>
    </row>
    <row r="239" ht="15" customHeight="1">
      <c r="A239" t="inlineStr">
        <is>
          <t>A 50281-2020</t>
        </is>
      </c>
      <c r="B239" s="1" t="n">
        <v>44109</v>
      </c>
      <c r="C239" s="1" t="n">
        <v>45786</v>
      </c>
      <c r="D239" t="inlineStr">
        <is>
          <t>VÄSTERNORRLANDS LÄN</t>
        </is>
      </c>
      <c r="E239" t="inlineStr">
        <is>
          <t>KRAMFORS</t>
        </is>
      </c>
      <c r="G239" t="n">
        <v>5.5</v>
      </c>
      <c r="H239" t="n">
        <v>0</v>
      </c>
      <c r="I239" t="n">
        <v>0</v>
      </c>
      <c r="J239" t="n">
        <v>0</v>
      </c>
      <c r="K239" t="n">
        <v>0</v>
      </c>
      <c r="L239" t="n">
        <v>0</v>
      </c>
      <c r="M239" t="n">
        <v>0</v>
      </c>
      <c r="N239" t="n">
        <v>0</v>
      </c>
      <c r="O239" t="n">
        <v>0</v>
      </c>
      <c r="P239" t="n">
        <v>0</v>
      </c>
      <c r="Q239" t="n">
        <v>0</v>
      </c>
      <c r="R239" s="2" t="inlineStr"/>
    </row>
    <row r="240" ht="15" customHeight="1">
      <c r="A240" t="inlineStr">
        <is>
          <t>A 50248-2020</t>
        </is>
      </c>
      <c r="B240" s="1" t="n">
        <v>44109</v>
      </c>
      <c r="C240" s="1" t="n">
        <v>45786</v>
      </c>
      <c r="D240" t="inlineStr">
        <is>
          <t>VÄSTERNORRLANDS LÄN</t>
        </is>
      </c>
      <c r="E240" t="inlineStr">
        <is>
          <t>KRAMFORS</t>
        </is>
      </c>
      <c r="F240" t="inlineStr">
        <is>
          <t>Kommuner</t>
        </is>
      </c>
      <c r="G240" t="n">
        <v>2.3</v>
      </c>
      <c r="H240" t="n">
        <v>0</v>
      </c>
      <c r="I240" t="n">
        <v>0</v>
      </c>
      <c r="J240" t="n">
        <v>0</v>
      </c>
      <c r="K240" t="n">
        <v>0</v>
      </c>
      <c r="L240" t="n">
        <v>0</v>
      </c>
      <c r="M240" t="n">
        <v>0</v>
      </c>
      <c r="N240" t="n">
        <v>0</v>
      </c>
      <c r="O240" t="n">
        <v>0</v>
      </c>
      <c r="P240" t="n">
        <v>0</v>
      </c>
      <c r="Q240" t="n">
        <v>0</v>
      </c>
      <c r="R240" s="2" t="inlineStr"/>
    </row>
    <row r="241" ht="15" customHeight="1">
      <c r="A241" t="inlineStr">
        <is>
          <t>A 50280-2020</t>
        </is>
      </c>
      <c r="B241" s="1" t="n">
        <v>44109</v>
      </c>
      <c r="C241" s="1" t="n">
        <v>45786</v>
      </c>
      <c r="D241" t="inlineStr">
        <is>
          <t>VÄSTERNORRLANDS LÄN</t>
        </is>
      </c>
      <c r="E241" t="inlineStr">
        <is>
          <t>KRAMFORS</t>
        </is>
      </c>
      <c r="G241" t="n">
        <v>5.6</v>
      </c>
      <c r="H241" t="n">
        <v>0</v>
      </c>
      <c r="I241" t="n">
        <v>0</v>
      </c>
      <c r="J241" t="n">
        <v>0</v>
      </c>
      <c r="K241" t="n">
        <v>0</v>
      </c>
      <c r="L241" t="n">
        <v>0</v>
      </c>
      <c r="M241" t="n">
        <v>0</v>
      </c>
      <c r="N241" t="n">
        <v>0</v>
      </c>
      <c r="O241" t="n">
        <v>0</v>
      </c>
      <c r="P241" t="n">
        <v>0</v>
      </c>
      <c r="Q241" t="n">
        <v>0</v>
      </c>
      <c r="R241" s="2" t="inlineStr"/>
    </row>
    <row r="242" ht="15" customHeight="1">
      <c r="A242" t="inlineStr">
        <is>
          <t>A 51947-2020</t>
        </is>
      </c>
      <c r="B242" s="1" t="n">
        <v>44109</v>
      </c>
      <c r="C242" s="1" t="n">
        <v>45786</v>
      </c>
      <c r="D242" t="inlineStr">
        <is>
          <t>VÄSTERNORRLANDS LÄN</t>
        </is>
      </c>
      <c r="E242" t="inlineStr">
        <is>
          <t>KRAMFORS</t>
        </is>
      </c>
      <c r="G242" t="n">
        <v>1.7</v>
      </c>
      <c r="H242" t="n">
        <v>0</v>
      </c>
      <c r="I242" t="n">
        <v>0</v>
      </c>
      <c r="J242" t="n">
        <v>0</v>
      </c>
      <c r="K242" t="n">
        <v>0</v>
      </c>
      <c r="L242" t="n">
        <v>0</v>
      </c>
      <c r="M242" t="n">
        <v>0</v>
      </c>
      <c r="N242" t="n">
        <v>0</v>
      </c>
      <c r="O242" t="n">
        <v>0</v>
      </c>
      <c r="P242" t="n">
        <v>0</v>
      </c>
      <c r="Q242" t="n">
        <v>0</v>
      </c>
      <c r="R242" s="2" t="inlineStr"/>
    </row>
    <row r="243" ht="15" customHeight="1">
      <c r="A243" t="inlineStr">
        <is>
          <t>A 51926-2020</t>
        </is>
      </c>
      <c r="B243" s="1" t="n">
        <v>44109</v>
      </c>
      <c r="C243" s="1" t="n">
        <v>45786</v>
      </c>
      <c r="D243" t="inlineStr">
        <is>
          <t>VÄSTERNORRLANDS LÄN</t>
        </is>
      </c>
      <c r="E243" t="inlineStr">
        <is>
          <t>KRAMFORS</t>
        </is>
      </c>
      <c r="G243" t="n">
        <v>4.1</v>
      </c>
      <c r="H243" t="n">
        <v>0</v>
      </c>
      <c r="I243" t="n">
        <v>0</v>
      </c>
      <c r="J243" t="n">
        <v>0</v>
      </c>
      <c r="K243" t="n">
        <v>0</v>
      </c>
      <c r="L243" t="n">
        <v>0</v>
      </c>
      <c r="M243" t="n">
        <v>0</v>
      </c>
      <c r="N243" t="n">
        <v>0</v>
      </c>
      <c r="O243" t="n">
        <v>0</v>
      </c>
      <c r="P243" t="n">
        <v>0</v>
      </c>
      <c r="Q243" t="n">
        <v>0</v>
      </c>
      <c r="R243" s="2" t="inlineStr"/>
    </row>
    <row r="244" ht="15" customHeight="1">
      <c r="A244" t="inlineStr">
        <is>
          <t>A 52951-2020</t>
        </is>
      </c>
      <c r="B244" s="1" t="n">
        <v>44119</v>
      </c>
      <c r="C244" s="1" t="n">
        <v>45786</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52959-2020</t>
        </is>
      </c>
      <c r="B245" s="1" t="n">
        <v>44119</v>
      </c>
      <c r="C245" s="1" t="n">
        <v>45786</v>
      </c>
      <c r="D245" t="inlineStr">
        <is>
          <t>VÄSTERNORRLANDS LÄN</t>
        </is>
      </c>
      <c r="E245" t="inlineStr">
        <is>
          <t>KRAMFORS</t>
        </is>
      </c>
      <c r="G245" t="n">
        <v>1.4</v>
      </c>
      <c r="H245" t="n">
        <v>0</v>
      </c>
      <c r="I245" t="n">
        <v>0</v>
      </c>
      <c r="J245" t="n">
        <v>0</v>
      </c>
      <c r="K245" t="n">
        <v>0</v>
      </c>
      <c r="L245" t="n">
        <v>0</v>
      </c>
      <c r="M245" t="n">
        <v>0</v>
      </c>
      <c r="N245" t="n">
        <v>0</v>
      </c>
      <c r="O245" t="n">
        <v>0</v>
      </c>
      <c r="P245" t="n">
        <v>0</v>
      </c>
      <c r="Q245" t="n">
        <v>0</v>
      </c>
      <c r="R245" s="2" t="inlineStr"/>
    </row>
    <row r="246" ht="15" customHeight="1">
      <c r="A246" t="inlineStr">
        <is>
          <t>A 54188-2020</t>
        </is>
      </c>
      <c r="B246" s="1" t="n">
        <v>44125</v>
      </c>
      <c r="C246" s="1" t="n">
        <v>45786</v>
      </c>
      <c r="D246" t="inlineStr">
        <is>
          <t>VÄSTERNORRLANDS LÄN</t>
        </is>
      </c>
      <c r="E246" t="inlineStr">
        <is>
          <t>KRAMFORS</t>
        </is>
      </c>
      <c r="G246" t="n">
        <v>1.2</v>
      </c>
      <c r="H246" t="n">
        <v>0</v>
      </c>
      <c r="I246" t="n">
        <v>0</v>
      </c>
      <c r="J246" t="n">
        <v>0</v>
      </c>
      <c r="K246" t="n">
        <v>0</v>
      </c>
      <c r="L246" t="n">
        <v>0</v>
      </c>
      <c r="M246" t="n">
        <v>0</v>
      </c>
      <c r="N246" t="n">
        <v>0</v>
      </c>
      <c r="O246" t="n">
        <v>0</v>
      </c>
      <c r="P246" t="n">
        <v>0</v>
      </c>
      <c r="Q246" t="n">
        <v>0</v>
      </c>
      <c r="R246" s="2" t="inlineStr"/>
    </row>
    <row r="247" ht="15" customHeight="1">
      <c r="A247" t="inlineStr">
        <is>
          <t>A 54189-2020</t>
        </is>
      </c>
      <c r="B247" s="1" t="n">
        <v>44125</v>
      </c>
      <c r="C247" s="1" t="n">
        <v>45786</v>
      </c>
      <c r="D247" t="inlineStr">
        <is>
          <t>VÄSTERNORRLANDS LÄN</t>
        </is>
      </c>
      <c r="E247" t="inlineStr">
        <is>
          <t>KRAMFORS</t>
        </is>
      </c>
      <c r="G247" t="n">
        <v>0.8</v>
      </c>
      <c r="H247" t="n">
        <v>0</v>
      </c>
      <c r="I247" t="n">
        <v>0</v>
      </c>
      <c r="J247" t="n">
        <v>0</v>
      </c>
      <c r="K247" t="n">
        <v>0</v>
      </c>
      <c r="L247" t="n">
        <v>0</v>
      </c>
      <c r="M247" t="n">
        <v>0</v>
      </c>
      <c r="N247" t="n">
        <v>0</v>
      </c>
      <c r="O247" t="n">
        <v>0</v>
      </c>
      <c r="P247" t="n">
        <v>0</v>
      </c>
      <c r="Q247" t="n">
        <v>0</v>
      </c>
      <c r="R247" s="2" t="inlineStr"/>
    </row>
    <row r="248" ht="15" customHeight="1">
      <c r="A248" t="inlineStr">
        <is>
          <t>A 55828-2020</t>
        </is>
      </c>
      <c r="B248" s="1" t="n">
        <v>44132</v>
      </c>
      <c r="C248" s="1" t="n">
        <v>45786</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55832-2020</t>
        </is>
      </c>
      <c r="B249" s="1" t="n">
        <v>44132</v>
      </c>
      <c r="C249" s="1" t="n">
        <v>45786</v>
      </c>
      <c r="D249" t="inlineStr">
        <is>
          <t>VÄSTERNORRLANDS LÄN</t>
        </is>
      </c>
      <c r="E249" t="inlineStr">
        <is>
          <t>KRAMFORS</t>
        </is>
      </c>
      <c r="G249" t="n">
        <v>0.3</v>
      </c>
      <c r="H249" t="n">
        <v>0</v>
      </c>
      <c r="I249" t="n">
        <v>0</v>
      </c>
      <c r="J249" t="n">
        <v>0</v>
      </c>
      <c r="K249" t="n">
        <v>0</v>
      </c>
      <c r="L249" t="n">
        <v>0</v>
      </c>
      <c r="M249" t="n">
        <v>0</v>
      </c>
      <c r="N249" t="n">
        <v>0</v>
      </c>
      <c r="O249" t="n">
        <v>0</v>
      </c>
      <c r="P249" t="n">
        <v>0</v>
      </c>
      <c r="Q249" t="n">
        <v>0</v>
      </c>
      <c r="R249" s="2" t="inlineStr"/>
    </row>
    <row r="250" ht="15" customHeight="1">
      <c r="A250" t="inlineStr">
        <is>
          <t>A 56558-2020</t>
        </is>
      </c>
      <c r="B250" s="1" t="n">
        <v>44137</v>
      </c>
      <c r="C250" s="1" t="n">
        <v>45786</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59044-2020</t>
        </is>
      </c>
      <c r="B251" s="1" t="n">
        <v>44147</v>
      </c>
      <c r="C251" s="1" t="n">
        <v>45786</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59043-2020</t>
        </is>
      </c>
      <c r="B252" s="1" t="n">
        <v>44147</v>
      </c>
      <c r="C252" s="1" t="n">
        <v>45786</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61044-2020</t>
        </is>
      </c>
      <c r="B253" s="1" t="n">
        <v>44154</v>
      </c>
      <c r="C253" s="1" t="n">
        <v>45786</v>
      </c>
      <c r="D253" t="inlineStr">
        <is>
          <t>VÄSTERNORRLANDS LÄN</t>
        </is>
      </c>
      <c r="E253" t="inlineStr">
        <is>
          <t>KRAMFORS</t>
        </is>
      </c>
      <c r="G253" t="n">
        <v>5.3</v>
      </c>
      <c r="H253" t="n">
        <v>0</v>
      </c>
      <c r="I253" t="n">
        <v>0</v>
      </c>
      <c r="J253" t="n">
        <v>0</v>
      </c>
      <c r="K253" t="n">
        <v>0</v>
      </c>
      <c r="L253" t="n">
        <v>0</v>
      </c>
      <c r="M253" t="n">
        <v>0</v>
      </c>
      <c r="N253" t="n">
        <v>0</v>
      </c>
      <c r="O253" t="n">
        <v>0</v>
      </c>
      <c r="P253" t="n">
        <v>0</v>
      </c>
      <c r="Q253" t="n">
        <v>0</v>
      </c>
      <c r="R253" s="2" t="inlineStr"/>
    </row>
    <row r="254" ht="15" customHeight="1">
      <c r="A254" t="inlineStr">
        <is>
          <t>A 61051-2020</t>
        </is>
      </c>
      <c r="B254" s="1" t="n">
        <v>44154</v>
      </c>
      <c r="C254" s="1" t="n">
        <v>45786</v>
      </c>
      <c r="D254" t="inlineStr">
        <is>
          <t>VÄSTERNORRLANDS LÄN</t>
        </is>
      </c>
      <c r="E254" t="inlineStr">
        <is>
          <t>KRAMFORS</t>
        </is>
      </c>
      <c r="G254" t="n">
        <v>15.4</v>
      </c>
      <c r="H254" t="n">
        <v>0</v>
      </c>
      <c r="I254" t="n">
        <v>0</v>
      </c>
      <c r="J254" t="n">
        <v>0</v>
      </c>
      <c r="K254" t="n">
        <v>0</v>
      </c>
      <c r="L254" t="n">
        <v>0</v>
      </c>
      <c r="M254" t="n">
        <v>0</v>
      </c>
      <c r="N254" t="n">
        <v>0</v>
      </c>
      <c r="O254" t="n">
        <v>0</v>
      </c>
      <c r="P254" t="n">
        <v>0</v>
      </c>
      <c r="Q254" t="n">
        <v>0</v>
      </c>
      <c r="R254" s="2" t="inlineStr"/>
    </row>
    <row r="255" ht="15" customHeight="1">
      <c r="A255" t="inlineStr">
        <is>
          <t>A 61047-2020</t>
        </is>
      </c>
      <c r="B255" s="1" t="n">
        <v>44154</v>
      </c>
      <c r="C255" s="1" t="n">
        <v>45786</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61049-2020</t>
        </is>
      </c>
      <c r="B256" s="1" t="n">
        <v>44154</v>
      </c>
      <c r="C256" s="1" t="n">
        <v>45786</v>
      </c>
      <c r="D256" t="inlineStr">
        <is>
          <t>VÄSTERNORRLANDS LÄN</t>
        </is>
      </c>
      <c r="E256" t="inlineStr">
        <is>
          <t>KRAMFORS</t>
        </is>
      </c>
      <c r="G256" t="n">
        <v>1.2</v>
      </c>
      <c r="H256" t="n">
        <v>0</v>
      </c>
      <c r="I256" t="n">
        <v>0</v>
      </c>
      <c r="J256" t="n">
        <v>0</v>
      </c>
      <c r="K256" t="n">
        <v>0</v>
      </c>
      <c r="L256" t="n">
        <v>0</v>
      </c>
      <c r="M256" t="n">
        <v>0</v>
      </c>
      <c r="N256" t="n">
        <v>0</v>
      </c>
      <c r="O256" t="n">
        <v>0</v>
      </c>
      <c r="P256" t="n">
        <v>0</v>
      </c>
      <c r="Q256" t="n">
        <v>0</v>
      </c>
      <c r="R256" s="2" t="inlineStr"/>
    </row>
    <row r="257" ht="15" customHeight="1">
      <c r="A257" t="inlineStr">
        <is>
          <t>A 61932-2020</t>
        </is>
      </c>
      <c r="B257" s="1" t="n">
        <v>44155</v>
      </c>
      <c r="C257" s="1" t="n">
        <v>45786</v>
      </c>
      <c r="D257" t="inlineStr">
        <is>
          <t>VÄSTERNORRLANDS LÄN</t>
        </is>
      </c>
      <c r="E257" t="inlineStr">
        <is>
          <t>KRAMFORS</t>
        </is>
      </c>
      <c r="G257" t="n">
        <v>1.4</v>
      </c>
      <c r="H257" t="n">
        <v>0</v>
      </c>
      <c r="I257" t="n">
        <v>0</v>
      </c>
      <c r="J257" t="n">
        <v>0</v>
      </c>
      <c r="K257" t="n">
        <v>0</v>
      </c>
      <c r="L257" t="n">
        <v>0</v>
      </c>
      <c r="M257" t="n">
        <v>0</v>
      </c>
      <c r="N257" t="n">
        <v>0</v>
      </c>
      <c r="O257" t="n">
        <v>0</v>
      </c>
      <c r="P257" t="n">
        <v>0</v>
      </c>
      <c r="Q257" t="n">
        <v>0</v>
      </c>
      <c r="R257" s="2" t="inlineStr"/>
    </row>
    <row r="258" ht="15" customHeight="1">
      <c r="A258" t="inlineStr">
        <is>
          <t>A 62933-2020</t>
        </is>
      </c>
      <c r="B258" s="1" t="n">
        <v>44160</v>
      </c>
      <c r="C258" s="1" t="n">
        <v>45786</v>
      </c>
      <c r="D258" t="inlineStr">
        <is>
          <t>VÄSTERNORRLANDS LÄN</t>
        </is>
      </c>
      <c r="E258" t="inlineStr">
        <is>
          <t>KRAMFORS</t>
        </is>
      </c>
      <c r="G258" t="n">
        <v>3.7</v>
      </c>
      <c r="H258" t="n">
        <v>0</v>
      </c>
      <c r="I258" t="n">
        <v>0</v>
      </c>
      <c r="J258" t="n">
        <v>0</v>
      </c>
      <c r="K258" t="n">
        <v>0</v>
      </c>
      <c r="L258" t="n">
        <v>0</v>
      </c>
      <c r="M258" t="n">
        <v>0</v>
      </c>
      <c r="N258" t="n">
        <v>0</v>
      </c>
      <c r="O258" t="n">
        <v>0</v>
      </c>
      <c r="P258" t="n">
        <v>0</v>
      </c>
      <c r="Q258" t="n">
        <v>0</v>
      </c>
      <c r="R258" s="2" t="inlineStr"/>
    </row>
    <row r="259" ht="15" customHeight="1">
      <c r="A259" t="inlineStr">
        <is>
          <t>A 62870-2020</t>
        </is>
      </c>
      <c r="B259" s="1" t="n">
        <v>44161</v>
      </c>
      <c r="C259" s="1" t="n">
        <v>45786</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64207-2020</t>
        </is>
      </c>
      <c r="B260" s="1" t="n">
        <v>44167</v>
      </c>
      <c r="C260" s="1" t="n">
        <v>45786</v>
      </c>
      <c r="D260" t="inlineStr">
        <is>
          <t>VÄSTERNORRLANDS LÄN</t>
        </is>
      </c>
      <c r="E260" t="inlineStr">
        <is>
          <t>KRAMFORS</t>
        </is>
      </c>
      <c r="G260" t="n">
        <v>3.2</v>
      </c>
      <c r="H260" t="n">
        <v>0</v>
      </c>
      <c r="I260" t="n">
        <v>0</v>
      </c>
      <c r="J260" t="n">
        <v>0</v>
      </c>
      <c r="K260" t="n">
        <v>0</v>
      </c>
      <c r="L260" t="n">
        <v>0</v>
      </c>
      <c r="M260" t="n">
        <v>0</v>
      </c>
      <c r="N260" t="n">
        <v>0</v>
      </c>
      <c r="O260" t="n">
        <v>0</v>
      </c>
      <c r="P260" t="n">
        <v>0</v>
      </c>
      <c r="Q260" t="n">
        <v>0</v>
      </c>
      <c r="R260" s="2" t="inlineStr"/>
    </row>
    <row r="261" ht="15" customHeight="1">
      <c r="A261" t="inlineStr">
        <is>
          <t>A 65056-2020</t>
        </is>
      </c>
      <c r="B261" s="1" t="n">
        <v>44167</v>
      </c>
      <c r="C261" s="1" t="n">
        <v>45786</v>
      </c>
      <c r="D261" t="inlineStr">
        <is>
          <t>VÄSTERNORRLANDS LÄN</t>
        </is>
      </c>
      <c r="E261" t="inlineStr">
        <is>
          <t>KRAMFORS</t>
        </is>
      </c>
      <c r="G261" t="n">
        <v>2.5</v>
      </c>
      <c r="H261" t="n">
        <v>0</v>
      </c>
      <c r="I261" t="n">
        <v>0</v>
      </c>
      <c r="J261" t="n">
        <v>0</v>
      </c>
      <c r="K261" t="n">
        <v>0</v>
      </c>
      <c r="L261" t="n">
        <v>0</v>
      </c>
      <c r="M261" t="n">
        <v>0</v>
      </c>
      <c r="N261" t="n">
        <v>0</v>
      </c>
      <c r="O261" t="n">
        <v>0</v>
      </c>
      <c r="P261" t="n">
        <v>0</v>
      </c>
      <c r="Q261" t="n">
        <v>0</v>
      </c>
      <c r="R261" s="2" t="inlineStr"/>
    </row>
    <row r="262" ht="15" customHeight="1">
      <c r="A262" t="inlineStr">
        <is>
          <t>A 64205-2020</t>
        </is>
      </c>
      <c r="B262" s="1" t="n">
        <v>44167</v>
      </c>
      <c r="C262" s="1" t="n">
        <v>45786</v>
      </c>
      <c r="D262" t="inlineStr">
        <is>
          <t>VÄSTERNORRLANDS LÄN</t>
        </is>
      </c>
      <c r="E262" t="inlineStr">
        <is>
          <t>KRAMFORS</t>
        </is>
      </c>
      <c r="G262" t="n">
        <v>2.4</v>
      </c>
      <c r="H262" t="n">
        <v>0</v>
      </c>
      <c r="I262" t="n">
        <v>0</v>
      </c>
      <c r="J262" t="n">
        <v>0</v>
      </c>
      <c r="K262" t="n">
        <v>0</v>
      </c>
      <c r="L262" t="n">
        <v>0</v>
      </c>
      <c r="M262" t="n">
        <v>0</v>
      </c>
      <c r="N262" t="n">
        <v>0</v>
      </c>
      <c r="O262" t="n">
        <v>0</v>
      </c>
      <c r="P262" t="n">
        <v>0</v>
      </c>
      <c r="Q262" t="n">
        <v>0</v>
      </c>
      <c r="R262" s="2" t="inlineStr"/>
    </row>
    <row r="263" ht="15" customHeight="1">
      <c r="A263" t="inlineStr">
        <is>
          <t>A 65265-2020</t>
        </is>
      </c>
      <c r="B263" s="1" t="n">
        <v>44172</v>
      </c>
      <c r="C263" s="1" t="n">
        <v>45786</v>
      </c>
      <c r="D263" t="inlineStr">
        <is>
          <t>VÄSTERNORRLANDS LÄN</t>
        </is>
      </c>
      <c r="E263" t="inlineStr">
        <is>
          <t>KRAMFORS</t>
        </is>
      </c>
      <c r="F263" t="inlineStr">
        <is>
          <t>SCA</t>
        </is>
      </c>
      <c r="G263" t="n">
        <v>3.9</v>
      </c>
      <c r="H263" t="n">
        <v>0</v>
      </c>
      <c r="I263" t="n">
        <v>0</v>
      </c>
      <c r="J263" t="n">
        <v>0</v>
      </c>
      <c r="K263" t="n">
        <v>0</v>
      </c>
      <c r="L263" t="n">
        <v>0</v>
      </c>
      <c r="M263" t="n">
        <v>0</v>
      </c>
      <c r="N263" t="n">
        <v>0</v>
      </c>
      <c r="O263" t="n">
        <v>0</v>
      </c>
      <c r="P263" t="n">
        <v>0</v>
      </c>
      <c r="Q263" t="n">
        <v>0</v>
      </c>
      <c r="R263" s="2" t="inlineStr"/>
    </row>
    <row r="264" ht="15" customHeight="1">
      <c r="A264" t="inlineStr">
        <is>
          <t>A 65546-2020</t>
        </is>
      </c>
      <c r="B264" s="1" t="n">
        <v>44173</v>
      </c>
      <c r="C264" s="1" t="n">
        <v>45786</v>
      </c>
      <c r="D264" t="inlineStr">
        <is>
          <t>VÄSTERNORRLANDS LÄN</t>
        </is>
      </c>
      <c r="E264" t="inlineStr">
        <is>
          <t>KRAMFORS</t>
        </is>
      </c>
      <c r="G264" t="n">
        <v>1.1</v>
      </c>
      <c r="H264" t="n">
        <v>0</v>
      </c>
      <c r="I264" t="n">
        <v>0</v>
      </c>
      <c r="J264" t="n">
        <v>0</v>
      </c>
      <c r="K264" t="n">
        <v>0</v>
      </c>
      <c r="L264" t="n">
        <v>0</v>
      </c>
      <c r="M264" t="n">
        <v>0</v>
      </c>
      <c r="N264" t="n">
        <v>0</v>
      </c>
      <c r="O264" t="n">
        <v>0</v>
      </c>
      <c r="P264" t="n">
        <v>0</v>
      </c>
      <c r="Q264" t="n">
        <v>0</v>
      </c>
      <c r="R264" s="2" t="inlineStr"/>
    </row>
    <row r="265" ht="15" customHeight="1">
      <c r="A265" t="inlineStr">
        <is>
          <t>A 65905-2020</t>
        </is>
      </c>
      <c r="B265" s="1" t="n">
        <v>44174</v>
      </c>
      <c r="C265" s="1" t="n">
        <v>45786</v>
      </c>
      <c r="D265" t="inlineStr">
        <is>
          <t>VÄSTERNORRLANDS LÄN</t>
        </is>
      </c>
      <c r="E265" t="inlineStr">
        <is>
          <t>KRAMFORS</t>
        </is>
      </c>
      <c r="G265" t="n">
        <v>2.2</v>
      </c>
      <c r="H265" t="n">
        <v>0</v>
      </c>
      <c r="I265" t="n">
        <v>0</v>
      </c>
      <c r="J265" t="n">
        <v>0</v>
      </c>
      <c r="K265" t="n">
        <v>0</v>
      </c>
      <c r="L265" t="n">
        <v>0</v>
      </c>
      <c r="M265" t="n">
        <v>0</v>
      </c>
      <c r="N265" t="n">
        <v>0</v>
      </c>
      <c r="O265" t="n">
        <v>0</v>
      </c>
      <c r="P265" t="n">
        <v>0</v>
      </c>
      <c r="Q265" t="n">
        <v>0</v>
      </c>
      <c r="R265" s="2" t="inlineStr"/>
    </row>
    <row r="266" ht="15" customHeight="1">
      <c r="A266" t="inlineStr">
        <is>
          <t>A 66252-2020</t>
        </is>
      </c>
      <c r="B266" s="1" t="n">
        <v>44175</v>
      </c>
      <c r="C266" s="1" t="n">
        <v>45786</v>
      </c>
      <c r="D266" t="inlineStr">
        <is>
          <t>VÄSTERNORRLANDS LÄN</t>
        </is>
      </c>
      <c r="E266" t="inlineStr">
        <is>
          <t>KRAMFORS</t>
        </is>
      </c>
      <c r="G266" t="n">
        <v>3.8</v>
      </c>
      <c r="H266" t="n">
        <v>0</v>
      </c>
      <c r="I266" t="n">
        <v>0</v>
      </c>
      <c r="J266" t="n">
        <v>0</v>
      </c>
      <c r="K266" t="n">
        <v>0</v>
      </c>
      <c r="L266" t="n">
        <v>0</v>
      </c>
      <c r="M266" t="n">
        <v>0</v>
      </c>
      <c r="N266" t="n">
        <v>0</v>
      </c>
      <c r="O266" t="n">
        <v>0</v>
      </c>
      <c r="P266" t="n">
        <v>0</v>
      </c>
      <c r="Q266" t="n">
        <v>0</v>
      </c>
      <c r="R266" s="2" t="inlineStr"/>
    </row>
    <row r="267" ht="15" customHeight="1">
      <c r="A267" t="inlineStr">
        <is>
          <t>A 66245-2020</t>
        </is>
      </c>
      <c r="B267" s="1" t="n">
        <v>44175</v>
      </c>
      <c r="C267" s="1" t="n">
        <v>45786</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66783-2020</t>
        </is>
      </c>
      <c r="B268" s="1" t="n">
        <v>44179</v>
      </c>
      <c r="C268" s="1" t="n">
        <v>45786</v>
      </c>
      <c r="D268" t="inlineStr">
        <is>
          <t>VÄSTERNORRLANDS LÄN</t>
        </is>
      </c>
      <c r="E268" t="inlineStr">
        <is>
          <t>KRAMFORS</t>
        </is>
      </c>
      <c r="G268" t="n">
        <v>0.7</v>
      </c>
      <c r="H268" t="n">
        <v>0</v>
      </c>
      <c r="I268" t="n">
        <v>0</v>
      </c>
      <c r="J268" t="n">
        <v>0</v>
      </c>
      <c r="K268" t="n">
        <v>0</v>
      </c>
      <c r="L268" t="n">
        <v>0</v>
      </c>
      <c r="M268" t="n">
        <v>0</v>
      </c>
      <c r="N268" t="n">
        <v>0</v>
      </c>
      <c r="O268" t="n">
        <v>0</v>
      </c>
      <c r="P268" t="n">
        <v>0</v>
      </c>
      <c r="Q268" t="n">
        <v>0</v>
      </c>
      <c r="R268" s="2" t="inlineStr"/>
    </row>
    <row r="269" ht="15" customHeight="1">
      <c r="A269" t="inlineStr">
        <is>
          <t>A 66826-2020</t>
        </is>
      </c>
      <c r="B269" s="1" t="n">
        <v>44179</v>
      </c>
      <c r="C269" s="1" t="n">
        <v>45786</v>
      </c>
      <c r="D269" t="inlineStr">
        <is>
          <t>VÄSTERNORRLANDS LÄN</t>
        </is>
      </c>
      <c r="E269" t="inlineStr">
        <is>
          <t>KRAMFORS</t>
        </is>
      </c>
      <c r="G269" t="n">
        <v>1.5</v>
      </c>
      <c r="H269" t="n">
        <v>0</v>
      </c>
      <c r="I269" t="n">
        <v>0</v>
      </c>
      <c r="J269" t="n">
        <v>0</v>
      </c>
      <c r="K269" t="n">
        <v>0</v>
      </c>
      <c r="L269" t="n">
        <v>0</v>
      </c>
      <c r="M269" t="n">
        <v>0</v>
      </c>
      <c r="N269" t="n">
        <v>0</v>
      </c>
      <c r="O269" t="n">
        <v>0</v>
      </c>
      <c r="P269" t="n">
        <v>0</v>
      </c>
      <c r="Q269" t="n">
        <v>0</v>
      </c>
      <c r="R269" s="2" t="inlineStr"/>
    </row>
    <row r="270" ht="15" customHeight="1">
      <c r="A270" t="inlineStr">
        <is>
          <t>A 67499-2020</t>
        </is>
      </c>
      <c r="B270" s="1" t="n">
        <v>44181</v>
      </c>
      <c r="C270" s="1" t="n">
        <v>45786</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67527-2020</t>
        </is>
      </c>
      <c r="B271" s="1" t="n">
        <v>44181</v>
      </c>
      <c r="C271" s="1" t="n">
        <v>45786</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67523-2020</t>
        </is>
      </c>
      <c r="B272" s="1" t="n">
        <v>44181</v>
      </c>
      <c r="C272" s="1" t="n">
        <v>45786</v>
      </c>
      <c r="D272" t="inlineStr">
        <is>
          <t>VÄSTERNORRLANDS LÄN</t>
        </is>
      </c>
      <c r="E272" t="inlineStr">
        <is>
          <t>KRAMFORS</t>
        </is>
      </c>
      <c r="G272" t="n">
        <v>1</v>
      </c>
      <c r="H272" t="n">
        <v>0</v>
      </c>
      <c r="I272" t="n">
        <v>0</v>
      </c>
      <c r="J272" t="n">
        <v>0</v>
      </c>
      <c r="K272" t="n">
        <v>0</v>
      </c>
      <c r="L272" t="n">
        <v>0</v>
      </c>
      <c r="M272" t="n">
        <v>0</v>
      </c>
      <c r="N272" t="n">
        <v>0</v>
      </c>
      <c r="O272" t="n">
        <v>0</v>
      </c>
      <c r="P272" t="n">
        <v>0</v>
      </c>
      <c r="Q272" t="n">
        <v>0</v>
      </c>
      <c r="R272" s="2" t="inlineStr"/>
    </row>
    <row r="273" ht="15" customHeight="1">
      <c r="A273" t="inlineStr">
        <is>
          <t>A 67519-2020</t>
        </is>
      </c>
      <c r="B273" s="1" t="n">
        <v>44181</v>
      </c>
      <c r="C273" s="1" t="n">
        <v>45786</v>
      </c>
      <c r="D273" t="inlineStr">
        <is>
          <t>VÄSTERNORRLANDS LÄN</t>
        </is>
      </c>
      <c r="E273" t="inlineStr">
        <is>
          <t>KRAMFORS</t>
        </is>
      </c>
      <c r="G273" t="n">
        <v>1.4</v>
      </c>
      <c r="H273" t="n">
        <v>0</v>
      </c>
      <c r="I273" t="n">
        <v>0</v>
      </c>
      <c r="J273" t="n">
        <v>0</v>
      </c>
      <c r="K273" t="n">
        <v>0</v>
      </c>
      <c r="L273" t="n">
        <v>0</v>
      </c>
      <c r="M273" t="n">
        <v>0</v>
      </c>
      <c r="N273" t="n">
        <v>0</v>
      </c>
      <c r="O273" t="n">
        <v>0</v>
      </c>
      <c r="P273" t="n">
        <v>0</v>
      </c>
      <c r="Q273" t="n">
        <v>0</v>
      </c>
      <c r="R273" s="2" t="inlineStr"/>
    </row>
    <row r="274" ht="15" customHeight="1">
      <c r="A274" t="inlineStr">
        <is>
          <t>A 67601-2020</t>
        </is>
      </c>
      <c r="B274" s="1" t="n">
        <v>44181</v>
      </c>
      <c r="C274" s="1" t="n">
        <v>45786</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67513-2020</t>
        </is>
      </c>
      <c r="B275" s="1" t="n">
        <v>44181</v>
      </c>
      <c r="C275" s="1" t="n">
        <v>45786</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67503-2020</t>
        </is>
      </c>
      <c r="B276" s="1" t="n">
        <v>44181</v>
      </c>
      <c r="C276" s="1" t="n">
        <v>45786</v>
      </c>
      <c r="D276" t="inlineStr">
        <is>
          <t>VÄSTERNORRLANDS LÄN</t>
        </is>
      </c>
      <c r="E276" t="inlineStr">
        <is>
          <t>KRAMFORS</t>
        </is>
      </c>
      <c r="G276" t="n">
        <v>4.2</v>
      </c>
      <c r="H276" t="n">
        <v>0</v>
      </c>
      <c r="I276" t="n">
        <v>0</v>
      </c>
      <c r="J276" t="n">
        <v>0</v>
      </c>
      <c r="K276" t="n">
        <v>0</v>
      </c>
      <c r="L276" t="n">
        <v>0</v>
      </c>
      <c r="M276" t="n">
        <v>0</v>
      </c>
      <c r="N276" t="n">
        <v>0</v>
      </c>
      <c r="O276" t="n">
        <v>0</v>
      </c>
      <c r="P276" t="n">
        <v>0</v>
      </c>
      <c r="Q276" t="n">
        <v>0</v>
      </c>
      <c r="R276" s="2" t="inlineStr"/>
    </row>
    <row r="277" ht="15" customHeight="1">
      <c r="A277" t="inlineStr">
        <is>
          <t>A 68445-2020</t>
        </is>
      </c>
      <c r="B277" s="1" t="n">
        <v>44186</v>
      </c>
      <c r="C277" s="1" t="n">
        <v>45786</v>
      </c>
      <c r="D277" t="inlineStr">
        <is>
          <t>VÄSTERNORRLANDS LÄN</t>
        </is>
      </c>
      <c r="E277" t="inlineStr">
        <is>
          <t>KRAMFORS</t>
        </is>
      </c>
      <c r="G277" t="n">
        <v>1.7</v>
      </c>
      <c r="H277" t="n">
        <v>0</v>
      </c>
      <c r="I277" t="n">
        <v>0</v>
      </c>
      <c r="J277" t="n">
        <v>0</v>
      </c>
      <c r="K277" t="n">
        <v>0</v>
      </c>
      <c r="L277" t="n">
        <v>0</v>
      </c>
      <c r="M277" t="n">
        <v>0</v>
      </c>
      <c r="N277" t="n">
        <v>0</v>
      </c>
      <c r="O277" t="n">
        <v>0</v>
      </c>
      <c r="P277" t="n">
        <v>0</v>
      </c>
      <c r="Q277" t="n">
        <v>0</v>
      </c>
      <c r="R277" s="2" t="inlineStr"/>
    </row>
    <row r="278" ht="15" customHeight="1">
      <c r="A278" t="inlineStr">
        <is>
          <t>A 69365-2020</t>
        </is>
      </c>
      <c r="B278" s="1" t="n">
        <v>44193</v>
      </c>
      <c r="C278" s="1" t="n">
        <v>45786</v>
      </c>
      <c r="D278" t="inlineStr">
        <is>
          <t>VÄSTERNORRLANDS LÄN</t>
        </is>
      </c>
      <c r="E278" t="inlineStr">
        <is>
          <t>KRAMFORS</t>
        </is>
      </c>
      <c r="G278" t="n">
        <v>2.5</v>
      </c>
      <c r="H278" t="n">
        <v>0</v>
      </c>
      <c r="I278" t="n">
        <v>0</v>
      </c>
      <c r="J278" t="n">
        <v>0</v>
      </c>
      <c r="K278" t="n">
        <v>0</v>
      </c>
      <c r="L278" t="n">
        <v>0</v>
      </c>
      <c r="M278" t="n">
        <v>0</v>
      </c>
      <c r="N278" t="n">
        <v>0</v>
      </c>
      <c r="O278" t="n">
        <v>0</v>
      </c>
      <c r="P278" t="n">
        <v>0</v>
      </c>
      <c r="Q278" t="n">
        <v>0</v>
      </c>
      <c r="R278" s="2" t="inlineStr"/>
    </row>
    <row r="279" ht="15" customHeight="1">
      <c r="A279" t="inlineStr">
        <is>
          <t>A 302-2021</t>
        </is>
      </c>
      <c r="B279" s="1" t="n">
        <v>44201</v>
      </c>
      <c r="C279" s="1" t="n">
        <v>45786</v>
      </c>
      <c r="D279" t="inlineStr">
        <is>
          <t>VÄSTERNORRLANDS LÄN</t>
        </is>
      </c>
      <c r="E279" t="inlineStr">
        <is>
          <t>KRAMFORS</t>
        </is>
      </c>
      <c r="G279" t="n">
        <v>0.6</v>
      </c>
      <c r="H279" t="n">
        <v>0</v>
      </c>
      <c r="I279" t="n">
        <v>0</v>
      </c>
      <c r="J279" t="n">
        <v>0</v>
      </c>
      <c r="K279" t="n">
        <v>0</v>
      </c>
      <c r="L279" t="n">
        <v>0</v>
      </c>
      <c r="M279" t="n">
        <v>0</v>
      </c>
      <c r="N279" t="n">
        <v>0</v>
      </c>
      <c r="O279" t="n">
        <v>0</v>
      </c>
      <c r="P279" t="n">
        <v>0</v>
      </c>
      <c r="Q279" t="n">
        <v>0</v>
      </c>
      <c r="R279" s="2" t="inlineStr"/>
    </row>
    <row r="280" ht="15" customHeight="1">
      <c r="A280" t="inlineStr">
        <is>
          <t>A 301-2021</t>
        </is>
      </c>
      <c r="B280" s="1" t="n">
        <v>44201</v>
      </c>
      <c r="C280" s="1" t="n">
        <v>45786</v>
      </c>
      <c r="D280" t="inlineStr">
        <is>
          <t>VÄSTERNORRLANDS LÄN</t>
        </is>
      </c>
      <c r="E280" t="inlineStr">
        <is>
          <t>KRAMFORS</t>
        </is>
      </c>
      <c r="G280" t="n">
        <v>0.7</v>
      </c>
      <c r="H280" t="n">
        <v>0</v>
      </c>
      <c r="I280" t="n">
        <v>0</v>
      </c>
      <c r="J280" t="n">
        <v>0</v>
      </c>
      <c r="K280" t="n">
        <v>0</v>
      </c>
      <c r="L280" t="n">
        <v>0</v>
      </c>
      <c r="M280" t="n">
        <v>0</v>
      </c>
      <c r="N280" t="n">
        <v>0</v>
      </c>
      <c r="O280" t="n">
        <v>0</v>
      </c>
      <c r="P280" t="n">
        <v>0</v>
      </c>
      <c r="Q280" t="n">
        <v>0</v>
      </c>
      <c r="R280" s="2" t="inlineStr"/>
    </row>
    <row r="281" ht="15" customHeight="1">
      <c r="A281" t="inlineStr">
        <is>
          <t>A 1010-2021</t>
        </is>
      </c>
      <c r="B281" s="1" t="n">
        <v>44207</v>
      </c>
      <c r="C281" s="1" t="n">
        <v>45786</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1013-2021</t>
        </is>
      </c>
      <c r="B282" s="1" t="n">
        <v>44207</v>
      </c>
      <c r="C282" s="1" t="n">
        <v>45786</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1203-2021</t>
        </is>
      </c>
      <c r="B283" s="1" t="n">
        <v>44207</v>
      </c>
      <c r="C283" s="1" t="n">
        <v>45786</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1282-2021</t>
        </is>
      </c>
      <c r="B284" s="1" t="n">
        <v>44207</v>
      </c>
      <c r="C284" s="1" t="n">
        <v>45786</v>
      </c>
      <c r="D284" t="inlineStr">
        <is>
          <t>VÄSTERNORRLANDS LÄN</t>
        </is>
      </c>
      <c r="E284" t="inlineStr">
        <is>
          <t>KRAMFORS</t>
        </is>
      </c>
      <c r="G284" t="n">
        <v>12.5</v>
      </c>
      <c r="H284" t="n">
        <v>0</v>
      </c>
      <c r="I284" t="n">
        <v>0</v>
      </c>
      <c r="J284" t="n">
        <v>0</v>
      </c>
      <c r="K284" t="n">
        <v>0</v>
      </c>
      <c r="L284" t="n">
        <v>0</v>
      </c>
      <c r="M284" t="n">
        <v>0</v>
      </c>
      <c r="N284" t="n">
        <v>0</v>
      </c>
      <c r="O284" t="n">
        <v>0</v>
      </c>
      <c r="P284" t="n">
        <v>0</v>
      </c>
      <c r="Q284" t="n">
        <v>0</v>
      </c>
      <c r="R284" s="2" t="inlineStr"/>
    </row>
    <row r="285" ht="15" customHeight="1">
      <c r="A285" t="inlineStr">
        <is>
          <t>A 1776-2021</t>
        </is>
      </c>
      <c r="B285" s="1" t="n">
        <v>44209</v>
      </c>
      <c r="C285" s="1" t="n">
        <v>45786</v>
      </c>
      <c r="D285" t="inlineStr">
        <is>
          <t>VÄSTERNORRLANDS LÄN</t>
        </is>
      </c>
      <c r="E285" t="inlineStr">
        <is>
          <t>KRAMFORS</t>
        </is>
      </c>
      <c r="G285" t="n">
        <v>4.1</v>
      </c>
      <c r="H285" t="n">
        <v>0</v>
      </c>
      <c r="I285" t="n">
        <v>0</v>
      </c>
      <c r="J285" t="n">
        <v>0</v>
      </c>
      <c r="K285" t="n">
        <v>0</v>
      </c>
      <c r="L285" t="n">
        <v>0</v>
      </c>
      <c r="M285" t="n">
        <v>0</v>
      </c>
      <c r="N285" t="n">
        <v>0</v>
      </c>
      <c r="O285" t="n">
        <v>0</v>
      </c>
      <c r="P285" t="n">
        <v>0</v>
      </c>
      <c r="Q285" t="n">
        <v>0</v>
      </c>
      <c r="R285" s="2" t="inlineStr"/>
    </row>
    <row r="286" ht="15" customHeight="1">
      <c r="A286" t="inlineStr">
        <is>
          <t>A 2022-2021</t>
        </is>
      </c>
      <c r="B286" s="1" t="n">
        <v>44210</v>
      </c>
      <c r="C286" s="1" t="n">
        <v>45786</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2289-2021</t>
        </is>
      </c>
      <c r="B287" s="1" t="n">
        <v>44211</v>
      </c>
      <c r="C287" s="1" t="n">
        <v>45786</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2677-2021</t>
        </is>
      </c>
      <c r="B288" s="1" t="n">
        <v>44215</v>
      </c>
      <c r="C288" s="1" t="n">
        <v>45786</v>
      </c>
      <c r="D288" t="inlineStr">
        <is>
          <t>VÄSTERNORRLANDS LÄN</t>
        </is>
      </c>
      <c r="E288" t="inlineStr">
        <is>
          <t>KRAMFORS</t>
        </is>
      </c>
      <c r="G288" t="n">
        <v>4.9</v>
      </c>
      <c r="H288" t="n">
        <v>0</v>
      </c>
      <c r="I288" t="n">
        <v>0</v>
      </c>
      <c r="J288" t="n">
        <v>0</v>
      </c>
      <c r="K288" t="n">
        <v>0</v>
      </c>
      <c r="L288" t="n">
        <v>0</v>
      </c>
      <c r="M288" t="n">
        <v>0</v>
      </c>
      <c r="N288" t="n">
        <v>0</v>
      </c>
      <c r="O288" t="n">
        <v>0</v>
      </c>
      <c r="P288" t="n">
        <v>0</v>
      </c>
      <c r="Q288" t="n">
        <v>0</v>
      </c>
      <c r="R288" s="2" t="inlineStr"/>
    </row>
    <row r="289" ht="15" customHeight="1">
      <c r="A289" t="inlineStr">
        <is>
          <t>A 3830-2021</t>
        </is>
      </c>
      <c r="B289" s="1" t="n">
        <v>44216</v>
      </c>
      <c r="C289" s="1" t="n">
        <v>45786</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3754-2021</t>
        </is>
      </c>
      <c r="B290" s="1" t="n">
        <v>44221</v>
      </c>
      <c r="C290" s="1" t="n">
        <v>45786</v>
      </c>
      <c r="D290" t="inlineStr">
        <is>
          <t>VÄSTERNORRLANDS LÄN</t>
        </is>
      </c>
      <c r="E290" t="inlineStr">
        <is>
          <t>KRAMFORS</t>
        </is>
      </c>
      <c r="G290" t="n">
        <v>2.8</v>
      </c>
      <c r="H290" t="n">
        <v>0</v>
      </c>
      <c r="I290" t="n">
        <v>0</v>
      </c>
      <c r="J290" t="n">
        <v>0</v>
      </c>
      <c r="K290" t="n">
        <v>0</v>
      </c>
      <c r="L290" t="n">
        <v>0</v>
      </c>
      <c r="M290" t="n">
        <v>0</v>
      </c>
      <c r="N290" t="n">
        <v>0</v>
      </c>
      <c r="O290" t="n">
        <v>0</v>
      </c>
      <c r="P290" t="n">
        <v>0</v>
      </c>
      <c r="Q290" t="n">
        <v>0</v>
      </c>
      <c r="R290" s="2" t="inlineStr"/>
    </row>
    <row r="291" ht="15" customHeight="1">
      <c r="A291" t="inlineStr">
        <is>
          <t>A 4057-2021</t>
        </is>
      </c>
      <c r="B291" s="1" t="n">
        <v>44222</v>
      </c>
      <c r="C291" s="1" t="n">
        <v>45786</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4664-2021</t>
        </is>
      </c>
      <c r="B292" s="1" t="n">
        <v>44224</v>
      </c>
      <c r="C292" s="1" t="n">
        <v>45786</v>
      </c>
      <c r="D292" t="inlineStr">
        <is>
          <t>VÄSTERNORRLANDS LÄN</t>
        </is>
      </c>
      <c r="E292" t="inlineStr">
        <is>
          <t>KRAMFORS</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5210-2021</t>
        </is>
      </c>
      <c r="B293" s="1" t="n">
        <v>44228</v>
      </c>
      <c r="C293" s="1" t="n">
        <v>45786</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5209-2021</t>
        </is>
      </c>
      <c r="B294" s="1" t="n">
        <v>44228</v>
      </c>
      <c r="C294" s="1" t="n">
        <v>45786</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5684-2021</t>
        </is>
      </c>
      <c r="B295" s="1" t="n">
        <v>44229</v>
      </c>
      <c r="C295" s="1" t="n">
        <v>45786</v>
      </c>
      <c r="D295" t="inlineStr">
        <is>
          <t>VÄSTERNORRLANDS LÄN</t>
        </is>
      </c>
      <c r="E295" t="inlineStr">
        <is>
          <t>KRAMFORS</t>
        </is>
      </c>
      <c r="F295" t="inlineStr">
        <is>
          <t>Kyrkan</t>
        </is>
      </c>
      <c r="G295" t="n">
        <v>1.9</v>
      </c>
      <c r="H295" t="n">
        <v>0</v>
      </c>
      <c r="I295" t="n">
        <v>0</v>
      </c>
      <c r="J295" t="n">
        <v>0</v>
      </c>
      <c r="K295" t="n">
        <v>0</v>
      </c>
      <c r="L295" t="n">
        <v>0</v>
      </c>
      <c r="M295" t="n">
        <v>0</v>
      </c>
      <c r="N295" t="n">
        <v>0</v>
      </c>
      <c r="O295" t="n">
        <v>0</v>
      </c>
      <c r="P295" t="n">
        <v>0</v>
      </c>
      <c r="Q295" t="n">
        <v>0</v>
      </c>
      <c r="R295" s="2" t="inlineStr"/>
    </row>
    <row r="296" ht="15" customHeight="1">
      <c r="A296" t="inlineStr">
        <is>
          <t>A 6492-2021</t>
        </is>
      </c>
      <c r="B296" s="1" t="n">
        <v>44235</v>
      </c>
      <c r="C296" s="1" t="n">
        <v>45786</v>
      </c>
      <c r="D296" t="inlineStr">
        <is>
          <t>VÄSTERNORRLANDS LÄN</t>
        </is>
      </c>
      <c r="E296" t="inlineStr">
        <is>
          <t>KRAMFORS</t>
        </is>
      </c>
      <c r="G296" t="n">
        <v>1</v>
      </c>
      <c r="H296" t="n">
        <v>0</v>
      </c>
      <c r="I296" t="n">
        <v>0</v>
      </c>
      <c r="J296" t="n">
        <v>0</v>
      </c>
      <c r="K296" t="n">
        <v>0</v>
      </c>
      <c r="L296" t="n">
        <v>0</v>
      </c>
      <c r="M296" t="n">
        <v>0</v>
      </c>
      <c r="N296" t="n">
        <v>0</v>
      </c>
      <c r="O296" t="n">
        <v>0</v>
      </c>
      <c r="P296" t="n">
        <v>0</v>
      </c>
      <c r="Q296" t="n">
        <v>0</v>
      </c>
      <c r="R296" s="2" t="inlineStr"/>
    </row>
    <row r="297" ht="15" customHeight="1">
      <c r="A297" t="inlineStr">
        <is>
          <t>A 6938-2021</t>
        </is>
      </c>
      <c r="B297" s="1" t="n">
        <v>44237</v>
      </c>
      <c r="C297" s="1" t="n">
        <v>45786</v>
      </c>
      <c r="D297" t="inlineStr">
        <is>
          <t>VÄSTERNORRLANDS LÄN</t>
        </is>
      </c>
      <c r="E297" t="inlineStr">
        <is>
          <t>KRAMFORS</t>
        </is>
      </c>
      <c r="G297" t="n">
        <v>7.2</v>
      </c>
      <c r="H297" t="n">
        <v>0</v>
      </c>
      <c r="I297" t="n">
        <v>0</v>
      </c>
      <c r="J297" t="n">
        <v>0</v>
      </c>
      <c r="K297" t="n">
        <v>0</v>
      </c>
      <c r="L297" t="n">
        <v>0</v>
      </c>
      <c r="M297" t="n">
        <v>0</v>
      </c>
      <c r="N297" t="n">
        <v>0</v>
      </c>
      <c r="O297" t="n">
        <v>0</v>
      </c>
      <c r="P297" t="n">
        <v>0</v>
      </c>
      <c r="Q297" t="n">
        <v>0</v>
      </c>
      <c r="R297" s="2" t="inlineStr"/>
    </row>
    <row r="298" ht="15" customHeight="1">
      <c r="A298" t="inlineStr">
        <is>
          <t>A 7318-2021</t>
        </is>
      </c>
      <c r="B298" s="1" t="n">
        <v>44239</v>
      </c>
      <c r="C298" s="1" t="n">
        <v>45786</v>
      </c>
      <c r="D298" t="inlineStr">
        <is>
          <t>VÄSTERNORRLANDS LÄN</t>
        </is>
      </c>
      <c r="E298" t="inlineStr">
        <is>
          <t>KRAMFORS</t>
        </is>
      </c>
      <c r="G298" t="n">
        <v>0.7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45786</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45786</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45786</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45786</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45786</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45786</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45786</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45786</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45786</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45786</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45786</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45786</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45786</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45786</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45786</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45786</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45786</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45786</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45786</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45786</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45786</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45786</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45786</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45786</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45786</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45786</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45786</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45786</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45786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45786</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45786</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45786</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45786</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45786</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45786</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45786</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45786</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45786</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45786</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45786</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45786</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45786</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45786</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45786</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45786</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45786</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45786</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45786</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45786</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45786</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45786</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45786</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45786</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45786</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45786</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45786</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45786</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45786</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45786</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45786</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45786</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45786</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45786</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45786</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45786</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45786</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45786</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45786</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45786</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45786</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45786</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45786</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45786</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45786</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45786</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45786</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45786</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45786</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45786</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45786</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45786</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45786</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45786</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45786</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45786</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45786</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45786</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45786</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45786</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45786</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45786</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45786</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45786</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45786</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45786</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45786</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45786</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45786</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45786</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45786</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45786</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45786</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45786</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45786</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45786</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45786</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45786</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45786</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45786</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45786</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45786</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45786</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45786</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45786</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45786</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45786</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45786</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45786</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45786</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45786</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45786</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45786</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45786</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45786</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45786</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45786</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45786</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45786</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45786</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45786</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45786</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45786</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45786</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45786</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45786</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45786</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45786</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45786</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45786</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45786</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45786</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45786</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45786</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45786</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45786</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45786</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45786</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45786</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45786</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45786</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45786</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45786</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45786</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45786</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45786</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45786</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45786</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45786</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45786</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45786</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45786</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45786</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45786</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45786</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45786</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45786</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45786</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45786</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45786</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45786</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45786</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45786</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45786</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45786</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45786</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45786</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45786</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45786</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45786</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45786</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45786</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45786</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45786</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45786</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45786</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45786</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45786</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45786</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45786</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45786</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45786</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45786</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45786</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45786</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45786</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45786</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45786</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45786</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45786</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45786</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45786</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45786</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45786</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45786</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45786</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45786</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45786</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45786</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45786</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45786</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45786</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45786</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45786</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45786</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45786</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45786</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45786</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45786</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45786</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45786</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45786</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45786</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45786</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45786</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45786</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45786</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45786</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45786</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45786</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45786</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45786</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45786</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45786</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45786</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45786</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45786</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45786</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45786</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45786</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45786</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45786</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45786</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45786</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45786</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45786</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45786</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45786</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45786</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45786</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45786</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45786</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45786</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45786</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45786</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45786</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45786</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45786</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45786</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45786</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45786</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45786</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45786</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45786</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45786</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45786</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45786</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45786</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45786</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45786</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45786</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45786</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45786</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45786</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45786</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45786</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45786</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45786</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45786</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45786</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45786</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45786</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45786</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45786</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45786</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45786</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45786</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45786</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45786</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45786</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45786</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45786</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45786</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45786</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45786</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45786</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45786</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45786</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45786</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45786</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45786</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45786</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45786</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45786</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45786</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45786</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45786</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45786</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45786</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45786</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45786</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45786</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45786</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45786</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45786</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45786</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45786</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45786</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45786</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45786</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45786</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45786</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45786</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45786</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45786</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45786</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45786</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45786</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45786</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45786</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45786</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45786</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45786</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45786</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45786</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45786</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45786</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45786</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45786</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45786</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45786</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45786</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45786</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45786</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45786</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45786</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45786</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45786</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45786</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45786</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45786</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45786</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45786</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45786</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45786</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45786</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45786</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45786</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45786</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45786</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45786</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45786</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45786</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45786</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45786</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45786</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45786</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45786</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45786</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45786</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45786</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45786</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45786</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45786</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45786</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45786</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45786</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45786</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45786</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45786</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45786</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45786</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45786</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45786</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45786</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45786</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45786</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45786</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45786</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45786</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45786</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45786</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45786</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45786</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45786</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45786</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45786</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45786</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45786</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45786</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45786</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45786</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45786</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45786</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45786</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45786</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45786</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45786</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45786</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45786</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45786</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45786</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45786</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45786</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45786</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45786</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45786</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45786</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45786</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45786</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45786</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45786</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45786</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45786</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45786</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45786</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45786</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45786</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45786</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45786</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45786</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45786</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45786</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45786</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45786</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45786</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45786</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45786</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45786</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45786</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45786</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45786</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45786</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45786</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45786</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45786</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45786</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45786</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45786</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45786</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45786</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45786</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45786</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45786</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45786</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45786</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45786</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45786</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45786</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45786</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45786</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45786</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45786</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45786</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45786</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45786</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45786</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45786</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45786</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45786</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45786</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45786</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45786</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45786</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45786</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45786</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45786</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45786</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45786</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45786</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45786</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45786</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45786</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45786</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45786</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45786</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45786</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45786</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45786</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45786</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45786</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45786</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45786</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45786</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45786</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45786</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45786</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45786</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45786</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45786</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45786</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45786</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45786</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45786</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45786</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45786</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45786</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45786</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45786</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45786</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45786</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45786</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45786</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45786</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45786</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45786</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45786</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45786</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45786</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45786</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45786</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45786</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45786</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45786</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45786</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45786</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45786</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45786</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45786</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45786</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45786</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45786</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45786</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45786</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45786</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45786</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45786</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45786</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45786</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45786</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45786</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45786</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45786</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45786</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45786</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45786</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45786</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45786</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45786</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45786</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45786</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45786</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45786</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45786</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45786</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45786</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45786</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45786</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45786</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45786</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45786</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45786</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45786</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45786</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45786</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45786</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45786</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45786</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45786</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45786</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45786</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45786</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45786</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45786</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45786</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45786</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45786</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45786</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45786</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45786</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45786</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45786</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45786</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45786</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45786</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45786</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45786</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45786</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45786</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45786</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45786</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45786</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45786</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45786</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45786</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45786</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45786</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45786</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45786</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45786</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45786</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45786</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45786</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45786</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45786</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45786</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45786</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45786</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45786</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45786</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45786</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45786</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45786</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45786</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45786</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45786</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45786</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45786</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45786</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45786</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45786</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45786</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45786</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45786</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45786</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45786</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45786</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45786</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45786</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45786</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45786</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45786</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45786</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45786</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45786</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45786</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45786</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45786</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45786</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45786</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45786</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45786</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45786</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45786</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45786</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45786</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45786</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45786</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45786</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45786</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45786</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45786</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45786</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45786</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45786</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45786</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45786</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45786</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45786</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45786</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45786</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45786</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45786</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45786</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45786</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45786</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45786</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45786</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45786</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45786</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45786</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45786</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45786</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45786</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45786</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45786</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45786</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45786</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45786</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45786</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45786</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45786</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45786</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45786</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45786</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45786</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45786</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45786</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45786</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45786</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45786</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45786</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45786</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45786</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45786</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45786</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45786</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45786</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45786</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45786</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45786</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45786</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45786</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45786</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45786</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45786</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45786</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45786</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45786</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45786</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45786</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45786</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45786</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45786</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45786</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45786</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45786</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45786</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45786</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45786</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45786</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45786</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45786</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45786</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45786</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45786</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45786</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45786</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45786</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45786</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45786</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45786</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45786</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45786</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45786</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45786</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45786</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45786</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45786</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45786</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45786</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45786</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45786</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45786</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45786</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45786</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45786</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45786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45786</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45786</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45786</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45786</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45786</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45786</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45786</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45786</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45786</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45786</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45786</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45786</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45786</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45786</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45786</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45786</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45786</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45786</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45786</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45786</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45786</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45786</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45786</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45786</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45786</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45786</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45786</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45786</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45786</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45786</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45786</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45786</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45786</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45786</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45786</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45786</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45786</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45786</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45786</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45786</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45786</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45786</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45786</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45786</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45786</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45786</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45786</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45786</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45786</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45786</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45786</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45786</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45786</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45786</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45786</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45786</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45786</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45786</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45786</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45786</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45786</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45786</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45786</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45786</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45786</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45786</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45786</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45786</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45786</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45786</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45786</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45786</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45786</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45786</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45786</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45786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45786</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45786</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45786</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45786</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45786</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45786</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45786</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45786</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45786</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45786</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45786</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45786</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45786</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45786</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45786</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45786</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45786</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45786</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45786</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45786</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45786</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45786</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45786</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45786</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45786</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45786</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45786</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45786</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45786</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45786</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45786</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45786</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45786</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45786</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45786</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45786</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45786</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45786</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45786</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45786</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45786</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45786</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45786</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45786</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45786</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45786</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45786</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45786</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45786</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45786</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45786</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45786</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45786</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45786</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45786</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45786</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45786</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45786</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45786</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45786</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45786</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45786</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45786</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45786</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45786</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45786</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45786</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45786</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45786</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45786</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45786</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45786</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45786</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45786</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45786</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45786</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45786</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45786</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45786</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45786</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45786</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45786</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45786</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45786</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45786</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45786</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45786</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45786</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45786</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45786</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45786</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45786</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45786</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45786</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45786</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45786</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45786</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45786</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45786</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45786</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45786</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45786</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45786</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45786</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45786</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45786</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45786</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45786</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45786</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45786</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45786</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45786</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45786</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45786</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45786</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45786</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45786</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45786</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45786</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45786</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45786</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45786</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45786</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45786</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45786</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45786</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45786</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45786</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45786</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45786</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45786</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45786</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45786</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45786</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45786</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45786</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45786</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45786</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45786</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45786</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45786</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45786</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45786</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45786</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45786</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45786</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45786</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45786</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45786</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45786</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45786</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45786</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45786</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45786</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45786</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45786</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45786</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45786</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45786</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45786</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45786</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45786</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45786</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45786</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45786</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45786</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45786</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45786</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45786</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45786</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45786</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45786</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45786</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45786</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45786</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45786</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45786</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45786</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45786</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45786</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45786</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45786</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45786</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45786</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45786</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45786</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45786</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45786</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45786</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45786</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45786</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45786</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45786</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45786</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45786</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45786</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45786</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45786</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45786</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45786</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45786</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45786</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45786</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45786</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45786</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45786</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45786</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45786</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45786</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45786</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45786</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45786</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45786</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45786</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45786</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45786</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45786</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45786</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45786</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45786</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45786</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45786</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45786</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45786</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45786</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45786</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45786</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45786</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45786</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45786</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45786</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45786</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45786</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45786</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45786</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45786</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45786</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45786</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45786</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45786</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45786</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45786</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45786</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45786</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45786</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45786</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45786</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45786</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45786</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45786</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45786</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45786</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45786</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45786</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45786</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45786</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45786</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45786</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45786</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45786</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45786</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45786</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45786</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45786</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45786</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45786</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45786</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45786</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45786</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45786</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45786</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45786</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45786</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45786</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45786</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45786</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45786</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45786</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45786</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45786</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45786</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45786</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45786</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45786</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45786</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45786</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45786</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45786</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45786</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45786</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45786</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45786</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45786</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45786</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45786</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45786</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45786</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45786</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45786</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45786</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45786</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45786</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45786</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45786</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45786</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45786</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45786</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45786</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45786</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45786</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45786</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45786</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45786</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45786</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45786</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45786</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45786</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45786</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45786</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45786</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45786</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45786</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45786</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45786</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45786</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45786</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45786</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45786</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45786</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45786</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45786</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45786</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45786</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45786</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13455-2025</t>
        </is>
      </c>
      <c r="B1456" s="1" t="n">
        <v>45736</v>
      </c>
      <c r="C1456" s="1" t="n">
        <v>45786</v>
      </c>
      <c r="D1456" t="inlineStr">
        <is>
          <t>VÄSTERNORRLANDS LÄN</t>
        </is>
      </c>
      <c r="E1456" t="inlineStr">
        <is>
          <t>KRAMFORS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13648-2025</t>
        </is>
      </c>
      <c r="B1457" s="1" t="n">
        <v>45736</v>
      </c>
      <c r="C1457" s="1" t="n">
        <v>45786</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45786</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45786</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45786</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45786</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45786</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14842-2025</t>
        </is>
      </c>
      <c r="B1463" s="1" t="n">
        <v>45743</v>
      </c>
      <c r="C1463" s="1" t="n">
        <v>45786</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14843-2025</t>
        </is>
      </c>
      <c r="B1464" s="1" t="n">
        <v>45743</v>
      </c>
      <c r="C1464" s="1" t="n">
        <v>45786</v>
      </c>
      <c r="D1464" t="inlineStr">
        <is>
          <t>VÄSTERNORRLANDS LÄN</t>
        </is>
      </c>
      <c r="E1464" t="inlineStr">
        <is>
          <t>KRAMFORS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14870-2025</t>
        </is>
      </c>
      <c r="B1465" s="1" t="n">
        <v>45743</v>
      </c>
      <c r="C1465" s="1" t="n">
        <v>45786</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45786</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45786</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45786</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45786</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45786</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45786</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16064-2025</t>
        </is>
      </c>
      <c r="B1472" s="1" t="n">
        <v>45749</v>
      </c>
      <c r="C1472" s="1" t="n">
        <v>45786</v>
      </c>
      <c r="D1472" t="inlineStr">
        <is>
          <t>VÄSTERNORRLANDS LÄN</t>
        </is>
      </c>
      <c r="E1472" t="inlineStr">
        <is>
          <t>KRAMFORS</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16053-2025</t>
        </is>
      </c>
      <c r="B1473" s="1" t="n">
        <v>45749</v>
      </c>
      <c r="C1473" s="1" t="n">
        <v>45786</v>
      </c>
      <c r="D1473" t="inlineStr">
        <is>
          <t>VÄSTERNORRLANDS LÄN</t>
        </is>
      </c>
      <c r="E1473" t="inlineStr">
        <is>
          <t>KRAMFORS</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16049-2025</t>
        </is>
      </c>
      <c r="B1474" s="1" t="n">
        <v>45749</v>
      </c>
      <c r="C1474" s="1" t="n">
        <v>45786</v>
      </c>
      <c r="D1474" t="inlineStr">
        <is>
          <t>VÄSTERNORRLANDS LÄN</t>
        </is>
      </c>
      <c r="E1474" t="inlineStr">
        <is>
          <t>KRAMFORS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16166-2025</t>
        </is>
      </c>
      <c r="B1475" s="1" t="n">
        <v>45750</v>
      </c>
      <c r="C1475" s="1" t="n">
        <v>45786</v>
      </c>
      <c r="D1475" t="inlineStr">
        <is>
          <t>VÄSTERNORRLANDS LÄN</t>
        </is>
      </c>
      <c r="E1475" t="inlineStr">
        <is>
          <t>KRAMFORS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16167-2025</t>
        </is>
      </c>
      <c r="B1476" s="1" t="n">
        <v>45750</v>
      </c>
      <c r="C1476" s="1" t="n">
        <v>45786</v>
      </c>
      <c r="D1476" t="inlineStr">
        <is>
          <t>VÄSTERNORRLANDS LÄN</t>
        </is>
      </c>
      <c r="E1476" t="inlineStr">
        <is>
          <t>KRAMFORS</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16160-2025</t>
        </is>
      </c>
      <c r="B1477" s="1" t="n">
        <v>45750</v>
      </c>
      <c r="C1477" s="1" t="n">
        <v>45786</v>
      </c>
      <c r="D1477" t="inlineStr">
        <is>
          <t>VÄSTERNORRLANDS LÄN</t>
        </is>
      </c>
      <c r="E1477" t="inlineStr">
        <is>
          <t>KRAMFORS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16114-2025</t>
        </is>
      </c>
      <c r="B1478" s="1" t="n">
        <v>45750</v>
      </c>
      <c r="C1478" s="1" t="n">
        <v>45786</v>
      </c>
      <c r="D1478" t="inlineStr">
        <is>
          <t>VÄSTERNORRLANDS LÄN</t>
        </is>
      </c>
      <c r="E1478" t="inlineStr">
        <is>
          <t>KRAMFORS</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16113-2025</t>
        </is>
      </c>
      <c r="B1479" s="1" t="n">
        <v>45750</v>
      </c>
      <c r="C1479" s="1" t="n">
        <v>45786</v>
      </c>
      <c r="D1479" t="inlineStr">
        <is>
          <t>VÄSTERNORRLANDS LÄN</t>
        </is>
      </c>
      <c r="E1479" t="inlineStr">
        <is>
          <t>KRAMFORS</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16111-2025</t>
        </is>
      </c>
      <c r="B1480" s="1" t="n">
        <v>45750</v>
      </c>
      <c r="C1480" s="1" t="n">
        <v>45786</v>
      </c>
      <c r="D1480" t="inlineStr">
        <is>
          <t>VÄSTERNORRLANDS LÄN</t>
        </is>
      </c>
      <c r="E1480" t="inlineStr">
        <is>
          <t>KRAMFORS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16163-2025</t>
        </is>
      </c>
      <c r="B1481" s="1" t="n">
        <v>45750</v>
      </c>
      <c r="C1481" s="1" t="n">
        <v>45786</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45786</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16809-2025</t>
        </is>
      </c>
      <c r="B1483" s="1" t="n">
        <v>45754</v>
      </c>
      <c r="C1483" s="1" t="n">
        <v>45786</v>
      </c>
      <c r="D1483" t="inlineStr">
        <is>
          <t>VÄSTERNORRLANDS LÄN</t>
        </is>
      </c>
      <c r="E1483" t="inlineStr">
        <is>
          <t>KRAMFORS</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16763-2025</t>
        </is>
      </c>
      <c r="B1484" s="1" t="n">
        <v>45754</v>
      </c>
      <c r="C1484" s="1" t="n">
        <v>45786</v>
      </c>
      <c r="D1484" t="inlineStr">
        <is>
          <t>VÄSTERNORRLANDS LÄN</t>
        </is>
      </c>
      <c r="E1484" t="inlineStr">
        <is>
          <t>KRAMFORS</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17257-2025</t>
        </is>
      </c>
      <c r="B1485" s="1" t="n">
        <v>45756</v>
      </c>
      <c r="C1485" s="1" t="n">
        <v>45786</v>
      </c>
      <c r="D1485" t="inlineStr">
        <is>
          <t>VÄSTERNORRLANDS LÄN</t>
        </is>
      </c>
      <c r="E1485" t="inlineStr">
        <is>
          <t>KRAMFORS</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17223-2025</t>
        </is>
      </c>
      <c r="B1486" s="1" t="n">
        <v>45756</v>
      </c>
      <c r="C1486" s="1" t="n">
        <v>45786</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45786</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45786</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18264-2025</t>
        </is>
      </c>
      <c r="B1489" s="1" t="n">
        <v>45762</v>
      </c>
      <c r="C1489" s="1" t="n">
        <v>45786</v>
      </c>
      <c r="D1489" t="inlineStr">
        <is>
          <t>VÄSTERNORRLANDS LÄN</t>
        </is>
      </c>
      <c r="E1489" t="inlineStr">
        <is>
          <t>KRAMFORS</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45786</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18644-2025</t>
        </is>
      </c>
      <c r="B1491" s="1" t="n">
        <v>45763</v>
      </c>
      <c r="C1491" s="1" t="n">
        <v>45786</v>
      </c>
      <c r="D1491" t="inlineStr">
        <is>
          <t>VÄSTERNORRLANDS LÄN</t>
        </is>
      </c>
      <c r="E1491" t="inlineStr">
        <is>
          <t>KRAMFORS</t>
        </is>
      </c>
      <c r="F1491" t="inlineStr">
        <is>
          <t>SCA</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18656-2025</t>
        </is>
      </c>
      <c r="B1492" s="1" t="n">
        <v>45763</v>
      </c>
      <c r="C1492" s="1" t="n">
        <v>45786</v>
      </c>
      <c r="D1492" t="inlineStr">
        <is>
          <t>VÄSTERNORRLANDS LÄN</t>
        </is>
      </c>
      <c r="E1492" t="inlineStr">
        <is>
          <t>KRAMFORS</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18599-2025</t>
        </is>
      </c>
      <c r="B1493" s="1" t="n">
        <v>45763</v>
      </c>
      <c r="C1493" s="1" t="n">
        <v>45786</v>
      </c>
      <c r="D1493" t="inlineStr">
        <is>
          <t>VÄSTERNORRLANDS LÄN</t>
        </is>
      </c>
      <c r="E1493" t="inlineStr">
        <is>
          <t>KRAMFORS</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18643-2025</t>
        </is>
      </c>
      <c r="B1494" s="1" t="n">
        <v>45763</v>
      </c>
      <c r="C1494" s="1" t="n">
        <v>45786</v>
      </c>
      <c r="D1494" t="inlineStr">
        <is>
          <t>VÄSTERNORRLANDS LÄN</t>
        </is>
      </c>
      <c r="E1494" t="inlineStr">
        <is>
          <t>KRAMFORS</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45786</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18653-2025</t>
        </is>
      </c>
      <c r="B1496" s="1" t="n">
        <v>45763</v>
      </c>
      <c r="C1496" s="1" t="n">
        <v>45786</v>
      </c>
      <c r="D1496" t="inlineStr">
        <is>
          <t>VÄSTERNORRLANDS LÄN</t>
        </is>
      </c>
      <c r="E1496" t="inlineStr">
        <is>
          <t>KRAMFORS</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18654-2025</t>
        </is>
      </c>
      <c r="B1497" s="1" t="n">
        <v>45763</v>
      </c>
      <c r="C1497" s="1" t="n">
        <v>45786</v>
      </c>
      <c r="D1497" t="inlineStr">
        <is>
          <t>VÄSTERNORRLANDS LÄN</t>
        </is>
      </c>
      <c r="E1497" t="inlineStr">
        <is>
          <t>KRAMFORS</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45786</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18648-2025</t>
        </is>
      </c>
      <c r="B1499" s="1" t="n">
        <v>45763</v>
      </c>
      <c r="C1499" s="1" t="n">
        <v>45786</v>
      </c>
      <c r="D1499" t="inlineStr">
        <is>
          <t>VÄSTERNORRLANDS LÄN</t>
        </is>
      </c>
      <c r="E1499" t="inlineStr">
        <is>
          <t>KRAMFORS</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45786</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45786</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45786</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18646-2025</t>
        </is>
      </c>
      <c r="B1503" s="1" t="n">
        <v>45763</v>
      </c>
      <c r="C1503" s="1" t="n">
        <v>45786</v>
      </c>
      <c r="D1503" t="inlineStr">
        <is>
          <t>VÄSTERNORRLANDS LÄN</t>
        </is>
      </c>
      <c r="E1503" t="inlineStr">
        <is>
          <t>KRAMFORS</t>
        </is>
      </c>
      <c r="F1503" t="inlineStr">
        <is>
          <t>SCA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18655-2025</t>
        </is>
      </c>
      <c r="B1504" s="1" t="n">
        <v>45763</v>
      </c>
      <c r="C1504" s="1" t="n">
        <v>45786</v>
      </c>
      <c r="D1504" t="inlineStr">
        <is>
          <t>VÄSTERNORRLANDS LÄN</t>
        </is>
      </c>
      <c r="E1504" t="inlineStr">
        <is>
          <t>KRAMFORS</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18813-2025</t>
        </is>
      </c>
      <c r="B1505" s="1" t="n">
        <v>45764</v>
      </c>
      <c r="C1505" s="1" t="n">
        <v>45786</v>
      </c>
      <c r="D1505" t="inlineStr">
        <is>
          <t>VÄSTERNORRLANDS LÄN</t>
        </is>
      </c>
      <c r="E1505" t="inlineStr">
        <is>
          <t>KRAMFORS</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19021-2025</t>
        </is>
      </c>
      <c r="B1506" s="1" t="n">
        <v>45764</v>
      </c>
      <c r="C1506" s="1" t="n">
        <v>45786</v>
      </c>
      <c r="D1506" t="inlineStr">
        <is>
          <t>VÄSTERNORRLANDS LÄN</t>
        </is>
      </c>
      <c r="E1506" t="inlineStr">
        <is>
          <t>KRAMFORS</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18930-2025</t>
        </is>
      </c>
      <c r="B1507" s="1" t="n">
        <v>45764</v>
      </c>
      <c r="C1507" s="1" t="n">
        <v>45786</v>
      </c>
      <c r="D1507" t="inlineStr">
        <is>
          <t>VÄSTERNORRLANDS LÄN</t>
        </is>
      </c>
      <c r="E1507" t="inlineStr">
        <is>
          <t>KRAMFORS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45786</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18798-2025</t>
        </is>
      </c>
      <c r="B1509" s="1" t="n">
        <v>45764</v>
      </c>
      <c r="C1509" s="1" t="n">
        <v>45786</v>
      </c>
      <c r="D1509" t="inlineStr">
        <is>
          <t>VÄSTERNORRLANDS LÄN</t>
        </is>
      </c>
      <c r="E1509" t="inlineStr">
        <is>
          <t>KRAMFORS</t>
        </is>
      </c>
      <c r="F1509" t="inlineStr">
        <is>
          <t>SCA</t>
        </is>
      </c>
      <c r="G1509" t="n">
        <v>10.9</v>
      </c>
      <c r="H1509" t="n">
        <v>0</v>
      </c>
      <c r="I1509" t="n">
        <v>0</v>
      </c>
      <c r="J1509" t="n">
        <v>0</v>
      </c>
      <c r="K1509" t="n">
        <v>0</v>
      </c>
      <c r="L1509" t="n">
        <v>0</v>
      </c>
      <c r="M1509" t="n">
        <v>0</v>
      </c>
      <c r="N1509" t="n">
        <v>0</v>
      </c>
      <c r="O1509" t="n">
        <v>0</v>
      </c>
      <c r="P1509" t="n">
        <v>0</v>
      </c>
      <c r="Q1509" t="n">
        <v>0</v>
      </c>
      <c r="R1509" s="2" t="inlineStr"/>
    </row>
    <row r="1510" ht="15" customHeight="1">
      <c r="A1510" t="inlineStr">
        <is>
          <t>A 19124-2025</t>
        </is>
      </c>
      <c r="B1510" s="1" t="n">
        <v>45768</v>
      </c>
      <c r="C1510" s="1" t="n">
        <v>45786</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19150-2025</t>
        </is>
      </c>
      <c r="B1511" s="1" t="n">
        <v>45769</v>
      </c>
      <c r="C1511" s="1" t="n">
        <v>45786</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20823-2025</t>
        </is>
      </c>
      <c r="B1512" s="1" t="n">
        <v>45770</v>
      </c>
      <c r="C1512" s="1" t="n">
        <v>45786</v>
      </c>
      <c r="D1512" t="inlineStr">
        <is>
          <t>VÄSTERNORRLANDS LÄN</t>
        </is>
      </c>
      <c r="E1512" t="inlineStr">
        <is>
          <t>KRAMFORS</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45786</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45786</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19780-2025</t>
        </is>
      </c>
      <c r="B1515" s="1" t="n">
        <v>45771</v>
      </c>
      <c r="C1515" s="1" t="n">
        <v>45786</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19777-2025</t>
        </is>
      </c>
      <c r="B1516" s="1" t="n">
        <v>45771</v>
      </c>
      <c r="C1516" s="1" t="n">
        <v>45786</v>
      </c>
      <c r="D1516" t="inlineStr">
        <is>
          <t>VÄSTERNORRLANDS LÄN</t>
        </is>
      </c>
      <c r="E1516" t="inlineStr">
        <is>
          <t>KRAMFORS</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19708-2025</t>
        </is>
      </c>
      <c r="B1517" s="1" t="n">
        <v>45771</v>
      </c>
      <c r="C1517" s="1" t="n">
        <v>45786</v>
      </c>
      <c r="D1517" t="inlineStr">
        <is>
          <t>VÄSTERNORRLANDS LÄN</t>
        </is>
      </c>
      <c r="E1517" t="inlineStr">
        <is>
          <t>KRAMFORS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20693-2025</t>
        </is>
      </c>
      <c r="B1518" s="1" t="n">
        <v>45776</v>
      </c>
      <c r="C1518" s="1" t="n">
        <v>45786</v>
      </c>
      <c r="D1518" t="inlineStr">
        <is>
          <t>VÄSTERNORRLANDS LÄN</t>
        </is>
      </c>
      <c r="E1518" t="inlineStr">
        <is>
          <t>KRAMFORS</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20936-2025</t>
        </is>
      </c>
      <c r="B1519" s="1" t="n">
        <v>45777</v>
      </c>
      <c r="C1519" s="1" t="n">
        <v>45786</v>
      </c>
      <c r="D1519" t="inlineStr">
        <is>
          <t>VÄSTERNORRLANDS LÄN</t>
        </is>
      </c>
      <c r="E1519" t="inlineStr">
        <is>
          <t>KRAMFORS</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45786</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21533-2025</t>
        </is>
      </c>
      <c r="B1521" s="1" t="n">
        <v>45782</v>
      </c>
      <c r="C1521" s="1" t="n">
        <v>45786</v>
      </c>
      <c r="D1521" t="inlineStr">
        <is>
          <t>VÄSTERNORRLANDS LÄN</t>
        </is>
      </c>
      <c r="E1521" t="inlineStr">
        <is>
          <t>KRAMFORS</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45786</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45786</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21773-2025</t>
        </is>
      </c>
      <c r="B1524" s="1" t="n">
        <v>45783</v>
      </c>
      <c r="C1524" s="1" t="n">
        <v>45786</v>
      </c>
      <c r="D1524" t="inlineStr">
        <is>
          <t>VÄSTERNORRLANDS LÄN</t>
        </is>
      </c>
      <c r="E1524" t="inlineStr">
        <is>
          <t>KRAMFORS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21626-2025</t>
        </is>
      </c>
      <c r="B1525" s="1" t="n">
        <v>45783</v>
      </c>
      <c r="C1525" s="1" t="n">
        <v>45786</v>
      </c>
      <c r="D1525" t="inlineStr">
        <is>
          <t>VÄSTERNORRLANDS LÄN</t>
        </is>
      </c>
      <c r="E1525" t="inlineStr">
        <is>
          <t>KRAMFORS</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21645-2025</t>
        </is>
      </c>
      <c r="B1526" s="1" t="n">
        <v>45783</v>
      </c>
      <c r="C1526" s="1" t="n">
        <v>45786</v>
      </c>
      <c r="D1526" t="inlineStr">
        <is>
          <t>VÄSTERNORRLANDS LÄN</t>
        </is>
      </c>
      <c r="E1526" t="inlineStr">
        <is>
          <t>KRAMFORS</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21637-2025</t>
        </is>
      </c>
      <c r="B1527" s="1" t="n">
        <v>45783</v>
      </c>
      <c r="C1527" s="1" t="n">
        <v>45786</v>
      </c>
      <c r="D1527" t="inlineStr">
        <is>
          <t>VÄSTERNORRLANDS LÄN</t>
        </is>
      </c>
      <c r="E1527" t="inlineStr">
        <is>
          <t>KRAMFORS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21627-2025</t>
        </is>
      </c>
      <c r="B1528" s="1" t="n">
        <v>45783</v>
      </c>
      <c r="C1528" s="1" t="n">
        <v>45786</v>
      </c>
      <c r="D1528" t="inlineStr">
        <is>
          <t>VÄSTERNORRLANDS LÄN</t>
        </is>
      </c>
      <c r="E1528" t="inlineStr">
        <is>
          <t>KRAMFORS</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21761-2025</t>
        </is>
      </c>
      <c r="B1529" s="1" t="n">
        <v>45783</v>
      </c>
      <c r="C1529" s="1" t="n">
        <v>45786</v>
      </c>
      <c r="D1529" t="inlineStr">
        <is>
          <t>VÄSTERNORRLANDS LÄN</t>
        </is>
      </c>
      <c r="E1529" t="inlineStr">
        <is>
          <t>KRAMFORS</t>
        </is>
      </c>
      <c r="G1529" t="n">
        <v>12.9</v>
      </c>
      <c r="H1529" t="n">
        <v>0</v>
      </c>
      <c r="I1529" t="n">
        <v>0</v>
      </c>
      <c r="J1529" t="n">
        <v>0</v>
      </c>
      <c r="K1529" t="n">
        <v>0</v>
      </c>
      <c r="L1529" t="n">
        <v>0</v>
      </c>
      <c r="M1529" t="n">
        <v>0</v>
      </c>
      <c r="N1529" t="n">
        <v>0</v>
      </c>
      <c r="O1529" t="n">
        <v>0</v>
      </c>
      <c r="P1529" t="n">
        <v>0</v>
      </c>
      <c r="Q1529" t="n">
        <v>0</v>
      </c>
      <c r="R1529" s="2" t="inlineStr"/>
    </row>
    <row r="1530" ht="15" customHeight="1">
      <c r="A1530" t="inlineStr">
        <is>
          <t>A 21772-2025</t>
        </is>
      </c>
      <c r="B1530" s="1" t="n">
        <v>45783</v>
      </c>
      <c r="C1530" s="1" t="n">
        <v>45786</v>
      </c>
      <c r="D1530" t="inlineStr">
        <is>
          <t>VÄSTERNORRLANDS LÄN</t>
        </is>
      </c>
      <c r="E1530" t="inlineStr">
        <is>
          <t>KRAMFORS</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45786</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45786</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45786</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21911-2025</t>
        </is>
      </c>
      <c r="B1534" s="1" t="n">
        <v>45784</v>
      </c>
      <c r="C1534" s="1" t="n">
        <v>45786</v>
      </c>
      <c r="D1534" t="inlineStr">
        <is>
          <t>VÄSTERNORRLANDS LÄN</t>
        </is>
      </c>
      <c r="E1534" t="inlineStr">
        <is>
          <t>KRAMFORS</t>
        </is>
      </c>
      <c r="G1534" t="n">
        <v>0.8</v>
      </c>
      <c r="H1534" t="n">
        <v>0</v>
      </c>
      <c r="I1534" t="n">
        <v>0</v>
      </c>
      <c r="J1534" t="n">
        <v>0</v>
      </c>
      <c r="K1534" t="n">
        <v>0</v>
      </c>
      <c r="L1534" t="n">
        <v>0</v>
      </c>
      <c r="M1534" t="n">
        <v>0</v>
      </c>
      <c r="N1534" t="n">
        <v>0</v>
      </c>
      <c r="O1534" t="n">
        <v>0</v>
      </c>
      <c r="P1534" t="n">
        <v>0</v>
      </c>
      <c r="Q1534" t="n">
        <v>0</v>
      </c>
      <c r="R1534" s="2" t="inlineStr"/>
    </row>
    <row r="1535">
      <c r="A1535" t="inlineStr">
        <is>
          <t>A 22047-2025</t>
        </is>
      </c>
      <c r="B1535" s="1" t="n">
        <v>45785</v>
      </c>
      <c r="C1535" s="1" t="n">
        <v>45786</v>
      </c>
      <c r="D1535" t="inlineStr">
        <is>
          <t>VÄSTERNORRLANDS LÄN</t>
        </is>
      </c>
      <c r="E1535" t="inlineStr">
        <is>
          <t>KRAMFORS</t>
        </is>
      </c>
      <c r="F1535" t="inlineStr">
        <is>
          <t>SCA</t>
        </is>
      </c>
      <c r="G1535" t="n">
        <v>12.4</v>
      </c>
      <c r="H1535" t="n">
        <v>0</v>
      </c>
      <c r="I1535" t="n">
        <v>0</v>
      </c>
      <c r="J1535" t="n">
        <v>0</v>
      </c>
      <c r="K1535" t="n">
        <v>0</v>
      </c>
      <c r="L1535" t="n">
        <v>0</v>
      </c>
      <c r="M1535" t="n">
        <v>0</v>
      </c>
      <c r="N1535" t="n">
        <v>0</v>
      </c>
      <c r="O1535" t="n">
        <v>0</v>
      </c>
      <c r="P1535" t="n">
        <v>0</v>
      </c>
      <c r="Q1535" t="n">
        <v>0</v>
      </c>
      <c r="R1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2025-05-09T16:35:30Z</dcterms:created>
  <dcterms:modified xmlns:dcterms="http://purl.org/dc/terms/" xmlns:xsi="http://www.w3.org/2001/XMLSchema-instance" xsi:type="dcterms:W3CDTF">2025-05-09T16:35:32Z</dcterms:modified>
</cp:coreProperties>
</file>