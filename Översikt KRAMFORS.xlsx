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45564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45564</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45564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45564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30588-2021</t>
        </is>
      </c>
      <c r="B6" s="1" t="n">
        <v>44364</v>
      </c>
      <c r="C6" s="1" t="n">
        <v>45564</v>
      </c>
      <c r="D6" t="inlineStr">
        <is>
          <t>VÄSTERNORRLANDS LÄN</t>
        </is>
      </c>
      <c r="E6" t="inlineStr">
        <is>
          <t>KRAMFORS</t>
        </is>
      </c>
      <c r="G6" t="n">
        <v>12.6</v>
      </c>
      <c r="H6" t="n">
        <v>0</v>
      </c>
      <c r="I6" t="n">
        <v>7</v>
      </c>
      <c r="J6" t="n">
        <v>7</v>
      </c>
      <c r="K6" t="n">
        <v>1</v>
      </c>
      <c r="L6" t="n">
        <v>0</v>
      </c>
      <c r="M6" t="n">
        <v>0</v>
      </c>
      <c r="N6" t="n">
        <v>0</v>
      </c>
      <c r="O6" t="n">
        <v>8</v>
      </c>
      <c r="P6" t="n">
        <v>1</v>
      </c>
      <c r="Q6" t="n">
        <v>15</v>
      </c>
      <c r="R6" s="2" t="inlineStr">
        <is>
          <t>Rynkskinn
Doftskinn
Gammelgransskål
Garnlav
Lunglav
Stiftgelélav
Ullticka
Violettgrå tagellav
Kattfotslav
Korallblylav
Skinnlav
Skuggblåslav
Stor aspticka
Stuplav
Vedticka</t>
        </is>
      </c>
      <c r="S6">
        <f>HYPERLINK("https://klasma.github.io/Logging_2282/artfynd/A 30588-2021 artfynd.xlsx", "A 30588-2021")</f>
        <v/>
      </c>
      <c r="T6">
        <f>HYPERLINK("https://klasma.github.io/Logging_2282/kartor/A 30588-2021 karta.png", "A 30588-2021")</f>
        <v/>
      </c>
      <c r="V6">
        <f>HYPERLINK("https://klasma.github.io/Logging_2282/klagomål/A 30588-2021 FSC-klagomål.docx", "A 30588-2021")</f>
        <v/>
      </c>
      <c r="W6">
        <f>HYPERLINK("https://klasma.github.io/Logging_2282/klagomålsmail/A 30588-2021 FSC-klagomål mail.docx", "A 30588-2021")</f>
        <v/>
      </c>
      <c r="X6">
        <f>HYPERLINK("https://klasma.github.io/Logging_2282/tillsyn/A 30588-2021 tillsynsbegäran.docx", "A 30588-2021")</f>
        <v/>
      </c>
      <c r="Y6">
        <f>HYPERLINK("https://klasma.github.io/Logging_2282/tillsynsmail/A 30588-2021 tillsynsbegäran mail.docx", "A 30588-2021")</f>
        <v/>
      </c>
    </row>
    <row r="7" ht="15" customHeight="1">
      <c r="A7" t="inlineStr">
        <is>
          <t>A 30587-2021</t>
        </is>
      </c>
      <c r="B7" s="1" t="n">
        <v>44364</v>
      </c>
      <c r="C7" s="1" t="n">
        <v>45564</v>
      </c>
      <c r="D7" t="inlineStr">
        <is>
          <t>VÄSTERNORRLANDS LÄN</t>
        </is>
      </c>
      <c r="E7" t="inlineStr">
        <is>
          <t>KRAMFORS</t>
        </is>
      </c>
      <c r="G7" t="n">
        <v>4.8</v>
      </c>
      <c r="H7" t="n">
        <v>2</v>
      </c>
      <c r="I7" t="n">
        <v>4</v>
      </c>
      <c r="J7" t="n">
        <v>8</v>
      </c>
      <c r="K7" t="n">
        <v>1</v>
      </c>
      <c r="L7" t="n">
        <v>0</v>
      </c>
      <c r="M7" t="n">
        <v>0</v>
      </c>
      <c r="N7" t="n">
        <v>0</v>
      </c>
      <c r="O7" t="n">
        <v>9</v>
      </c>
      <c r="P7" t="n">
        <v>1</v>
      </c>
      <c r="Q7" t="n">
        <v>14</v>
      </c>
      <c r="R7" s="2" t="inlineStr">
        <is>
          <t>Rynkskinn
Doftskinn
Gammelgransskål
Garnlav
Gränsticka
Lunglav
Rosenticka
Ullticka
Violettgrå tagellav
Kattfotslav
Korallblylav
Spindelblomster
Vedticka
Fläcknycklar</t>
        </is>
      </c>
      <c r="S7">
        <f>HYPERLINK("https://klasma.github.io/Logging_2282/artfynd/A 30587-2021 artfynd.xlsx", "A 30587-2021")</f>
        <v/>
      </c>
      <c r="T7">
        <f>HYPERLINK("https://klasma.github.io/Logging_2282/kartor/A 30587-2021 karta.png", "A 30587-2021")</f>
        <v/>
      </c>
      <c r="V7">
        <f>HYPERLINK("https://klasma.github.io/Logging_2282/klagomål/A 30587-2021 FSC-klagomål.docx", "A 30587-2021")</f>
        <v/>
      </c>
      <c r="W7">
        <f>HYPERLINK("https://klasma.github.io/Logging_2282/klagomålsmail/A 30587-2021 FSC-klagomål mail.docx", "A 30587-2021")</f>
        <v/>
      </c>
      <c r="X7">
        <f>HYPERLINK("https://klasma.github.io/Logging_2282/tillsyn/A 30587-2021 tillsynsbegäran.docx", "A 30587-2021")</f>
        <v/>
      </c>
      <c r="Y7">
        <f>HYPERLINK("https://klasma.github.io/Logging_2282/tillsynsmail/A 30587-2021 tillsynsbegäran mail.docx", "A 30587-2021")</f>
        <v/>
      </c>
    </row>
    <row r="8" ht="15" customHeight="1">
      <c r="A8" t="inlineStr">
        <is>
          <t>A 10171-2024</t>
        </is>
      </c>
      <c r="B8" s="1" t="n">
        <v>45364</v>
      </c>
      <c r="C8" s="1" t="n">
        <v>45564</v>
      </c>
      <c r="D8" t="inlineStr">
        <is>
          <t>VÄSTERNORRLANDS LÄN</t>
        </is>
      </c>
      <c r="E8" t="inlineStr">
        <is>
          <t>KRAMFORS</t>
        </is>
      </c>
      <c r="G8" t="n">
        <v>21.5</v>
      </c>
      <c r="H8" t="n">
        <v>4</v>
      </c>
      <c r="I8" t="n">
        <v>3</v>
      </c>
      <c r="J8" t="n">
        <v>7</v>
      </c>
      <c r="K8" t="n">
        <v>2</v>
      </c>
      <c r="L8" t="n">
        <v>0</v>
      </c>
      <c r="M8" t="n">
        <v>0</v>
      </c>
      <c r="N8" t="n">
        <v>0</v>
      </c>
      <c r="O8" t="n">
        <v>9</v>
      </c>
      <c r="P8" t="n">
        <v>2</v>
      </c>
      <c r="Q8" t="n">
        <v>14</v>
      </c>
      <c r="R8" s="2" t="inlineStr">
        <is>
          <t>Aspgelélav
Rynkskinn
Doftskinn
Garnlav
Granticka
Lunglav
Talltita
Tretåig hackspett
Ullticka
Korallblylav
Stor aspticka
Vedticka
Kungsfågel
Lavskrika</t>
        </is>
      </c>
      <c r="S8">
        <f>HYPERLINK("https://klasma.github.io/Logging_2282/artfynd/A 10171-2024 artfynd.xlsx", "A 10171-2024")</f>
        <v/>
      </c>
      <c r="T8">
        <f>HYPERLINK("https://klasma.github.io/Logging_2282/kartor/A 10171-2024 karta.png", "A 10171-2024")</f>
        <v/>
      </c>
      <c r="V8">
        <f>HYPERLINK("https://klasma.github.io/Logging_2282/klagomål/A 10171-2024 FSC-klagomål.docx", "A 10171-2024")</f>
        <v/>
      </c>
      <c r="W8">
        <f>HYPERLINK("https://klasma.github.io/Logging_2282/klagomålsmail/A 10171-2024 FSC-klagomål mail.docx", "A 10171-2024")</f>
        <v/>
      </c>
      <c r="X8">
        <f>HYPERLINK("https://klasma.github.io/Logging_2282/tillsyn/A 10171-2024 tillsynsbegäran.docx", "A 10171-2024")</f>
        <v/>
      </c>
      <c r="Y8">
        <f>HYPERLINK("https://klasma.github.io/Logging_2282/tillsynsmail/A 10171-2024 tillsynsbegäran mail.docx", "A 10171-2024")</f>
        <v/>
      </c>
      <c r="Z8">
        <f>HYPERLINK("https://klasma.github.io/Logging_2282/fåglar/A 10171-2024 prioriterade fågelarter.docx", "A 10171-2024")</f>
        <v/>
      </c>
    </row>
    <row r="9" ht="15" customHeight="1">
      <c r="A9" t="inlineStr">
        <is>
          <t>A 4648-2024</t>
        </is>
      </c>
      <c r="B9" s="1" t="n">
        <v>45328</v>
      </c>
      <c r="C9" s="1" t="n">
        <v>45564</v>
      </c>
      <c r="D9" t="inlineStr">
        <is>
          <t>VÄSTERNORRLANDS LÄN</t>
        </is>
      </c>
      <c r="E9" t="inlineStr">
        <is>
          <t>KRAMFORS</t>
        </is>
      </c>
      <c r="G9" t="n">
        <v>10.8</v>
      </c>
      <c r="H9" t="n">
        <v>1</v>
      </c>
      <c r="I9" t="n">
        <v>3</v>
      </c>
      <c r="J9" t="n">
        <v>9</v>
      </c>
      <c r="K9" t="n">
        <v>1</v>
      </c>
      <c r="L9" t="n">
        <v>0</v>
      </c>
      <c r="M9" t="n">
        <v>0</v>
      </c>
      <c r="N9" t="n">
        <v>0</v>
      </c>
      <c r="O9" t="n">
        <v>10</v>
      </c>
      <c r="P9" t="n">
        <v>1</v>
      </c>
      <c r="Q9" t="n">
        <v>13</v>
      </c>
      <c r="R9" s="2" t="inlineStr">
        <is>
          <t>Rynkskinn
Gammelgransskål
Garnlav
Granticka
Gränsticka
Lunglav
Rosenticka
Tretåig hackspett
Ullticka
Violettgrå tagellav
Skinnlav
Stor aspticka
Vedticka</t>
        </is>
      </c>
      <c r="S9">
        <f>HYPERLINK("https://klasma.github.io/Logging_2282/artfynd/A 4648-2024 artfynd.xlsx", "A 4648-2024")</f>
        <v/>
      </c>
      <c r="T9">
        <f>HYPERLINK("https://klasma.github.io/Logging_2282/kartor/A 4648-2024 karta.png", "A 4648-2024")</f>
        <v/>
      </c>
      <c r="V9">
        <f>HYPERLINK("https://klasma.github.io/Logging_2282/klagomål/A 4648-2024 FSC-klagomål.docx", "A 4648-2024")</f>
        <v/>
      </c>
      <c r="W9">
        <f>HYPERLINK("https://klasma.github.io/Logging_2282/klagomålsmail/A 4648-2024 FSC-klagomål mail.docx", "A 4648-2024")</f>
        <v/>
      </c>
      <c r="X9">
        <f>HYPERLINK("https://klasma.github.io/Logging_2282/tillsyn/A 4648-2024 tillsynsbegäran.docx", "A 4648-2024")</f>
        <v/>
      </c>
      <c r="Y9">
        <f>HYPERLINK("https://klasma.github.io/Logging_2282/tillsynsmail/A 4648-2024 tillsynsbegäran mail.docx", "A 4648-2024")</f>
        <v/>
      </c>
      <c r="Z9">
        <f>HYPERLINK("https://klasma.github.io/Logging_2282/fåglar/A 4648-2024 prioriterade fågelarter.docx", "A 4648-2024")</f>
        <v/>
      </c>
    </row>
    <row r="10" ht="15" customHeight="1">
      <c r="A10" t="inlineStr">
        <is>
          <t>A 37808-2022</t>
        </is>
      </c>
      <c r="B10" s="1" t="n">
        <v>44810</v>
      </c>
      <c r="C10" s="1" t="n">
        <v>45564</v>
      </c>
      <c r="D10" t="inlineStr">
        <is>
          <t>VÄSTERNORRLANDS LÄN</t>
        </is>
      </c>
      <c r="E10" t="inlineStr">
        <is>
          <t>KRAMFORS</t>
        </is>
      </c>
      <c r="G10" t="n">
        <v>1.1</v>
      </c>
      <c r="H10" t="n">
        <v>1</v>
      </c>
      <c r="I10" t="n">
        <v>5</v>
      </c>
      <c r="J10" t="n">
        <v>7</v>
      </c>
      <c r="K10" t="n">
        <v>0</v>
      </c>
      <c r="L10" t="n">
        <v>0</v>
      </c>
      <c r="M10" t="n">
        <v>0</v>
      </c>
      <c r="N10" t="n">
        <v>0</v>
      </c>
      <c r="O10" t="n">
        <v>7</v>
      </c>
      <c r="P10" t="n">
        <v>0</v>
      </c>
      <c r="Q10" t="n">
        <v>12</v>
      </c>
      <c r="R10" s="2" t="inlineStr">
        <is>
          <t>Doftskinn
Gammelgransskål
Garnlav
Lunglav
Spillkråka
Ullticka
Violettgrå tagellav
Bårdlav
Korallblylav
Skinnlav
Stor aspticka
Vedticka</t>
        </is>
      </c>
      <c r="S10">
        <f>HYPERLINK("https://klasma.github.io/Logging_2282/artfynd/A 37808-2022 artfynd.xlsx", "A 37808-2022")</f>
        <v/>
      </c>
      <c r="T10">
        <f>HYPERLINK("https://klasma.github.io/Logging_2282/kartor/A 37808-2022 karta.png", "A 37808-2022")</f>
        <v/>
      </c>
      <c r="V10">
        <f>HYPERLINK("https://klasma.github.io/Logging_2282/klagomål/A 37808-2022 FSC-klagomål.docx", "A 37808-2022")</f>
        <v/>
      </c>
      <c r="W10">
        <f>HYPERLINK("https://klasma.github.io/Logging_2282/klagomålsmail/A 37808-2022 FSC-klagomål mail.docx", "A 37808-2022")</f>
        <v/>
      </c>
      <c r="X10">
        <f>HYPERLINK("https://klasma.github.io/Logging_2282/tillsyn/A 37808-2022 tillsynsbegäran.docx", "A 37808-2022")</f>
        <v/>
      </c>
      <c r="Y10">
        <f>HYPERLINK("https://klasma.github.io/Logging_2282/tillsynsmail/A 37808-2022 tillsynsbegäran mail.docx", "A 37808-2022")</f>
        <v/>
      </c>
      <c r="Z10">
        <f>HYPERLINK("https://klasma.github.io/Logging_2282/fåglar/A 37808-2022 prioriterade fågelarter.docx", "A 37808-2022")</f>
        <v/>
      </c>
    </row>
    <row r="11" ht="15" customHeight="1">
      <c r="A11" t="inlineStr">
        <is>
          <t>A 18798-2024</t>
        </is>
      </c>
      <c r="B11" s="1" t="n">
        <v>45426</v>
      </c>
      <c r="C11" s="1" t="n">
        <v>45564</v>
      </c>
      <c r="D11" t="inlineStr">
        <is>
          <t>VÄSTERNORRLANDS LÄN</t>
        </is>
      </c>
      <c r="E11" t="inlineStr">
        <is>
          <t>KRAMFORS</t>
        </is>
      </c>
      <c r="G11" t="n">
        <v>19</v>
      </c>
      <c r="H11" t="n">
        <v>2</v>
      </c>
      <c r="I11" t="n">
        <v>5</v>
      </c>
      <c r="J11" t="n">
        <v>7</v>
      </c>
      <c r="K11" t="n">
        <v>0</v>
      </c>
      <c r="L11" t="n">
        <v>0</v>
      </c>
      <c r="M11" t="n">
        <v>0</v>
      </c>
      <c r="N11" t="n">
        <v>0</v>
      </c>
      <c r="O11" t="n">
        <v>7</v>
      </c>
      <c r="P11" t="n">
        <v>0</v>
      </c>
      <c r="Q11" t="n">
        <v>12</v>
      </c>
      <c r="R11" s="2" t="inlineStr">
        <is>
          <t>Doftskinn
Garnlav
Granticka
Nordfladdermus
Tretåig hackspett
Ullticka
Violettgrå tagellav
Bårdlav
Skinnlav
Stor aspticka
Stuplav
Vedticka</t>
        </is>
      </c>
      <c r="S11">
        <f>HYPERLINK("https://klasma.github.io/Logging_2282/artfynd/A 18798-2024 artfynd.xlsx", "A 18798-2024")</f>
        <v/>
      </c>
      <c r="T11">
        <f>HYPERLINK("https://klasma.github.io/Logging_2282/kartor/A 18798-2024 karta.png", "A 18798-2024")</f>
        <v/>
      </c>
      <c r="V11">
        <f>HYPERLINK("https://klasma.github.io/Logging_2282/klagomål/A 18798-2024 FSC-klagomål.docx", "A 18798-2024")</f>
        <v/>
      </c>
      <c r="W11">
        <f>HYPERLINK("https://klasma.github.io/Logging_2282/klagomålsmail/A 18798-2024 FSC-klagomål mail.docx", "A 18798-2024")</f>
        <v/>
      </c>
      <c r="X11">
        <f>HYPERLINK("https://klasma.github.io/Logging_2282/tillsyn/A 18798-2024 tillsynsbegäran.docx", "A 18798-2024")</f>
        <v/>
      </c>
      <c r="Y11">
        <f>HYPERLINK("https://klasma.github.io/Logging_2282/tillsynsmail/A 18798-2024 tillsynsbegäran mail.docx", "A 18798-2024")</f>
        <v/>
      </c>
      <c r="Z11">
        <f>HYPERLINK("https://klasma.github.io/Logging_2282/fåglar/A 18798-2024 prioriterade fågelarter.docx", "A 18798-2024")</f>
        <v/>
      </c>
    </row>
    <row r="12" ht="15" customHeight="1">
      <c r="A12" t="inlineStr">
        <is>
          <t>A 65357-2019</t>
        </is>
      </c>
      <c r="B12" s="1" t="n">
        <v>43803</v>
      </c>
      <c r="C12" s="1" t="n">
        <v>45564</v>
      </c>
      <c r="D12" t="inlineStr">
        <is>
          <t>VÄSTERNORRLANDS LÄN</t>
        </is>
      </c>
      <c r="E12" t="inlineStr">
        <is>
          <t>KRAMFORS</t>
        </is>
      </c>
      <c r="G12" t="n">
        <v>11.7</v>
      </c>
      <c r="H12" t="n">
        <v>1</v>
      </c>
      <c r="I12" t="n">
        <v>4</v>
      </c>
      <c r="J12" t="n">
        <v>5</v>
      </c>
      <c r="K12" t="n">
        <v>1</v>
      </c>
      <c r="L12" t="n">
        <v>0</v>
      </c>
      <c r="M12" t="n">
        <v>0</v>
      </c>
      <c r="N12" t="n">
        <v>0</v>
      </c>
      <c r="O12" t="n">
        <v>6</v>
      </c>
      <c r="P12" t="n">
        <v>1</v>
      </c>
      <c r="Q12" t="n">
        <v>11</v>
      </c>
      <c r="R12" s="2" t="inlineStr">
        <is>
          <t>Aspgelélav
Backtimjan
Gränsticka
Lunglav
Slåtterfibbla
Ullticka
Skinnlav
Stor aspticka
Tibast
Underviol
Blåsippa</t>
        </is>
      </c>
      <c r="S12">
        <f>HYPERLINK("https://klasma.github.io/Logging_2282/artfynd/A 65357-2019 artfynd.xlsx", "A 65357-2019")</f>
        <v/>
      </c>
      <c r="T12">
        <f>HYPERLINK("https://klasma.github.io/Logging_2282/kartor/A 65357-2019 karta.png", "A 65357-2019")</f>
        <v/>
      </c>
      <c r="V12">
        <f>HYPERLINK("https://klasma.github.io/Logging_2282/klagomål/A 65357-2019 FSC-klagomål.docx", "A 65357-2019")</f>
        <v/>
      </c>
      <c r="W12">
        <f>HYPERLINK("https://klasma.github.io/Logging_2282/klagomålsmail/A 65357-2019 FSC-klagomål mail.docx", "A 65357-2019")</f>
        <v/>
      </c>
      <c r="X12">
        <f>HYPERLINK("https://klasma.github.io/Logging_2282/tillsyn/A 65357-2019 tillsynsbegäran.docx", "A 65357-2019")</f>
        <v/>
      </c>
      <c r="Y12">
        <f>HYPERLINK("https://klasma.github.io/Logging_2282/tillsynsmail/A 65357-2019 tillsynsbegäran mail.docx", "A 65357-2019")</f>
        <v/>
      </c>
    </row>
    <row r="13" ht="15" customHeight="1">
      <c r="A13" t="inlineStr">
        <is>
          <t>A 3261-2020</t>
        </is>
      </c>
      <c r="B13" s="1" t="n">
        <v>43852</v>
      </c>
      <c r="C13" s="1" t="n">
        <v>45564</v>
      </c>
      <c r="D13" t="inlineStr">
        <is>
          <t>VÄSTERNORRLANDS LÄN</t>
        </is>
      </c>
      <c r="E13" t="inlineStr">
        <is>
          <t>KRAMFORS</t>
        </is>
      </c>
      <c r="G13" t="n">
        <v>5.9</v>
      </c>
      <c r="H13" t="n">
        <v>0</v>
      </c>
      <c r="I13" t="n">
        <v>3</v>
      </c>
      <c r="J13" t="n">
        <v>5</v>
      </c>
      <c r="K13" t="n">
        <v>2</v>
      </c>
      <c r="L13" t="n">
        <v>0</v>
      </c>
      <c r="M13" t="n">
        <v>0</v>
      </c>
      <c r="N13" t="n">
        <v>0</v>
      </c>
      <c r="O13" t="n">
        <v>7</v>
      </c>
      <c r="P13" t="n">
        <v>2</v>
      </c>
      <c r="Q13" t="n">
        <v>10</v>
      </c>
      <c r="R13" s="2" t="inlineStr">
        <is>
          <t>Aspfjädermossa
Aspgelélav
Gammelgransskål
Garnlav
Granticka
Lunglav
Ullticka
Korallblylav
Skinnlav
Vedticka</t>
        </is>
      </c>
      <c r="S13">
        <f>HYPERLINK("https://klasma.github.io/Logging_2282/artfynd/A 3261-2020 artfynd.xlsx", "A 3261-2020")</f>
        <v/>
      </c>
      <c r="T13">
        <f>HYPERLINK("https://klasma.github.io/Logging_2282/kartor/A 3261-2020 karta.png", "A 3261-2020")</f>
        <v/>
      </c>
      <c r="V13">
        <f>HYPERLINK("https://klasma.github.io/Logging_2282/klagomål/A 3261-2020 FSC-klagomål.docx", "A 3261-2020")</f>
        <v/>
      </c>
      <c r="W13">
        <f>HYPERLINK("https://klasma.github.io/Logging_2282/klagomålsmail/A 3261-2020 FSC-klagomål mail.docx", "A 3261-2020")</f>
        <v/>
      </c>
      <c r="X13">
        <f>HYPERLINK("https://klasma.github.io/Logging_2282/tillsyn/A 3261-2020 tillsynsbegäran.docx", "A 3261-2020")</f>
        <v/>
      </c>
      <c r="Y13">
        <f>HYPERLINK("https://klasma.github.io/Logging_2282/tillsynsmail/A 3261-2020 tillsynsbegäran mail.docx", "A 3261-2020")</f>
        <v/>
      </c>
    </row>
    <row r="14" ht="15" customHeight="1">
      <c r="A14" t="inlineStr">
        <is>
          <t>A 38950-2021</t>
        </is>
      </c>
      <c r="B14" s="1" t="n">
        <v>44411</v>
      </c>
      <c r="C14" s="1" t="n">
        <v>45564</v>
      </c>
      <c r="D14" t="inlineStr">
        <is>
          <t>VÄSTERNORRLANDS LÄN</t>
        </is>
      </c>
      <c r="E14" t="inlineStr">
        <is>
          <t>KRAMFORS</t>
        </is>
      </c>
      <c r="G14" t="n">
        <v>10</v>
      </c>
      <c r="H14" t="n">
        <v>1</v>
      </c>
      <c r="I14" t="n">
        <v>1</v>
      </c>
      <c r="J14" t="n">
        <v>8</v>
      </c>
      <c r="K14" t="n">
        <v>1</v>
      </c>
      <c r="L14" t="n">
        <v>0</v>
      </c>
      <c r="M14" t="n">
        <v>0</v>
      </c>
      <c r="N14" t="n">
        <v>0</v>
      </c>
      <c r="O14" t="n">
        <v>9</v>
      </c>
      <c r="P14" t="n">
        <v>1</v>
      </c>
      <c r="Q14" t="n">
        <v>10</v>
      </c>
      <c r="R14" s="2" t="inlineStr">
        <is>
          <t>Ringlav
Doftskinn
Garnlav
Granticka
Gränsticka
Gul taggsvamp
Talltita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c r="Z14">
        <f>HYPERLINK("https://klasma.github.io/Logging_2282/fåglar/A 38950-2021 prioriterade fågelarter.docx", "A 38950-2021")</f>
        <v/>
      </c>
    </row>
    <row r="15" ht="15" customHeight="1">
      <c r="A15" t="inlineStr">
        <is>
          <t>A 65056-2019</t>
        </is>
      </c>
      <c r="B15" s="1" t="n">
        <v>43801</v>
      </c>
      <c r="C15" s="1" t="n">
        <v>45564</v>
      </c>
      <c r="D15" t="inlineStr">
        <is>
          <t>VÄSTERNORRLANDS LÄN</t>
        </is>
      </c>
      <c r="E15" t="inlineStr">
        <is>
          <t>KRAMFORS</t>
        </is>
      </c>
      <c r="G15" t="n">
        <v>6.2</v>
      </c>
      <c r="H15" t="n">
        <v>1</v>
      </c>
      <c r="I15" t="n">
        <v>3</v>
      </c>
      <c r="J15" t="n">
        <v>6</v>
      </c>
      <c r="K15" t="n">
        <v>0</v>
      </c>
      <c r="L15" t="n">
        <v>0</v>
      </c>
      <c r="M15" t="n">
        <v>0</v>
      </c>
      <c r="N15" t="n">
        <v>0</v>
      </c>
      <c r="O15" t="n">
        <v>6</v>
      </c>
      <c r="P15" t="n">
        <v>0</v>
      </c>
      <c r="Q15" t="n">
        <v>9</v>
      </c>
      <c r="R15" s="2" t="inlineStr">
        <is>
          <t>Gammelgransskål
Garnlav
Lunglav
Tretåig hackspett
Ullticka
Violettgrå tagellav
Kattfotslav
Stuplav
Vedticka</t>
        </is>
      </c>
      <c r="S15">
        <f>HYPERLINK("https://klasma.github.io/Logging_2282/artfynd/A 65056-2019 artfynd.xlsx", "A 65056-2019")</f>
        <v/>
      </c>
      <c r="T15">
        <f>HYPERLINK("https://klasma.github.io/Logging_2282/kartor/A 65056-2019 karta.png", "A 65056-2019")</f>
        <v/>
      </c>
      <c r="V15">
        <f>HYPERLINK("https://klasma.github.io/Logging_2282/klagomål/A 65056-2019 FSC-klagomål.docx", "A 65056-2019")</f>
        <v/>
      </c>
      <c r="W15">
        <f>HYPERLINK("https://klasma.github.io/Logging_2282/klagomålsmail/A 65056-2019 FSC-klagomål mail.docx", "A 65056-2019")</f>
        <v/>
      </c>
      <c r="X15">
        <f>HYPERLINK("https://klasma.github.io/Logging_2282/tillsyn/A 65056-2019 tillsynsbegäran.docx", "A 65056-2019")</f>
        <v/>
      </c>
      <c r="Y15">
        <f>HYPERLINK("https://klasma.github.io/Logging_2282/tillsynsmail/A 65056-2019 tillsynsbegäran mail.docx", "A 65056-2019")</f>
        <v/>
      </c>
      <c r="Z15">
        <f>HYPERLINK("https://klasma.github.io/Logging_2282/fåglar/A 65056-2019 prioriterade fågelarter.docx", "A 65056-2019")</f>
        <v/>
      </c>
    </row>
    <row r="16" ht="15" customHeight="1">
      <c r="A16" t="inlineStr">
        <is>
          <t>A 16159-2020</t>
        </is>
      </c>
      <c r="B16" s="1" t="n">
        <v>43916</v>
      </c>
      <c r="C16" s="1" t="n">
        <v>45564</v>
      </c>
      <c r="D16" t="inlineStr">
        <is>
          <t>VÄSTERNORRLANDS LÄN</t>
        </is>
      </c>
      <c r="E16" t="inlineStr">
        <is>
          <t>KRAMFORS</t>
        </is>
      </c>
      <c r="G16" t="n">
        <v>9.1</v>
      </c>
      <c r="H16" t="n">
        <v>1</v>
      </c>
      <c r="I16" t="n">
        <v>3</v>
      </c>
      <c r="J16" t="n">
        <v>5</v>
      </c>
      <c r="K16" t="n">
        <v>1</v>
      </c>
      <c r="L16" t="n">
        <v>0</v>
      </c>
      <c r="M16" t="n">
        <v>0</v>
      </c>
      <c r="N16" t="n">
        <v>0</v>
      </c>
      <c r="O16" t="n">
        <v>6</v>
      </c>
      <c r="P16" t="n">
        <v>1</v>
      </c>
      <c r="Q16" t="n">
        <v>9</v>
      </c>
      <c r="R16" s="2" t="inlineStr">
        <is>
          <t>Rynkskinn
Garnlav
Granticka
Rosenticka
Tretåig hackspett
Ullticka
Skinnlav
Vedticka
Vågbandad barkbock</t>
        </is>
      </c>
      <c r="S16">
        <f>HYPERLINK("https://klasma.github.io/Logging_2282/artfynd/A 16159-2020 artfynd.xlsx", "A 16159-2020")</f>
        <v/>
      </c>
      <c r="T16">
        <f>HYPERLINK("https://klasma.github.io/Logging_2282/kartor/A 16159-2020 karta.png", "A 16159-2020")</f>
        <v/>
      </c>
      <c r="V16">
        <f>HYPERLINK("https://klasma.github.io/Logging_2282/klagomål/A 16159-2020 FSC-klagomål.docx", "A 16159-2020")</f>
        <v/>
      </c>
      <c r="W16">
        <f>HYPERLINK("https://klasma.github.io/Logging_2282/klagomålsmail/A 16159-2020 FSC-klagomål mail.docx", "A 16159-2020")</f>
        <v/>
      </c>
      <c r="X16">
        <f>HYPERLINK("https://klasma.github.io/Logging_2282/tillsyn/A 16159-2020 tillsynsbegäran.docx", "A 16159-2020")</f>
        <v/>
      </c>
      <c r="Y16">
        <f>HYPERLINK("https://klasma.github.io/Logging_2282/tillsynsmail/A 16159-2020 tillsynsbegäran mail.docx", "A 16159-2020")</f>
        <v/>
      </c>
      <c r="Z16">
        <f>HYPERLINK("https://klasma.github.io/Logging_2282/fåglar/A 16159-2020 prioriterade fågelarter.docx", "A 16159-2020")</f>
        <v/>
      </c>
    </row>
    <row r="17" ht="15" customHeight="1">
      <c r="A17" t="inlineStr">
        <is>
          <t>A 48962-2023</t>
        </is>
      </c>
      <c r="B17" s="1" t="n">
        <v>45204</v>
      </c>
      <c r="C17" s="1" t="n">
        <v>45564</v>
      </c>
      <c r="D17" t="inlineStr">
        <is>
          <t>VÄSTERNORRLANDS LÄN</t>
        </is>
      </c>
      <c r="E17" t="inlineStr">
        <is>
          <t>KRAMFORS</t>
        </is>
      </c>
      <c r="G17" t="n">
        <v>9.1</v>
      </c>
      <c r="H17" t="n">
        <v>2</v>
      </c>
      <c r="I17" t="n">
        <v>2</v>
      </c>
      <c r="J17" t="n">
        <v>7</v>
      </c>
      <c r="K17" t="n">
        <v>0</v>
      </c>
      <c r="L17" t="n">
        <v>0</v>
      </c>
      <c r="M17" t="n">
        <v>0</v>
      </c>
      <c r="N17" t="n">
        <v>0</v>
      </c>
      <c r="O17" t="n">
        <v>7</v>
      </c>
      <c r="P17" t="n">
        <v>0</v>
      </c>
      <c r="Q17" t="n">
        <v>9</v>
      </c>
      <c r="R17" s="2" t="inlineStr">
        <is>
          <t>Garnlav
Granticka
Järpe
Lunglav
Tretåig hackspett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c r="Z17">
        <f>HYPERLINK("https://klasma.github.io/Logging_2282/fåglar/A 48962-2023 prioriterade fågelarter.docx", "A 48962-2023")</f>
        <v/>
      </c>
    </row>
    <row r="18" ht="15" customHeight="1">
      <c r="A18" t="inlineStr">
        <is>
          <t>A 50761-2023</t>
        </is>
      </c>
      <c r="B18" s="1" t="n">
        <v>45211</v>
      </c>
      <c r="C18" s="1" t="n">
        <v>45564</v>
      </c>
      <c r="D18" t="inlineStr">
        <is>
          <t>VÄSTERNORRLANDS LÄN</t>
        </is>
      </c>
      <c r="E18" t="inlineStr">
        <is>
          <t>KRAMFORS</t>
        </is>
      </c>
      <c r="G18" t="n">
        <v>12.7</v>
      </c>
      <c r="H18" t="n">
        <v>1</v>
      </c>
      <c r="I18" t="n">
        <v>2</v>
      </c>
      <c r="J18" t="n">
        <v>7</v>
      </c>
      <c r="K18" t="n">
        <v>0</v>
      </c>
      <c r="L18" t="n">
        <v>0</v>
      </c>
      <c r="M18" t="n">
        <v>0</v>
      </c>
      <c r="N18" t="n">
        <v>0</v>
      </c>
      <c r="O18" t="n">
        <v>7</v>
      </c>
      <c r="P18" t="n">
        <v>0</v>
      </c>
      <c r="Q18" t="n">
        <v>9</v>
      </c>
      <c r="R18" s="2" t="inlineStr">
        <is>
          <t>Gammelgransskål
Garnlav
Gränsticka
Kolflarnlav
Tretåig hackspett
Ullticka
Violettgrå tagellav
Skinnlav
Vedticka</t>
        </is>
      </c>
      <c r="S18">
        <f>HYPERLINK("https://klasma.github.io/Logging_2282/artfynd/A 50761-2023 artfynd.xlsx", "A 50761-2023")</f>
        <v/>
      </c>
      <c r="T18">
        <f>HYPERLINK("https://klasma.github.io/Logging_2282/kartor/A 50761-2023 karta.png", "A 50761-2023")</f>
        <v/>
      </c>
      <c r="V18">
        <f>HYPERLINK("https://klasma.github.io/Logging_2282/klagomål/A 50761-2023 FSC-klagomål.docx", "A 50761-2023")</f>
        <v/>
      </c>
      <c r="W18">
        <f>HYPERLINK("https://klasma.github.io/Logging_2282/klagomålsmail/A 50761-2023 FSC-klagomål mail.docx", "A 50761-2023")</f>
        <v/>
      </c>
      <c r="X18">
        <f>HYPERLINK("https://klasma.github.io/Logging_2282/tillsyn/A 50761-2023 tillsynsbegäran.docx", "A 50761-2023")</f>
        <v/>
      </c>
      <c r="Y18">
        <f>HYPERLINK("https://klasma.github.io/Logging_2282/tillsynsmail/A 50761-2023 tillsynsbegäran mail.docx", "A 50761-2023")</f>
        <v/>
      </c>
      <c r="Z18">
        <f>HYPERLINK("https://klasma.github.io/Logging_2282/fåglar/A 50761-2023 prioriterade fågelarter.docx", "A 50761-2023")</f>
        <v/>
      </c>
    </row>
    <row r="19" ht="15" customHeight="1">
      <c r="A19" t="inlineStr">
        <is>
          <t>A 9674-2020</t>
        </is>
      </c>
      <c r="B19" s="1" t="n">
        <v>43881</v>
      </c>
      <c r="C19" s="1" t="n">
        <v>45564</v>
      </c>
      <c r="D19" t="inlineStr">
        <is>
          <t>VÄSTERNORRLANDS LÄN</t>
        </is>
      </c>
      <c r="E19" t="inlineStr">
        <is>
          <t>KRAMFORS</t>
        </is>
      </c>
      <c r="G19" t="n">
        <v>25</v>
      </c>
      <c r="H19" t="n">
        <v>4</v>
      </c>
      <c r="I19" t="n">
        <v>0</v>
      </c>
      <c r="J19" t="n">
        <v>5</v>
      </c>
      <c r="K19" t="n">
        <v>1</v>
      </c>
      <c r="L19" t="n">
        <v>0</v>
      </c>
      <c r="M19" t="n">
        <v>0</v>
      </c>
      <c r="N19" t="n">
        <v>0</v>
      </c>
      <c r="O19" t="n">
        <v>6</v>
      </c>
      <c r="P19" t="n">
        <v>1</v>
      </c>
      <c r="Q19" t="n">
        <v>8</v>
      </c>
      <c r="R19" s="2" t="inlineStr">
        <is>
          <t>Ringlav
Garnlav
Orange taggsvamp
Spillkråka
Tallticka
Talltita
Tjäder
Fläcknycklar</t>
        </is>
      </c>
      <c r="S19">
        <f>HYPERLINK("https://klasma.github.io/Logging_2282/artfynd/A 9674-2020 artfynd.xlsx", "A 9674-2020")</f>
        <v/>
      </c>
      <c r="T19">
        <f>HYPERLINK("https://klasma.github.io/Logging_2282/kartor/A 9674-2020 karta.png", "A 9674-2020")</f>
        <v/>
      </c>
      <c r="V19">
        <f>HYPERLINK("https://klasma.github.io/Logging_2282/klagomål/A 9674-2020 FSC-klagomål.docx", "A 9674-2020")</f>
        <v/>
      </c>
      <c r="W19">
        <f>HYPERLINK("https://klasma.github.io/Logging_2282/klagomålsmail/A 9674-2020 FSC-klagomål mail.docx", "A 9674-2020")</f>
        <v/>
      </c>
      <c r="X19">
        <f>HYPERLINK("https://klasma.github.io/Logging_2282/tillsyn/A 9674-2020 tillsynsbegäran.docx", "A 9674-2020")</f>
        <v/>
      </c>
      <c r="Y19">
        <f>HYPERLINK("https://klasma.github.io/Logging_2282/tillsynsmail/A 9674-2020 tillsynsbegäran mail.docx", "A 9674-2020")</f>
        <v/>
      </c>
      <c r="Z19">
        <f>HYPERLINK("https://klasma.github.io/Logging_2282/fåglar/A 9674-2020 prioriterade fågelarter.docx", "A 9674-2020")</f>
        <v/>
      </c>
    </row>
    <row r="20" ht="15" customHeight="1">
      <c r="A20" t="inlineStr">
        <is>
          <t>A 45577-2021</t>
        </is>
      </c>
      <c r="B20" s="1" t="n">
        <v>44440</v>
      </c>
      <c r="C20" s="1" t="n">
        <v>45564</v>
      </c>
      <c r="D20" t="inlineStr">
        <is>
          <t>VÄSTERNORRLANDS LÄN</t>
        </is>
      </c>
      <c r="E20" t="inlineStr">
        <is>
          <t>KRAMFORS</t>
        </is>
      </c>
      <c r="F20" t="inlineStr">
        <is>
          <t>Kommuner</t>
        </is>
      </c>
      <c r="G20" t="n">
        <v>6.7</v>
      </c>
      <c r="H20" t="n">
        <v>8</v>
      </c>
      <c r="I20" t="n">
        <v>0</v>
      </c>
      <c r="J20" t="n">
        <v>5</v>
      </c>
      <c r="K20" t="n">
        <v>1</v>
      </c>
      <c r="L20" t="n">
        <v>2</v>
      </c>
      <c r="M20" t="n">
        <v>0</v>
      </c>
      <c r="N20" t="n">
        <v>0</v>
      </c>
      <c r="O20" t="n">
        <v>8</v>
      </c>
      <c r="P20" t="n">
        <v>3</v>
      </c>
      <c r="Q20" t="n">
        <v>8</v>
      </c>
      <c r="R20" s="2" t="inlineStr">
        <is>
          <t>Ejder
Grönfink
Hussvala
Fiskmås
Gulsparv
Spillkråka
Svartvit flugsnappare
Tobisgrissla</t>
        </is>
      </c>
      <c r="S20">
        <f>HYPERLINK("https://klasma.github.io/Logging_2282/artfynd/A 45577-2021 artfynd.xlsx", "A 45577-2021")</f>
        <v/>
      </c>
      <c r="T20">
        <f>HYPERLINK("https://klasma.github.io/Logging_2282/kartor/A 45577-2021 karta.png", "A 45577-2021")</f>
        <v/>
      </c>
      <c r="V20">
        <f>HYPERLINK("https://klasma.github.io/Logging_2282/klagomål/A 45577-2021 FSC-klagomål.docx", "A 45577-2021")</f>
        <v/>
      </c>
      <c r="W20">
        <f>HYPERLINK("https://klasma.github.io/Logging_2282/klagomålsmail/A 45577-2021 FSC-klagomål mail.docx", "A 45577-2021")</f>
        <v/>
      </c>
      <c r="X20">
        <f>HYPERLINK("https://klasma.github.io/Logging_2282/tillsyn/A 45577-2021 tillsynsbegäran.docx", "A 45577-2021")</f>
        <v/>
      </c>
      <c r="Y20">
        <f>HYPERLINK("https://klasma.github.io/Logging_2282/tillsynsmail/A 45577-2021 tillsynsbegäran mail.docx", "A 45577-2021")</f>
        <v/>
      </c>
      <c r="Z20">
        <f>HYPERLINK("https://klasma.github.io/Logging_2282/fåglar/A 45577-2021 prioriterade fågelarter.docx", "A 45577-2021")</f>
        <v/>
      </c>
    </row>
    <row r="21" ht="15" customHeight="1">
      <c r="A21" t="inlineStr">
        <is>
          <t>A 32160-2024</t>
        </is>
      </c>
      <c r="B21" s="1" t="n">
        <v>45511</v>
      </c>
      <c r="C21" s="1" t="n">
        <v>45564</v>
      </c>
      <c r="D21" t="inlineStr">
        <is>
          <t>VÄSTERNORRLANDS LÄN</t>
        </is>
      </c>
      <c r="E21" t="inlineStr">
        <is>
          <t>KRAMFORS</t>
        </is>
      </c>
      <c r="G21" t="n">
        <v>11.4</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32160-2024 artfynd.xlsx", "A 32160-2024")</f>
        <v/>
      </c>
      <c r="T21">
        <f>HYPERLINK("https://klasma.github.io/Logging_2282/kartor/A 32160-2024 karta.png", "A 32160-2024")</f>
        <v/>
      </c>
      <c r="V21">
        <f>HYPERLINK("https://klasma.github.io/Logging_2282/klagomål/A 32160-2024 FSC-klagomål.docx", "A 32160-2024")</f>
        <v/>
      </c>
      <c r="W21">
        <f>HYPERLINK("https://klasma.github.io/Logging_2282/klagomålsmail/A 32160-2024 FSC-klagomål mail.docx", "A 32160-2024")</f>
        <v/>
      </c>
      <c r="X21">
        <f>HYPERLINK("https://klasma.github.io/Logging_2282/tillsyn/A 32160-2024 tillsynsbegäran.docx", "A 32160-2024")</f>
        <v/>
      </c>
      <c r="Y21">
        <f>HYPERLINK("https://klasma.github.io/Logging_2282/tillsynsmail/A 32160-2024 tillsynsbegäran mail.docx", "A 32160-2024")</f>
        <v/>
      </c>
      <c r="Z21">
        <f>HYPERLINK("https://klasma.github.io/Logging_2282/fåglar/A 32160-2024 prioriterade fågelarter.docx", "A 32160-2024")</f>
        <v/>
      </c>
    </row>
    <row r="22" ht="15" customHeight="1">
      <c r="A22" t="inlineStr">
        <is>
          <t>A 62509-2019</t>
        </is>
      </c>
      <c r="B22" s="1" t="n">
        <v>43788</v>
      </c>
      <c r="C22" s="1" t="n">
        <v>45564</v>
      </c>
      <c r="D22" t="inlineStr">
        <is>
          <t>VÄSTERNORRLANDS LÄN</t>
        </is>
      </c>
      <c r="E22" t="inlineStr">
        <is>
          <t>KRAMFORS</t>
        </is>
      </c>
      <c r="G22" t="n">
        <v>1.8</v>
      </c>
      <c r="H22" t="n">
        <v>0</v>
      </c>
      <c r="I22" t="n">
        <v>2</v>
      </c>
      <c r="J22" t="n">
        <v>2</v>
      </c>
      <c r="K22" t="n">
        <v>2</v>
      </c>
      <c r="L22" t="n">
        <v>0</v>
      </c>
      <c r="M22" t="n">
        <v>0</v>
      </c>
      <c r="N22" t="n">
        <v>0</v>
      </c>
      <c r="O22" t="n">
        <v>4</v>
      </c>
      <c r="P22" t="n">
        <v>2</v>
      </c>
      <c r="Q22" t="n">
        <v>6</v>
      </c>
      <c r="R22" s="2" t="inlineStr">
        <is>
          <t>Aspfjädermossa
Aspgelélav
Lunglav
Veckticka
Barkticka
Skinnlav</t>
        </is>
      </c>
      <c r="S22">
        <f>HYPERLINK("https://klasma.github.io/Logging_2282/artfynd/A 62509-2019 artfynd.xlsx", "A 62509-2019")</f>
        <v/>
      </c>
      <c r="T22">
        <f>HYPERLINK("https://klasma.github.io/Logging_2282/kartor/A 62509-2019 karta.png", "A 62509-2019")</f>
        <v/>
      </c>
      <c r="V22">
        <f>HYPERLINK("https://klasma.github.io/Logging_2282/klagomål/A 62509-2019 FSC-klagomål.docx", "A 62509-2019")</f>
        <v/>
      </c>
      <c r="W22">
        <f>HYPERLINK("https://klasma.github.io/Logging_2282/klagomålsmail/A 62509-2019 FSC-klagomål mail.docx", "A 62509-2019")</f>
        <v/>
      </c>
      <c r="X22">
        <f>HYPERLINK("https://klasma.github.io/Logging_2282/tillsyn/A 62509-2019 tillsynsbegäran.docx", "A 62509-2019")</f>
        <v/>
      </c>
      <c r="Y22">
        <f>HYPERLINK("https://klasma.github.io/Logging_2282/tillsynsmail/A 62509-2019 tillsynsbegäran mail.docx", "A 62509-2019")</f>
        <v/>
      </c>
    </row>
    <row r="23" ht="15" customHeight="1">
      <c r="A23" t="inlineStr">
        <is>
          <t>A 10152-2020</t>
        </is>
      </c>
      <c r="B23" s="1" t="n">
        <v>43886</v>
      </c>
      <c r="C23" s="1" t="n">
        <v>45564</v>
      </c>
      <c r="D23" t="inlineStr">
        <is>
          <t>VÄSTERNORRLANDS LÄN</t>
        </is>
      </c>
      <c r="E23" t="inlineStr">
        <is>
          <t>KRAMFORS</t>
        </is>
      </c>
      <c r="G23" t="n">
        <v>21.9</v>
      </c>
      <c r="H23" t="n">
        <v>0</v>
      </c>
      <c r="I23" t="n">
        <v>2</v>
      </c>
      <c r="J23" t="n">
        <v>4</v>
      </c>
      <c r="K23" t="n">
        <v>0</v>
      </c>
      <c r="L23" t="n">
        <v>0</v>
      </c>
      <c r="M23" t="n">
        <v>0</v>
      </c>
      <c r="N23" t="n">
        <v>0</v>
      </c>
      <c r="O23" t="n">
        <v>4</v>
      </c>
      <c r="P23" t="n">
        <v>0</v>
      </c>
      <c r="Q23" t="n">
        <v>6</v>
      </c>
      <c r="R23" s="2" t="inlineStr">
        <is>
          <t>Granticka
Lunglav
Ullticka
Violettgrå tagellav
Korallblylav
Skinnlav</t>
        </is>
      </c>
      <c r="S23">
        <f>HYPERLINK("https://klasma.github.io/Logging_2282/artfynd/A 10152-2020 artfynd.xlsx", "A 10152-2020")</f>
        <v/>
      </c>
      <c r="T23">
        <f>HYPERLINK("https://klasma.github.io/Logging_2282/kartor/A 10152-2020 karta.png", "A 10152-2020")</f>
        <v/>
      </c>
      <c r="V23">
        <f>HYPERLINK("https://klasma.github.io/Logging_2282/klagomål/A 10152-2020 FSC-klagomål.docx", "A 10152-2020")</f>
        <v/>
      </c>
      <c r="W23">
        <f>HYPERLINK("https://klasma.github.io/Logging_2282/klagomålsmail/A 10152-2020 FSC-klagomål mail.docx", "A 10152-2020")</f>
        <v/>
      </c>
      <c r="X23">
        <f>HYPERLINK("https://klasma.github.io/Logging_2282/tillsyn/A 10152-2020 tillsynsbegäran.docx", "A 10152-2020")</f>
        <v/>
      </c>
      <c r="Y23">
        <f>HYPERLINK("https://klasma.github.io/Logging_2282/tillsynsmail/A 10152-2020 tillsynsbegäran mail.docx", "A 10152-2020")</f>
        <v/>
      </c>
    </row>
    <row r="24" ht="15" customHeight="1">
      <c r="A24" t="inlineStr">
        <is>
          <t>A 18809-2024</t>
        </is>
      </c>
      <c r="B24" s="1" t="n">
        <v>45426</v>
      </c>
      <c r="C24" s="1" t="n">
        <v>45564</v>
      </c>
      <c r="D24" t="inlineStr">
        <is>
          <t>VÄSTERNORRLANDS LÄN</t>
        </is>
      </c>
      <c r="E24" t="inlineStr">
        <is>
          <t>KRAMFORS</t>
        </is>
      </c>
      <c r="G24" t="n">
        <v>19.8</v>
      </c>
      <c r="H24" t="n">
        <v>2</v>
      </c>
      <c r="I24" t="n">
        <v>0</v>
      </c>
      <c r="J24" t="n">
        <v>6</v>
      </c>
      <c r="K24" t="n">
        <v>0</v>
      </c>
      <c r="L24" t="n">
        <v>0</v>
      </c>
      <c r="M24" t="n">
        <v>0</v>
      </c>
      <c r="N24" t="n">
        <v>0</v>
      </c>
      <c r="O24" t="n">
        <v>6</v>
      </c>
      <c r="P24" t="n">
        <v>0</v>
      </c>
      <c r="Q24" t="n">
        <v>6</v>
      </c>
      <c r="R24" s="2" t="inlineStr">
        <is>
          <t>Garnlav
Granticka
Rosenticka
Talltita
Tretåig hackspett
Ullticka</t>
        </is>
      </c>
      <c r="S24">
        <f>HYPERLINK("https://klasma.github.io/Logging_2282/artfynd/A 18809-2024 artfynd.xlsx", "A 18809-2024")</f>
        <v/>
      </c>
      <c r="T24">
        <f>HYPERLINK("https://klasma.github.io/Logging_2282/kartor/A 18809-2024 karta.png", "A 18809-2024")</f>
        <v/>
      </c>
      <c r="V24">
        <f>HYPERLINK("https://klasma.github.io/Logging_2282/klagomål/A 18809-2024 FSC-klagomål.docx", "A 18809-2024")</f>
        <v/>
      </c>
      <c r="W24">
        <f>HYPERLINK("https://klasma.github.io/Logging_2282/klagomålsmail/A 18809-2024 FSC-klagomål mail.docx", "A 18809-2024")</f>
        <v/>
      </c>
      <c r="X24">
        <f>HYPERLINK("https://klasma.github.io/Logging_2282/tillsyn/A 18809-2024 tillsynsbegäran.docx", "A 18809-2024")</f>
        <v/>
      </c>
      <c r="Y24">
        <f>HYPERLINK("https://klasma.github.io/Logging_2282/tillsynsmail/A 18809-2024 tillsynsbegäran mail.docx", "A 18809-2024")</f>
        <v/>
      </c>
      <c r="Z24">
        <f>HYPERLINK("https://klasma.github.io/Logging_2282/fåglar/A 18809-2024 prioriterade fågelarter.docx", "A 18809-2024")</f>
        <v/>
      </c>
    </row>
    <row r="25" ht="15" customHeight="1">
      <c r="A25" t="inlineStr">
        <is>
          <t>A 60390-2019</t>
        </is>
      </c>
      <c r="B25" s="1" t="n">
        <v>43780</v>
      </c>
      <c r="C25" s="1" t="n">
        <v>45564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45564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45564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45564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45564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45564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45564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45564</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45564</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45564</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45564</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45564</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45564</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45564</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45564</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45564</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45564</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45564</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45564</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45564</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45564</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45564</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45564</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45564</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45564</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45564</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45564</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45564</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45564</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45564</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45564</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45564</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45564</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45564</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45564</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45564</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45564</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45564</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45564</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45564</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45564</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45564</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45564</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45564</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45564</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45564</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45564</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45564</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45564</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45564</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45564</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45564</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45564</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45564</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45564</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45564</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45564</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45564</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45564</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45564</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45564</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45564</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45564</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45564</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45564</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45564</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45564</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45564</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45564</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45564</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45564</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45564</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45564</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45564</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45564</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45564</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45564</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45564</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45564</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45564</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45564</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45564</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45564</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45564</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45564</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45564</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45564</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45564</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45564</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45564</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45564</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45564</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45564</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45564</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45564</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45564</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45564</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45564</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45564</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45564</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45564</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45564</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45564</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45564</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45564</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45564</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45564</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45564</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45564</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45564</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45564</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45564</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45564</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45564</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45564</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45564</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45564</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45564</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45564</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45564</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45564</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45564</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45564</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45564</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45564</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45564</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45564</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45564</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45564</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45564</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45564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45564</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45564</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45564</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45564</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45564</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45564</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45564</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45564</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45564</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45564</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45564</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45564</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45564</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45564</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45564</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45564</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45564</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45564</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45564</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45564</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45564</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45564</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45564</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45564</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45564</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45564</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45564</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45564</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45564</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45564</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45564</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45564</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45564</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45564</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45564</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45564</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45564</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45564</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45564</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45564</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45564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45564</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45564</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45564</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45564</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45564</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45564</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45564</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45564</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45564</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45564</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45564</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45564</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45564</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45564</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45564</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45564</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45564</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45564</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45564</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45564</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45564</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45564</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45564</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45564</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45564</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45564</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45564</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45564</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45564</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45564</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45564</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45564</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45564</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45564</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45564</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45564</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45564</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45564</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45564</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45564</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45564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45564</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45564</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45564</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45564</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45564</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45564</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45564</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45564</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45564</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45564</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45564</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45564</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45564</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45564</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45564</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45564</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45564</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45564</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45564</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45564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45564</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45564</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45564</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45564</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45564</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45564</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45564</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45564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45564</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45564</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45564</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45564</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45564</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45564</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45564</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45564</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45564</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45564</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45564</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45564</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45564</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45564</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45564</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45564</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45564</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45564</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45564</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45564</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45564</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45564</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45564</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45564</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45564</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45564</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45564</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45564</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45564</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45564</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45564</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45564</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45564</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45564</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45564</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45564</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45564</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45564</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45564</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45564</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45564</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45564</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45564</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45564</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45564</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45564</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45564</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45564</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45564</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45564</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45564</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45564</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45564</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45564</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45564</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45564</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45564</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45564</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45564</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45564</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45564</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45564</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45564</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45564</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45564</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45564</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45564</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45564</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45564</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45564</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45564</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45564</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45564</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45564</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45564</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45564</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45564</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45564</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45564</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45564</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45564</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45564</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45564</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45564</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45564</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45564</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45564</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45564</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45564</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45564</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45564</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45564</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45564</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45564</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45564</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45564</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45564</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45564</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45564</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45564</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45564</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45564</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45564</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45564</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45564</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45564</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45564</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45564</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45564</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45564</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45564</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45564</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45564</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45564</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45564</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45564</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45564</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45564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45564</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45564</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45564</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45564</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45564</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45564</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45564</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45564</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45564</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45564</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45564</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45564</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45564</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45564</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45564</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45564</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45564</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45564</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45564</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45564</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45564</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45564</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45564</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45564</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45564</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45564</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45564</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45564</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45564</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45564</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45564</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45564</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45564</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45564</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45564</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45564</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45564</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45564</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45564</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45564</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45564</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45564</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45564</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45564</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45564</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45564</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45564</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45564</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45564</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45564</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45564</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45564</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45564</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45564</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45564</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45564</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45564</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45564</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45564</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45564</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45564</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45564</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45564</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45564</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45564</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45564</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45564</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45564</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45564</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45564</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45564</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45564</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45564</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45564</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45564</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45564</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45564</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45564</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45564</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45564</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45564</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45564</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45564</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45564</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45564</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45564</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45564</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45564</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45564</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45564</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45564</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45564</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45564</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45564</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45564</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45564</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45564</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45564</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45564</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45564</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45564</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45564</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45564</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45564</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45564</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45564</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45564</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45564</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45564</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45564</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45564</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45564</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45564</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45564</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45564</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45564</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45564</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45564</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45564</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45564</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45564</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45564</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45564</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45564</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45564</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45564</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45564</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45564</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45564</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45564</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45564</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45564</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45564</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45564</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45564</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45564</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45564</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45564</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45564</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45564</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45564</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45564</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45564</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45564</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45564</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45564</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45564</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45564</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45564</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45564</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45564</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45564</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45564</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45564</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45564</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45564</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45564</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45564</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45564</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45564</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45564</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45564</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45564</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45564</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45564</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45564</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45564</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45564</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45564</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45564</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45564</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45564</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45564</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45564</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45564</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45564</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45564</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45564</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45564</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45564</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45564</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45564</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45564</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45564</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45564</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45564</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45564</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45564</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45564</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45564</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45564</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45564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45564</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45564</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45564</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45564</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45564</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45564</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45564</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45564</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45564</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45564</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45564</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45564</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45564</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45564</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45564</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45564</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45564</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45564</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45564</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45564</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45564</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45564</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45564</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45564</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45564</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45564</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45564</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45564</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45564</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45564</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45564</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45564</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45564</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45564</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45564</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45564</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45564</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45564</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45564</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45564</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45564</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45564</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45564</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45564</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45564</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45564</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45564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45564</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45564</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45564</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45564</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45564</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45564</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45564</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45564</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45564</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45564</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45564</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45564</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45564</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45564</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45564</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45564</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45564</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45564</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45564</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45564</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45564</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45564</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45564</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45564</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45564</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45564</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45564</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45564</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45564</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45564</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45564</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45564</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45564</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45564</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45564</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45564</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45564</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45564</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45564</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45564</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45564</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45564</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45564</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45564</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45564</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45564</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45564</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45564</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45564</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45564</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45564</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45564</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45564</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45564</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45564</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45564</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45564</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45564</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45564</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45564</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45564</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45564</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45564</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45564</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45564</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45564</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45564</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45564</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45564</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45564</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45564</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45564</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45564</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45564</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45564</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45564</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45564</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45564</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45564</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45564</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45564</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45564</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45564</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45564</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45564</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45564</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45564</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45564</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45564</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45564</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45564</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45564</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45564</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45564</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45564</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45564</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45564</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45564</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45564</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45564</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45564</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45564</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45564</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45564</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45564</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45564</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45564</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45564</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45564</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45564</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45564</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45564</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45564</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45564</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45564</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45564</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45564</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45564</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45564</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45564</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45564</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45564</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45564</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45564</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45564</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45564</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45564</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45564</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45564</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45564</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45564</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45564</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45564</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45564</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45564</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45564</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45564</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45564</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45564</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45564</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45564</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45564</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45564</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45564</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45564</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45564</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45564</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45564</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45564</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45564</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45564</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45564</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45564</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45564</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45564</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45564</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45564</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45564</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45564</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45564</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45564</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45564</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45564</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45564</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45564</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45564</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45564</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45564</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45564</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45564</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45564</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45564</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45564</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45564</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45564</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45564</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45564</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45564</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45564</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45564</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45564</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45564</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45564</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45564</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45564</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45564</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45564</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45564</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45564</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45564</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45564</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45564</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45564</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45564</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45564</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45564</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45564</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45564</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45564</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45564</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45564</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45564</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45564</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45564</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45564</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45564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45564</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45564</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45564</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45564</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45564</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45564</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45564</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45564</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45564</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45564</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45564</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45564</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45564</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45564</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45564</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45564</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45564</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45564</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45564</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45564</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45564</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45564</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45564</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45564</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45564</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45564</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45564</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45564</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45564</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45564</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45564</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45564</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45564</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45564</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45564</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45564</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45564</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45564</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45564</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45564</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45564</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45564</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45564</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45564</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45564</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45564</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45564</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45564</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45564</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45564</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45564</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45564</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45564</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45564</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45564</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45564</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45564</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45564</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45564</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45564</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45564</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45564</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45564</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45564</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45564</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45564</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45564</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45564</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45564</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45564</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45564</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45564</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45564</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45564</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45564</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45564</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45564</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45564</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45564</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45564</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45564</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45564</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45564</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45564</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45564</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45564</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45564</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45564</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45564</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45564</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45564</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45564</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45564</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45564</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45564</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45564</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45564</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45564</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45564</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45564</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45564</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45564</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45564</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45564</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45564</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45564</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45564</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45564</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45564</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45564</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45564</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45564</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45564</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45564</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45564</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45564</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45564</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45564</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45564</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45564</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45564</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45564</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45564</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45564</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45564</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45564</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45564</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45564</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45564</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45564</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45564</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45564</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45564</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45564</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45564</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45564</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45564</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45564</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45564</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45564</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45564</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45564</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45564</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45564</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45564</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45564</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45564</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45564</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45564</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45564</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45564</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45564</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45564</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45564</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45564</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45564</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45564</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45564</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45564</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45564</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45564</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45564</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45564</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45564</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45564</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45564</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45564</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45564</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45564</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45564</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45564</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45564</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45564</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45564</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45564</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45564</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45564</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45564</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45564</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45564</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45564</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45564</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45564</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45564</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45564</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45564</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45564</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45564</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45564</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45564</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45564</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45564</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45564</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45564</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45564</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45564</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45564</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45564</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45564</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45564</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45564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45564</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45564</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45564</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45564</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45564</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45564</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45564</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45564</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45564</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45564</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45564</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45564</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45564</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45564</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45564</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45564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45564</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45564</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45564</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45564</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45564</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45564</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45564</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45564</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45564</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45564</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45564</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45564</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45564</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45564</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45564</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45564</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45564</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45564</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45564</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45564</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45564</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45564</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45564</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45564</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45564</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45564</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45564</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45564</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45564</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45564</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45564</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45564</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45564</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45564</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45564</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45564</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45564</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45564</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45564</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45564</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45564</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45564</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45564</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45564</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45564</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45564</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45564</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45564</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45564</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45564</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45564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45564</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45564</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45564</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45564</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45564</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45564</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45564</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45564</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45564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45564</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45564</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45564</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45564</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45564</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45564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45564</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45564</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45564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45564</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45564</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45564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45564</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45564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45564</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45564</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45564</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45564</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45564</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45564</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45564</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45564</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45564</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45564</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45564</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45564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45564</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45564</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45564</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45564</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45564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45564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45564</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45564</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45564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45564</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45564</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45564</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45564</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45564</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45564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45564</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45564</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45564</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45564</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45564</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45564</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45564</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45564</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45564</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45564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45564</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45564</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45564</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45564</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45564</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45564</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45564</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45564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45564</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45564</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45564</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45564</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45564</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45564</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45564</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45564</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45564</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45564</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45564</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45564</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45564</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45564</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45564</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45564</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45564</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45564</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45564</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45564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45564</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45564</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45564</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45564</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45564</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45564</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45564</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45564</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45564</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45564</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45564</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45564</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45564</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45564</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45564</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45564</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45564</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45564</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45564</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45564</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45564</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45564</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45564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45564</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37517-2024</t>
        </is>
      </c>
      <c r="B1209" s="1" t="n">
        <v>45541</v>
      </c>
      <c r="C1209" s="1" t="n">
        <v>45564</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37516-2024</t>
        </is>
      </c>
      <c r="B1210" s="1" t="n">
        <v>45541</v>
      </c>
      <c r="C1210" s="1" t="n">
        <v>45564</v>
      </c>
      <c r="D1210" t="inlineStr">
        <is>
          <t>VÄSTERNORRLANDS LÄN</t>
        </is>
      </c>
      <c r="E1210" t="inlineStr">
        <is>
          <t>KRAMFORS</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45564</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45564</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45564</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45564</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38553-2024</t>
        </is>
      </c>
      <c r="B1215" s="1" t="n">
        <v>45546</v>
      </c>
      <c r="C1215" s="1" t="n">
        <v>45564</v>
      </c>
      <c r="D1215" t="inlineStr">
        <is>
          <t>VÄSTERNORRLANDS LÄN</t>
        </is>
      </c>
      <c r="E1215" t="inlineStr">
        <is>
          <t>KRAMFORS</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45564</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45564</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45564</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45564</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39479-2024</t>
        </is>
      </c>
      <c r="B1220" s="1" t="n">
        <v>45551</v>
      </c>
      <c r="C1220" s="1" t="n">
        <v>45564</v>
      </c>
      <c r="D1220" t="inlineStr">
        <is>
          <t>VÄSTERNORRLANDS LÄN</t>
        </is>
      </c>
      <c r="E1220" t="inlineStr">
        <is>
          <t>KRAMFORS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39492-2024</t>
        </is>
      </c>
      <c r="B1221" s="1" t="n">
        <v>45551</v>
      </c>
      <c r="C1221" s="1" t="n">
        <v>45564</v>
      </c>
      <c r="D1221" t="inlineStr">
        <is>
          <t>VÄSTERNORRLANDS LÄN</t>
        </is>
      </c>
      <c r="E1221" t="inlineStr">
        <is>
          <t>KRAMFORS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45564</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45564</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39627-2024</t>
        </is>
      </c>
      <c r="B1224" s="1" t="n">
        <v>45552</v>
      </c>
      <c r="C1224" s="1" t="n">
        <v>45564</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45564</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45564</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45564</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45564</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45564</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45564</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45564</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45564</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45564</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45564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c r="A1235" t="inlineStr">
        <is>
          <t>A 42113-2024</t>
        </is>
      </c>
      <c r="B1235" s="1" t="n">
        <v>45562</v>
      </c>
      <c r="C1235" s="1" t="n">
        <v>45564</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2024-09-29T12:02:47Z</dcterms:created>
  <dcterms:modified xmlns:dcterms="http://purl.org/dc/terms/" xmlns:xsi="http://www.w3.org/2001/XMLSchema-instance" xsi:type="dcterms:W3CDTF">2024-09-29T12:02:48Z</dcterms:modified>
</cp:coreProperties>
</file>