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46180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46180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46180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46180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46180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46180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46180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46180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46180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46180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46180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46180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46180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46180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46180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46180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46180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46180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46180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46180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46180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46180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46180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46180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46180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46180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4524-2026</t>
        </is>
      </c>
      <c r="B32" s="1" t="n">
        <v>46046.63605324074</v>
      </c>
      <c r="C32" s="1" t="n">
        <v>46180</v>
      </c>
      <c r="D32" t="inlineStr">
        <is>
          <t>VÄSTERNORRLANDS LÄN</t>
        </is>
      </c>
      <c r="E32" t="inlineStr">
        <is>
          <t>KRAMFORS</t>
        </is>
      </c>
      <c r="G32" t="n">
        <v>5.1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Ullticka</t>
        </is>
      </c>
      <c r="S32">
        <f>HYPERLINK("https://klasma.github.io/Logging_2282/artfynd/A 4524-2026 artfynd.xlsx", "A 4524-2026")</f>
        <v/>
      </c>
      <c r="T32">
        <f>HYPERLINK("https://klasma.github.io/Logging_2282/kartor/A 4524-2026 karta.png", "A 4524-2026")</f>
        <v/>
      </c>
      <c r="V32">
        <f>HYPERLINK("https://klasma.github.io/Logging_2282/klagomål/A 4524-2026 FSC-klagomål.docx", "A 4524-2026")</f>
        <v/>
      </c>
      <c r="W32">
        <f>HYPERLINK("https://klasma.github.io/Logging_2282/klagomålsmail/A 4524-2026 FSC-klagomål mail.docx", "A 4524-2026")</f>
        <v/>
      </c>
      <c r="X32">
        <f>HYPERLINK("https://klasma.github.io/Logging_2282/tillsyn/A 4524-2026 tillsynsbegäran.docx", "A 4524-2026")</f>
        <v/>
      </c>
      <c r="Y32">
        <f>HYPERLINK("https://klasma.github.io/Logging_2282/tillsynsmail/A 4524-2026 tillsynsbegäran mail.docx", "A 4524-2026")</f>
        <v/>
      </c>
      <c r="Z32">
        <f>HYPERLINK("https://klasma.github.io/Logging_2282/fåglar/A 4524-2026 prioriterade fågelarter.docx", "A 4524-2026")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46180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46180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46180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46180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20315-2026</t>
        </is>
      </c>
      <c r="B37" s="1" t="n">
        <v>46136</v>
      </c>
      <c r="C37" s="1" t="n">
        <v>46180</v>
      </c>
      <c r="D37" t="inlineStr">
        <is>
          <t>VÄSTERNORRLANDS LÄN</t>
        </is>
      </c>
      <c r="E37" t="inlineStr">
        <is>
          <t>KRAMFORS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Blåsippa</t>
        </is>
      </c>
      <c r="S37">
        <f>HYPERLINK("https://klasma.github.io/Logging_2282/artfynd/A 20315-2026 artfynd.xlsx", "A 20315-2026")</f>
        <v/>
      </c>
      <c r="T37">
        <f>HYPERLINK("https://klasma.github.io/Logging_2282/kartor/A 20315-2026 karta.png", "A 20315-2026")</f>
        <v/>
      </c>
      <c r="V37">
        <f>HYPERLINK("https://klasma.github.io/Logging_2282/klagomål/A 20315-2026 FSC-klagomål.docx", "A 20315-2026")</f>
        <v/>
      </c>
      <c r="W37">
        <f>HYPERLINK("https://klasma.github.io/Logging_2282/klagomålsmail/A 20315-2026 FSC-klagomål mail.docx", "A 20315-2026")</f>
        <v/>
      </c>
      <c r="X37">
        <f>HYPERLINK("https://klasma.github.io/Logging_2282/tillsyn/A 20315-2026 tillsynsbegäran.docx", "A 20315-2026")</f>
        <v/>
      </c>
      <c r="Y37">
        <f>HYPERLINK("https://klasma.github.io/Logging_2282/tillsynsmail/A 20315-2026 tillsynsbegäran mail.docx", "A 20315-2026")</f>
        <v/>
      </c>
      <c r="Z37">
        <f>HYPERLINK("https://klasma.github.io/Logging_2282/fåglar/A 20315-2026 prioriterade fågelarter.docx", "A 20315-2026")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46180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46180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46180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46180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46180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46180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46180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46180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46180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46180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46180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46180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46180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93-2026</t>
        </is>
      </c>
      <c r="B51" s="1" t="n">
        <v>46024.48998842593</v>
      </c>
      <c r="C51" s="1" t="n">
        <v>46180</v>
      </c>
      <c r="D51" t="inlineStr">
        <is>
          <t>VÄSTERNORRLANDS LÄN</t>
        </is>
      </c>
      <c r="E51" t="inlineStr">
        <is>
          <t>KRAMFORS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HYPERLINK("https://klasma.github.io/Logging_2282/artfynd/A 93-2026 artfynd.xlsx", "A 93-2026")</f>
        <v/>
      </c>
      <c r="T51">
        <f>HYPERLINK("https://klasma.github.io/Logging_2282/kartor/A 93-2026 karta.png", "A 93-2026")</f>
        <v/>
      </c>
      <c r="V51">
        <f>HYPERLINK("https://klasma.github.io/Logging_2282/klagomål/A 93-2026 FSC-klagomål.docx", "A 93-2026")</f>
        <v/>
      </c>
      <c r="W51">
        <f>HYPERLINK("https://klasma.github.io/Logging_2282/klagomålsmail/A 93-2026 FSC-klagomål mail.docx", "A 93-2026")</f>
        <v/>
      </c>
      <c r="X51">
        <f>HYPERLINK("https://klasma.github.io/Logging_2282/tillsyn/A 93-2026 tillsynsbegäran.docx", "A 93-2026")</f>
        <v/>
      </c>
      <c r="Y51">
        <f>HYPERLINK("https://klasma.github.io/Logging_2282/tillsynsmail/A 93-2026 tillsynsbegäran mail.docx", "A 93-2026")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46180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46180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41392-2022</t>
        </is>
      </c>
      <c r="B54" s="1" t="n">
        <v>44826</v>
      </c>
      <c r="C54" s="1" t="n">
        <v>46180</v>
      </c>
      <c r="D54" t="inlineStr">
        <is>
          <t>VÄSTERNORRLANDS LÄN</t>
        </is>
      </c>
      <c r="E54" t="inlineStr">
        <is>
          <t>KRAMFORS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41392-2022 artfynd.xlsx", "A 41392-2022")</f>
        <v/>
      </c>
      <c r="T54">
        <f>HYPERLINK("https://klasma.github.io/Logging_2282/kartor/A 41392-2022 karta.png", "A 41392-2022")</f>
        <v/>
      </c>
      <c r="V54">
        <f>HYPERLINK("https://klasma.github.io/Logging_2282/klagomål/A 41392-2022 FSC-klagomål.docx", "A 41392-2022")</f>
        <v/>
      </c>
      <c r="W54">
        <f>HYPERLINK("https://klasma.github.io/Logging_2282/klagomålsmail/A 41392-2022 FSC-klagomål mail.docx", "A 41392-2022")</f>
        <v/>
      </c>
      <c r="X54">
        <f>HYPERLINK("https://klasma.github.io/Logging_2282/tillsyn/A 41392-2022 tillsynsbegäran.docx", "A 41392-2022")</f>
        <v/>
      </c>
      <c r="Y54">
        <f>HYPERLINK("https://klasma.github.io/Logging_2282/tillsynsmail/A 41392-2022 tillsynsbegäran mail.docx", "A 41392-2022")</f>
        <v/>
      </c>
      <c r="Z54">
        <f>HYPERLINK("https://klasma.github.io/Logging_2282/fåglar/A 41392-2022 prioriterade fågelarter.docx", "A 41392-2022")</f>
        <v/>
      </c>
    </row>
    <row r="55" ht="15" customHeight="1">
      <c r="A55" t="inlineStr">
        <is>
          <t>A 4525-2026</t>
        </is>
      </c>
      <c r="B55" s="1" t="n">
        <v>46046.63609953703</v>
      </c>
      <c r="C55" s="1" t="n">
        <v>46180</v>
      </c>
      <c r="D55" t="inlineStr">
        <is>
          <t>VÄSTERNORRLANDS LÄN</t>
        </is>
      </c>
      <c r="E55" t="inlineStr">
        <is>
          <t>KRAMFORS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HYPERLINK("https://klasma.github.io/Logging_2282/artfynd/A 4525-2026 artfynd.xlsx", "A 4525-2026")</f>
        <v/>
      </c>
      <c r="T55">
        <f>HYPERLINK("https://klasma.github.io/Logging_2282/kartor/A 4525-2026 karta.png", "A 4525-2026")</f>
        <v/>
      </c>
      <c r="V55">
        <f>HYPERLINK("https://klasma.github.io/Logging_2282/klagomål/A 4525-2026 FSC-klagomål.docx", "A 4525-2026")</f>
        <v/>
      </c>
      <c r="W55">
        <f>HYPERLINK("https://klasma.github.io/Logging_2282/klagomålsmail/A 4525-2026 FSC-klagomål mail.docx", "A 4525-2026")</f>
        <v/>
      </c>
      <c r="X55">
        <f>HYPERLINK("https://klasma.github.io/Logging_2282/tillsyn/A 4525-2026 tillsynsbegäran.docx", "A 4525-2026")</f>
        <v/>
      </c>
      <c r="Y55">
        <f>HYPERLINK("https://klasma.github.io/Logging_2282/tillsynsmail/A 4525-2026 tillsynsbegäran mail.docx", "A 4525-2026")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46180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46180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46180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46180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46180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46180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46180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46180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46180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45947-2023</t>
        </is>
      </c>
      <c r="B65" s="1" t="n">
        <v>45195</v>
      </c>
      <c r="C65" s="1" t="n">
        <v>46180</v>
      </c>
      <c r="D65" t="inlineStr">
        <is>
          <t>VÄSTERNORRLANDS LÄN</t>
        </is>
      </c>
      <c r="E65" t="inlineStr">
        <is>
          <t>KRAMFORS</t>
        </is>
      </c>
      <c r="F65" t="inlineStr">
        <is>
          <t>SCA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HYPERLINK("https://klasma.github.io/Logging_2282/artfynd/A 45947-2023 artfynd.xlsx", "A 45947-2023")</f>
        <v/>
      </c>
      <c r="T65">
        <f>HYPERLINK("https://klasma.github.io/Logging_2282/kartor/A 45947-2023 karta.png", "A 45947-2023")</f>
        <v/>
      </c>
      <c r="V65">
        <f>HYPERLINK("https://klasma.github.io/Logging_2282/klagomål/A 45947-2023 FSC-klagomål.docx", "A 45947-2023")</f>
        <v/>
      </c>
      <c r="W65">
        <f>HYPERLINK("https://klasma.github.io/Logging_2282/klagomålsmail/A 45947-2023 FSC-klagomål mail.docx", "A 45947-2023")</f>
        <v/>
      </c>
      <c r="X65">
        <f>HYPERLINK("https://klasma.github.io/Logging_2282/tillsyn/A 45947-2023 tillsynsbegäran.docx", "A 45947-2023")</f>
        <v/>
      </c>
      <c r="Y65">
        <f>HYPERLINK("https://klasma.github.io/Logging_2282/tillsynsmail/A 45947-2023 tillsynsbegäran mail.docx", "A 45947-2023")</f>
        <v/>
      </c>
    </row>
    <row r="66" ht="15" customHeight="1">
      <c r="A66" t="inlineStr">
        <is>
          <t>A 18792-2025</t>
        </is>
      </c>
      <c r="B66" s="1" t="n">
        <v>45764.34509259259</v>
      </c>
      <c r="C66" s="1" t="n">
        <v>46180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HYPERLINK("https://klasma.github.io/Logging_2282/artfynd/A 18792-2025 artfynd.xlsx", "A 18792-2025")</f>
        <v/>
      </c>
      <c r="T66">
        <f>HYPERLINK("https://klasma.github.io/Logging_2282/kartor/A 18792-2025 karta.png", "A 18792-2025")</f>
        <v/>
      </c>
      <c r="V66">
        <f>HYPERLINK("https://klasma.github.io/Logging_2282/klagomål/A 18792-2025 FSC-klagomål.docx", "A 18792-2025")</f>
        <v/>
      </c>
      <c r="W66">
        <f>HYPERLINK("https://klasma.github.io/Logging_2282/klagomålsmail/A 18792-2025 FSC-klagomål mail.docx", "A 18792-2025")</f>
        <v/>
      </c>
      <c r="X66">
        <f>HYPERLINK("https://klasma.github.io/Logging_2282/tillsyn/A 18792-2025 tillsynsbegäran.docx", "A 18792-2025")</f>
        <v/>
      </c>
      <c r="Y66">
        <f>HYPERLINK("https://klasma.github.io/Logging_2282/tillsynsmail/A 18792-2025 tillsynsbegäran mail.docx", "A 18792-2025")</f>
        <v/>
      </c>
    </row>
    <row r="67" ht="15" customHeight="1">
      <c r="A67" t="inlineStr">
        <is>
          <t>A 37593-2023</t>
        </is>
      </c>
      <c r="B67" s="1" t="n">
        <v>45156</v>
      </c>
      <c r="C67" s="1" t="n">
        <v>46180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HYPERLINK("https://klasma.github.io/Logging_2282/artfynd/A 37593-2023 artfynd.xlsx", "A 37593-2023")</f>
        <v/>
      </c>
      <c r="T67">
        <f>HYPERLINK("https://klasma.github.io/Logging_2282/kartor/A 37593-2023 karta.png", "A 37593-2023")</f>
        <v/>
      </c>
      <c r="V67">
        <f>HYPERLINK("https://klasma.github.io/Logging_2282/klagomål/A 37593-2023 FSC-klagomål.docx", "A 37593-2023")</f>
        <v/>
      </c>
      <c r="W67">
        <f>HYPERLINK("https://klasma.github.io/Logging_2282/klagomålsmail/A 37593-2023 FSC-klagomål mail.docx", "A 37593-2023")</f>
        <v/>
      </c>
      <c r="X67">
        <f>HYPERLINK("https://klasma.github.io/Logging_2282/tillsyn/A 37593-2023 tillsynsbegäran.docx", "A 37593-2023")</f>
        <v/>
      </c>
      <c r="Y67">
        <f>HYPERLINK("https://klasma.github.io/Logging_2282/tillsynsmail/A 37593-2023 tillsynsbegäran mail.docx", "A 37593-2023")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46180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46180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25763-2026</t>
        </is>
      </c>
      <c r="B70" s="1" t="n">
        <v>46178.44877314815</v>
      </c>
      <c r="C70" s="1" t="n">
        <v>46180</v>
      </c>
      <c r="D70" t="inlineStr">
        <is>
          <t>VÄSTERNORRLANDS LÄN</t>
        </is>
      </c>
      <c r="E70" t="inlineStr">
        <is>
          <t>KRAMFORS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HYPERLINK("https://klasma.github.io/Logging_2282/artfynd/A 25763-2026 artfynd.xlsx", "A 25763-2026")</f>
        <v/>
      </c>
      <c r="T70">
        <f>HYPERLINK("https://klasma.github.io/Logging_2282/kartor/A 25763-2026 karta.png", "A 25763-2026")</f>
        <v/>
      </c>
      <c r="V70">
        <f>HYPERLINK("https://klasma.github.io/Logging_2282/klagomål/A 25763-2026 FSC-klagomål.docx", "A 25763-2026")</f>
        <v/>
      </c>
      <c r="W70">
        <f>HYPERLINK("https://klasma.github.io/Logging_2282/klagomålsmail/A 25763-2026 FSC-klagomål mail.docx", "A 25763-2026")</f>
        <v/>
      </c>
      <c r="X70">
        <f>HYPERLINK("https://klasma.github.io/Logging_2282/tillsyn/A 25763-2026 tillsynsbegäran.docx", "A 25763-2026")</f>
        <v/>
      </c>
      <c r="Y70">
        <f>HYPERLINK("https://klasma.github.io/Logging_2282/tillsynsmail/A 25763-2026 tillsynsbegäran mail.docx", "A 25763-2026")</f>
        <v/>
      </c>
    </row>
    <row r="71" ht="15" customHeight="1">
      <c r="A71" t="inlineStr">
        <is>
          <t>A 39364-2022</t>
        </is>
      </c>
      <c r="B71" s="1" t="n">
        <v>44817</v>
      </c>
      <c r="C71" s="1" t="n">
        <v>46180</v>
      </c>
      <c r="D71" t="inlineStr">
        <is>
          <t>VÄSTERNORRLANDS LÄN</t>
        </is>
      </c>
      <c r="E71" t="inlineStr">
        <is>
          <t>KRAMFORS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36644-2022</t>
        </is>
      </c>
      <c r="B72" s="1" t="n">
        <v>44804.74203703704</v>
      </c>
      <c r="C72" s="1" t="n">
        <v>46180</v>
      </c>
      <c r="D72" t="inlineStr">
        <is>
          <t>VÄSTERNORRLANDS LÄN</t>
        </is>
      </c>
      <c r="E72" t="inlineStr">
        <is>
          <t>KRAMFORS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28519-2021</t>
        </is>
      </c>
      <c r="B73" s="1" t="n">
        <v>44356</v>
      </c>
      <c r="C73" s="1" t="n">
        <v>46180</v>
      </c>
      <c r="D73" t="inlineStr">
        <is>
          <t>VÄSTERNORRLANDS LÄN</t>
        </is>
      </c>
      <c r="E73" t="inlineStr">
        <is>
          <t>KRAMFORS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53578-2021</t>
        </is>
      </c>
      <c r="B74" s="1" t="n">
        <v>44469</v>
      </c>
      <c r="C74" s="1" t="n">
        <v>46180</v>
      </c>
      <c r="D74" t="inlineStr">
        <is>
          <t>VÄSTERNORRLANDS LÄN</t>
        </is>
      </c>
      <c r="E74" t="inlineStr">
        <is>
          <t>KRAMFORS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46180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46180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46180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46180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46180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46180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46180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46180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46180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46180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46180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46180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46180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46180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46180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46180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46180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46180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46180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46180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46180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46180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46180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46180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46180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46180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46180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46180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46180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46180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46180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48897-2021</t>
        </is>
      </c>
      <c r="B106" s="1" t="n">
        <v>44452</v>
      </c>
      <c r="C106" s="1" t="n">
        <v>46180</v>
      </c>
      <c r="D106" t="inlineStr">
        <is>
          <t>VÄSTERNORRLANDS LÄN</t>
        </is>
      </c>
      <c r="E106" t="inlineStr">
        <is>
          <t>KRAMFORS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28651-2021</t>
        </is>
      </c>
      <c r="B107" s="1" t="n">
        <v>44356</v>
      </c>
      <c r="C107" s="1" t="n">
        <v>46180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43293-2021</t>
        </is>
      </c>
      <c r="B108" s="1" t="n">
        <v>44432</v>
      </c>
      <c r="C108" s="1" t="n">
        <v>46180</v>
      </c>
      <c r="D108" t="inlineStr">
        <is>
          <t>VÄSTERNORRLANDS LÄN</t>
        </is>
      </c>
      <c r="E108" t="inlineStr">
        <is>
          <t>KRAMFORS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2852-2022</t>
        </is>
      </c>
      <c r="B109" s="1" t="n">
        <v>44581</v>
      </c>
      <c r="C109" s="1" t="n">
        <v>46180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65829-2021</t>
        </is>
      </c>
      <c r="B110" s="1" t="n">
        <v>44516</v>
      </c>
      <c r="C110" s="1" t="n">
        <v>46180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63971-2021</t>
        </is>
      </c>
      <c r="B111" s="1" t="n">
        <v>44509.88978009259</v>
      </c>
      <c r="C111" s="1" t="n">
        <v>46180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71722-2021</t>
        </is>
      </c>
      <c r="B112" s="1" t="n">
        <v>44539</v>
      </c>
      <c r="C112" s="1" t="n">
        <v>46180</v>
      </c>
      <c r="D112" t="inlineStr">
        <is>
          <t>VÄSTERNORRLANDS LÄN</t>
        </is>
      </c>
      <c r="E112" t="inlineStr">
        <is>
          <t>KRAMFORS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34181-2021</t>
        </is>
      </c>
      <c r="B113" s="1" t="n">
        <v>44379</v>
      </c>
      <c r="C113" s="1" t="n">
        <v>46180</v>
      </c>
      <c r="D113" t="inlineStr">
        <is>
          <t>VÄSTERNORRLANDS LÄN</t>
        </is>
      </c>
      <c r="E113" t="inlineStr">
        <is>
          <t>KRAMFORS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692-2022</t>
        </is>
      </c>
      <c r="B114" s="1" t="n">
        <v>44566</v>
      </c>
      <c r="C114" s="1" t="n">
        <v>46180</v>
      </c>
      <c r="D114" t="inlineStr">
        <is>
          <t>VÄSTERNORRLANDS LÄN</t>
        </is>
      </c>
      <c r="E114" t="inlineStr">
        <is>
          <t>KRAMFORS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72008-2021</t>
        </is>
      </c>
      <c r="B115" s="1" t="n">
        <v>44540</v>
      </c>
      <c r="C115" s="1" t="n">
        <v>46180</v>
      </c>
      <c r="D115" t="inlineStr">
        <is>
          <t>VÄSTERNORRLANDS LÄN</t>
        </is>
      </c>
      <c r="E115" t="inlineStr">
        <is>
          <t>KRAMFORS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18612-2022</t>
        </is>
      </c>
      <c r="B116" s="1" t="n">
        <v>44687</v>
      </c>
      <c r="C116" s="1" t="n">
        <v>46180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5303-2022</t>
        </is>
      </c>
      <c r="B117" s="1" t="n">
        <v>44594</v>
      </c>
      <c r="C117" s="1" t="n">
        <v>46180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23200-2022</t>
        </is>
      </c>
      <c r="B118" s="1" t="n">
        <v>44719.92601851852</v>
      </c>
      <c r="C118" s="1" t="n">
        <v>46180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22949-2022</t>
        </is>
      </c>
      <c r="B119" s="1" t="n">
        <v>44715</v>
      </c>
      <c r="C119" s="1" t="n">
        <v>46180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57737-2021</t>
        </is>
      </c>
      <c r="B120" s="1" t="n">
        <v>44484</v>
      </c>
      <c r="C120" s="1" t="n">
        <v>46180</v>
      </c>
      <c r="D120" t="inlineStr">
        <is>
          <t>VÄSTERNORRLANDS LÄN</t>
        </is>
      </c>
      <c r="E120" t="inlineStr">
        <is>
          <t>KRAMFORS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36212-2022</t>
        </is>
      </c>
      <c r="B121" s="1" t="n">
        <v>44803</v>
      </c>
      <c r="C121" s="1" t="n">
        <v>46180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11294-2022</t>
        </is>
      </c>
      <c r="B122" s="1" t="n">
        <v>44629</v>
      </c>
      <c r="C122" s="1" t="n">
        <v>46180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5297-2022</t>
        </is>
      </c>
      <c r="B123" s="1" t="n">
        <v>44594</v>
      </c>
      <c r="C123" s="1" t="n">
        <v>46180</v>
      </c>
      <c r="D123" t="inlineStr">
        <is>
          <t>VÄSTERNORRLANDS LÄN</t>
        </is>
      </c>
      <c r="E123" t="inlineStr">
        <is>
          <t>KRAMFORS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35867-2022</t>
        </is>
      </c>
      <c r="B124" s="1" t="n">
        <v>44802</v>
      </c>
      <c r="C124" s="1" t="n">
        <v>46180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63699-2021</t>
        </is>
      </c>
      <c r="B125" s="1" t="n">
        <v>44509.40767361111</v>
      </c>
      <c r="C125" s="1" t="n">
        <v>46180</v>
      </c>
      <c r="D125" t="inlineStr">
        <is>
          <t>VÄSTERNORRLANDS LÄN</t>
        </is>
      </c>
      <c r="E125" t="inlineStr">
        <is>
          <t>KRAMFORS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71559-2021</t>
        </is>
      </c>
      <c r="B126" s="1" t="n">
        <v>44540.71927083333</v>
      </c>
      <c r="C126" s="1" t="n">
        <v>46180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57213-2021</t>
        </is>
      </c>
      <c r="B127" s="1" t="n">
        <v>44482</v>
      </c>
      <c r="C127" s="1" t="n">
        <v>46180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52364-2021</t>
        </is>
      </c>
      <c r="B128" s="1" t="n">
        <v>44465.42189814815</v>
      </c>
      <c r="C128" s="1" t="n">
        <v>46180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73277-2021</t>
        </is>
      </c>
      <c r="B129" s="1" t="n">
        <v>44550</v>
      </c>
      <c r="C129" s="1" t="n">
        <v>46180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7716-2022</t>
        </is>
      </c>
      <c r="B130" s="1" t="n">
        <v>44607</v>
      </c>
      <c r="C130" s="1" t="n">
        <v>46180</v>
      </c>
      <c r="D130" t="inlineStr">
        <is>
          <t>VÄSTERNORRLANDS LÄN</t>
        </is>
      </c>
      <c r="E130" t="inlineStr">
        <is>
          <t>KRAMFORS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53270-2022</t>
        </is>
      </c>
      <c r="B131" s="1" t="n">
        <v>44876.92712962963</v>
      </c>
      <c r="C131" s="1" t="n">
        <v>46180</v>
      </c>
      <c r="D131" t="inlineStr">
        <is>
          <t>VÄSTERNORRLANDS LÄN</t>
        </is>
      </c>
      <c r="E131" t="inlineStr">
        <is>
          <t>KRAMFORS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11038-2022</t>
        </is>
      </c>
      <c r="B132" s="1" t="n">
        <v>44628</v>
      </c>
      <c r="C132" s="1" t="n">
        <v>46180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41324-2021</t>
        </is>
      </c>
      <c r="B133" s="1" t="n">
        <v>44424</v>
      </c>
      <c r="C133" s="1" t="n">
        <v>46180</v>
      </c>
      <c r="D133" t="inlineStr">
        <is>
          <t>VÄSTERNORRLANDS LÄN</t>
        </is>
      </c>
      <c r="E133" t="inlineStr">
        <is>
          <t>KRAMFORS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9257-2022</t>
        </is>
      </c>
      <c r="B134" s="1" t="n">
        <v>44616</v>
      </c>
      <c r="C134" s="1" t="n">
        <v>46180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28943-2022</t>
        </is>
      </c>
      <c r="B135" s="1" t="n">
        <v>44749</v>
      </c>
      <c r="C135" s="1" t="n">
        <v>46180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20056-2022</t>
        </is>
      </c>
      <c r="B136" s="1" t="n">
        <v>44697.92469907407</v>
      </c>
      <c r="C136" s="1" t="n">
        <v>46180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36605-2022</t>
        </is>
      </c>
      <c r="B137" s="1" t="n">
        <v>44804</v>
      </c>
      <c r="C137" s="1" t="n">
        <v>46180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2775-2022</t>
        </is>
      </c>
      <c r="B138" s="1" t="n">
        <v>44581</v>
      </c>
      <c r="C138" s="1" t="n">
        <v>46180</v>
      </c>
      <c r="D138" t="inlineStr">
        <is>
          <t>VÄSTERNORRLANDS LÄN</t>
        </is>
      </c>
      <c r="E138" t="inlineStr">
        <is>
          <t>KRAMFORS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62317-2021</t>
        </is>
      </c>
      <c r="B139" s="1" t="n">
        <v>44503</v>
      </c>
      <c r="C139" s="1" t="n">
        <v>46180</v>
      </c>
      <c r="D139" t="inlineStr">
        <is>
          <t>VÄSTERNORRLANDS LÄN</t>
        </is>
      </c>
      <c r="E139" t="inlineStr">
        <is>
          <t>KRAMFORS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46512-2022</t>
        </is>
      </c>
      <c r="B140" s="1" t="n">
        <v>44847</v>
      </c>
      <c r="C140" s="1" t="n">
        <v>46180</v>
      </c>
      <c r="D140" t="inlineStr">
        <is>
          <t>VÄSTERNORRLANDS LÄN</t>
        </is>
      </c>
      <c r="E140" t="inlineStr">
        <is>
          <t>KRAMFORS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30418-2021</t>
        </is>
      </c>
      <c r="B141" s="1" t="n">
        <v>44364</v>
      </c>
      <c r="C141" s="1" t="n">
        <v>46180</v>
      </c>
      <c r="D141" t="inlineStr">
        <is>
          <t>VÄSTERNORRLANDS LÄN</t>
        </is>
      </c>
      <c r="E141" t="inlineStr">
        <is>
          <t>KRAMFORS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49583-2022</t>
        </is>
      </c>
      <c r="B142" s="1" t="n">
        <v>44859</v>
      </c>
      <c r="C142" s="1" t="n">
        <v>46180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28172-2021</t>
        </is>
      </c>
      <c r="B143" s="1" t="n">
        <v>44355</v>
      </c>
      <c r="C143" s="1" t="n">
        <v>46180</v>
      </c>
      <c r="D143" t="inlineStr">
        <is>
          <t>VÄSTERNORRLANDS LÄN</t>
        </is>
      </c>
      <c r="E143" t="inlineStr">
        <is>
          <t>KRAMFORS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42678-2021</t>
        </is>
      </c>
      <c r="B144" s="1" t="n">
        <v>44428</v>
      </c>
      <c r="C144" s="1" t="n">
        <v>46180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57742-2021</t>
        </is>
      </c>
      <c r="B145" s="1" t="n">
        <v>44484</v>
      </c>
      <c r="C145" s="1" t="n">
        <v>46180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46180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32483-2022</t>
        </is>
      </c>
      <c r="B147" s="1" t="n">
        <v>44782</v>
      </c>
      <c r="C147" s="1" t="n">
        <v>46180</v>
      </c>
      <c r="D147" t="inlineStr">
        <is>
          <t>VÄSTERNORRLANDS LÄN</t>
        </is>
      </c>
      <c r="E147" t="inlineStr">
        <is>
          <t>KRAMFORS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54857-2021</t>
        </is>
      </c>
      <c r="B148" s="1" t="n">
        <v>44474.33015046296</v>
      </c>
      <c r="C148" s="1" t="n">
        <v>46180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2823-2022</t>
        </is>
      </c>
      <c r="B149" s="1" t="n">
        <v>44581.41922453704</v>
      </c>
      <c r="C149" s="1" t="n">
        <v>46180</v>
      </c>
      <c r="D149" t="inlineStr">
        <is>
          <t>VÄSTERNORRLANDS LÄN</t>
        </is>
      </c>
      <c r="E149" t="inlineStr">
        <is>
          <t>KRAMFORS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36647-2022</t>
        </is>
      </c>
      <c r="B150" s="1" t="n">
        <v>44804.75269675926</v>
      </c>
      <c r="C150" s="1" t="n">
        <v>46180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48154-2023</t>
        </is>
      </c>
      <c r="B151" s="1" t="n">
        <v>45205</v>
      </c>
      <c r="C151" s="1" t="n">
        <v>46180</v>
      </c>
      <c r="D151" t="inlineStr">
        <is>
          <t>VÄSTERNORRLANDS LÄN</t>
        </is>
      </c>
      <c r="E151" t="inlineStr">
        <is>
          <t>KRAMFORS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30470-2021</t>
        </is>
      </c>
      <c r="B152" s="1" t="n">
        <v>44364</v>
      </c>
      <c r="C152" s="1" t="n">
        <v>46180</v>
      </c>
      <c r="D152" t="inlineStr">
        <is>
          <t>VÄSTERNORRLANDS LÄN</t>
        </is>
      </c>
      <c r="E152" t="inlineStr">
        <is>
          <t>KRAMFORS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48198-2023</t>
        </is>
      </c>
      <c r="B153" s="1" t="n">
        <v>45205.46733796296</v>
      </c>
      <c r="C153" s="1" t="n">
        <v>46180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32501-2024</t>
        </is>
      </c>
      <c r="B154" s="1" t="n">
        <v>45513</v>
      </c>
      <c r="C154" s="1" t="n">
        <v>46180</v>
      </c>
      <c r="D154" t="inlineStr">
        <is>
          <t>VÄSTERNORRLANDS LÄN</t>
        </is>
      </c>
      <c r="E154" t="inlineStr">
        <is>
          <t>KRAMFORS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16048-2025</t>
        </is>
      </c>
      <c r="B155" s="1" t="n">
        <v>45749.63847222222</v>
      </c>
      <c r="C155" s="1" t="n">
        <v>46180</v>
      </c>
      <c r="D155" t="inlineStr">
        <is>
          <t>VÄSTERNORRLANDS LÄN</t>
        </is>
      </c>
      <c r="E155" t="inlineStr">
        <is>
          <t>KRAMFORS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10502-2025</t>
        </is>
      </c>
      <c r="B156" s="1" t="n">
        <v>45721.38591435185</v>
      </c>
      <c r="C156" s="1" t="n">
        <v>46180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44486-2022</t>
        </is>
      </c>
      <c r="B157" s="1" t="n">
        <v>44840</v>
      </c>
      <c r="C157" s="1" t="n">
        <v>46180</v>
      </c>
      <c r="D157" t="inlineStr">
        <is>
          <t>VÄSTERNORRLANDS LÄN</t>
        </is>
      </c>
      <c r="E157" t="inlineStr">
        <is>
          <t>KRAMFORS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8716-2025</t>
        </is>
      </c>
      <c r="B158" s="1" t="n">
        <v>45712.50101851852</v>
      </c>
      <c r="C158" s="1" t="n">
        <v>46180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2080-2025</t>
        </is>
      </c>
      <c r="B159" s="1" t="n">
        <v>45672</v>
      </c>
      <c r="C159" s="1" t="n">
        <v>46180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27173-2022</t>
        </is>
      </c>
      <c r="B160" s="1" t="n">
        <v>44741</v>
      </c>
      <c r="C160" s="1" t="n">
        <v>46180</v>
      </c>
      <c r="D160" t="inlineStr">
        <is>
          <t>VÄSTERNORRLANDS LÄN</t>
        </is>
      </c>
      <c r="E160" t="inlineStr">
        <is>
          <t>KRAMFORS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19472-2023</t>
        </is>
      </c>
      <c r="B161" s="1" t="n">
        <v>45049</v>
      </c>
      <c r="C161" s="1" t="n">
        <v>46180</v>
      </c>
      <c r="D161" t="inlineStr">
        <is>
          <t>VÄSTERNORRLANDS LÄN</t>
        </is>
      </c>
      <c r="E161" t="inlineStr">
        <is>
          <t>KRAMFORS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28491-2021</t>
        </is>
      </c>
      <c r="B162" s="1" t="n">
        <v>44356</v>
      </c>
      <c r="C162" s="1" t="n">
        <v>46180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3191-2025</t>
        </is>
      </c>
      <c r="B163" s="1" t="n">
        <v>45679</v>
      </c>
      <c r="C163" s="1" t="n">
        <v>46180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43989-2024</t>
        </is>
      </c>
      <c r="B164" s="1" t="n">
        <v>45572.51328703704</v>
      </c>
      <c r="C164" s="1" t="n">
        <v>46180</v>
      </c>
      <c r="D164" t="inlineStr">
        <is>
          <t>VÄSTERNORRLANDS LÄN</t>
        </is>
      </c>
      <c r="E164" t="inlineStr">
        <is>
          <t>KRAMFORS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18615-2023</t>
        </is>
      </c>
      <c r="B165" s="1" t="n">
        <v>45043</v>
      </c>
      <c r="C165" s="1" t="n">
        <v>46180</v>
      </c>
      <c r="D165" t="inlineStr">
        <is>
          <t>VÄSTERNORRLANDS LÄN</t>
        </is>
      </c>
      <c r="E165" t="inlineStr">
        <is>
          <t>KRAMFORS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48415-2023</t>
        </is>
      </c>
      <c r="B166" s="1" t="n">
        <v>45205.92366898148</v>
      </c>
      <c r="C166" s="1" t="n">
        <v>46180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18981-2023</t>
        </is>
      </c>
      <c r="B167" s="1" t="n">
        <v>45044</v>
      </c>
      <c r="C167" s="1" t="n">
        <v>46180</v>
      </c>
      <c r="D167" t="inlineStr">
        <is>
          <t>VÄSTERNORRLANDS LÄN</t>
        </is>
      </c>
      <c r="E167" t="inlineStr">
        <is>
          <t>KRAMFORS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10392-2024</t>
        </is>
      </c>
      <c r="B168" s="1" t="n">
        <v>45365</v>
      </c>
      <c r="C168" s="1" t="n">
        <v>46180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18654-2025</t>
        </is>
      </c>
      <c r="B169" s="1" t="n">
        <v>45763.57469907407</v>
      </c>
      <c r="C169" s="1" t="n">
        <v>46180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47650-2022</t>
        </is>
      </c>
      <c r="B170" s="1" t="n">
        <v>44853</v>
      </c>
      <c r="C170" s="1" t="n">
        <v>46180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11172-2025</t>
        </is>
      </c>
      <c r="B171" s="1" t="n">
        <v>45724</v>
      </c>
      <c r="C171" s="1" t="n">
        <v>46180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30768-2024</t>
        </is>
      </c>
      <c r="B172" s="1" t="n">
        <v>45496</v>
      </c>
      <c r="C172" s="1" t="n">
        <v>46180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31912-2021</t>
        </is>
      </c>
      <c r="B173" s="1" t="n">
        <v>44370</v>
      </c>
      <c r="C173" s="1" t="n">
        <v>46180</v>
      </c>
      <c r="D173" t="inlineStr">
        <is>
          <t>VÄSTERNORRLANDS LÄN</t>
        </is>
      </c>
      <c r="E173" t="inlineStr">
        <is>
          <t>KRAMFORS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58424-2022</t>
        </is>
      </c>
      <c r="B174" s="1" t="n">
        <v>44901</v>
      </c>
      <c r="C174" s="1" t="n">
        <v>46180</v>
      </c>
      <c r="D174" t="inlineStr">
        <is>
          <t>VÄSTERNORRLANDS LÄN</t>
        </is>
      </c>
      <c r="E174" t="inlineStr">
        <is>
          <t>KRAMFORS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556-2024</t>
        </is>
      </c>
      <c r="B175" s="1" t="n">
        <v>45299</v>
      </c>
      <c r="C175" s="1" t="n">
        <v>46180</v>
      </c>
      <c r="D175" t="inlineStr">
        <is>
          <t>VÄSTERNORRLANDS LÄN</t>
        </is>
      </c>
      <c r="E175" t="inlineStr">
        <is>
          <t>KRAMFORS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23129-2024</t>
        </is>
      </c>
      <c r="B176" s="1" t="n">
        <v>45450.61503472222</v>
      </c>
      <c r="C176" s="1" t="n">
        <v>46180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61909-2023</t>
        </is>
      </c>
      <c r="B177" s="1" t="n">
        <v>45265</v>
      </c>
      <c r="C177" s="1" t="n">
        <v>46180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46180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61619-2023</t>
        </is>
      </c>
      <c r="B179" s="1" t="n">
        <v>45261</v>
      </c>
      <c r="C179" s="1" t="n">
        <v>46180</v>
      </c>
      <c r="D179" t="inlineStr">
        <is>
          <t>VÄSTERNORRLANDS LÄN</t>
        </is>
      </c>
      <c r="E179" t="inlineStr">
        <is>
          <t>KRAMFORS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18185-2024</t>
        </is>
      </c>
      <c r="B180" s="1" t="n">
        <v>45420</v>
      </c>
      <c r="C180" s="1" t="n">
        <v>46180</v>
      </c>
      <c r="D180" t="inlineStr">
        <is>
          <t>VÄSTERNORRLANDS LÄN</t>
        </is>
      </c>
      <c r="E180" t="inlineStr">
        <is>
          <t>KRAMFORS</t>
        </is>
      </c>
      <c r="G180" t="n">
        <v>23.2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56169-2021</t>
        </is>
      </c>
      <c r="B181" s="1" t="n">
        <v>44477.68009259259</v>
      </c>
      <c r="C181" s="1" t="n">
        <v>46180</v>
      </c>
      <c r="D181" t="inlineStr">
        <is>
          <t>VÄSTERNORRLANDS LÄN</t>
        </is>
      </c>
      <c r="E181" t="inlineStr">
        <is>
          <t>KRAMFORS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25599-2023</t>
        </is>
      </c>
      <c r="B182" s="1" t="n">
        <v>45089</v>
      </c>
      <c r="C182" s="1" t="n">
        <v>46180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60817-2022</t>
        </is>
      </c>
      <c r="B183" s="1" t="n">
        <v>44907</v>
      </c>
      <c r="C183" s="1" t="n">
        <v>46180</v>
      </c>
      <c r="D183" t="inlineStr">
        <is>
          <t>VÄSTERNORRLANDS LÄN</t>
        </is>
      </c>
      <c r="E183" t="inlineStr">
        <is>
          <t>KRAMFORS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63991-2023</t>
        </is>
      </c>
      <c r="B184" s="1" t="n">
        <v>45278</v>
      </c>
      <c r="C184" s="1" t="n">
        <v>46180</v>
      </c>
      <c r="D184" t="inlineStr">
        <is>
          <t>VÄSTERNORRLANDS LÄN</t>
        </is>
      </c>
      <c r="E184" t="inlineStr">
        <is>
          <t>KRAMFORS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48046-2022</t>
        </is>
      </c>
      <c r="B185" s="1" t="n">
        <v>44855.92417824074</v>
      </c>
      <c r="C185" s="1" t="n">
        <v>46180</v>
      </c>
      <c r="D185" t="inlineStr">
        <is>
          <t>VÄSTERNORRLANDS LÄN</t>
        </is>
      </c>
      <c r="E185" t="inlineStr">
        <is>
          <t>KRAMFORS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19780-2025</t>
        </is>
      </c>
      <c r="B186" s="1" t="n">
        <v>45771.42789351852</v>
      </c>
      <c r="C186" s="1" t="n">
        <v>46180</v>
      </c>
      <c r="D186" t="inlineStr">
        <is>
          <t>VÄSTERNORRLANDS LÄN</t>
        </is>
      </c>
      <c r="E186" t="inlineStr">
        <is>
          <t>KRAMFORS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54166-2023</t>
        </is>
      </c>
      <c r="B187" s="1" t="n">
        <v>45225</v>
      </c>
      <c r="C187" s="1" t="n">
        <v>46180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53824-2022</t>
        </is>
      </c>
      <c r="B188" s="1" t="n">
        <v>44880.57431712963</v>
      </c>
      <c r="C188" s="1" t="n">
        <v>46180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15374-2024</t>
        </is>
      </c>
      <c r="B189" s="1" t="n">
        <v>45400</v>
      </c>
      <c r="C189" s="1" t="n">
        <v>46180</v>
      </c>
      <c r="D189" t="inlineStr">
        <is>
          <t>VÄSTERNORRLANDS LÄN</t>
        </is>
      </c>
      <c r="E189" t="inlineStr">
        <is>
          <t>KRAMFORS</t>
        </is>
      </c>
      <c r="G189" t="n">
        <v>29.6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33239-2023</t>
        </is>
      </c>
      <c r="B190" s="1" t="n">
        <v>45114</v>
      </c>
      <c r="C190" s="1" t="n">
        <v>46180</v>
      </c>
      <c r="D190" t="inlineStr">
        <is>
          <t>VÄSTERNORRLANDS LÄN</t>
        </is>
      </c>
      <c r="E190" t="inlineStr">
        <is>
          <t>KRAMFORS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39479-2024</t>
        </is>
      </c>
      <c r="B191" s="1" t="n">
        <v>45551</v>
      </c>
      <c r="C191" s="1" t="n">
        <v>46180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47659-2024</t>
        </is>
      </c>
      <c r="B192" s="1" t="n">
        <v>45588</v>
      </c>
      <c r="C192" s="1" t="n">
        <v>46180</v>
      </c>
      <c r="D192" t="inlineStr">
        <is>
          <t>VÄSTERNORRLANDS LÄN</t>
        </is>
      </c>
      <c r="E192" t="inlineStr">
        <is>
          <t>KRAMFORS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28086-2023</t>
        </is>
      </c>
      <c r="B193" s="1" t="n">
        <v>45099.40969907407</v>
      </c>
      <c r="C193" s="1" t="n">
        <v>46180</v>
      </c>
      <c r="D193" t="inlineStr">
        <is>
          <t>VÄSTERNORRLANDS LÄN</t>
        </is>
      </c>
      <c r="E193" t="inlineStr">
        <is>
          <t>KRAMFORS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23127-2024</t>
        </is>
      </c>
      <c r="B194" s="1" t="n">
        <v>45450.61115740741</v>
      </c>
      <c r="C194" s="1" t="n">
        <v>46180</v>
      </c>
      <c r="D194" t="inlineStr">
        <is>
          <t>VÄSTERNORRLANDS LÄN</t>
        </is>
      </c>
      <c r="E194" t="inlineStr">
        <is>
          <t>KRAMFORS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52724-2021</t>
        </is>
      </c>
      <c r="B195" s="1" t="n">
        <v>44466.93547453704</v>
      </c>
      <c r="C195" s="1" t="n">
        <v>46180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4915-2023</t>
        </is>
      </c>
      <c r="B196" s="1" t="n">
        <v>44958.39085648148</v>
      </c>
      <c r="C196" s="1" t="n">
        <v>46180</v>
      </c>
      <c r="D196" t="inlineStr">
        <is>
          <t>VÄSTERNORRLANDS LÄN</t>
        </is>
      </c>
      <c r="E196" t="inlineStr">
        <is>
          <t>KRAMFORS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62271-2021</t>
        </is>
      </c>
      <c r="B197" s="1" t="n">
        <v>44503.35984953704</v>
      </c>
      <c r="C197" s="1" t="n">
        <v>46180</v>
      </c>
      <c r="D197" t="inlineStr">
        <is>
          <t>VÄSTERNORRLANDS LÄN</t>
        </is>
      </c>
      <c r="E197" t="inlineStr">
        <is>
          <t>KRAMFORS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24135-2025</t>
        </is>
      </c>
      <c r="B198" s="1" t="n">
        <v>45796.63609953703</v>
      </c>
      <c r="C198" s="1" t="n">
        <v>46180</v>
      </c>
      <c r="D198" t="inlineStr">
        <is>
          <t>VÄSTERNORRLANDS LÄN</t>
        </is>
      </c>
      <c r="E198" t="inlineStr">
        <is>
          <t>KRAMFORS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56996-2022</t>
        </is>
      </c>
      <c r="B199" s="1" t="n">
        <v>44894</v>
      </c>
      <c r="C199" s="1" t="n">
        <v>46180</v>
      </c>
      <c r="D199" t="inlineStr">
        <is>
          <t>VÄSTERNORRLANDS LÄN</t>
        </is>
      </c>
      <c r="E199" t="inlineStr">
        <is>
          <t>KRAMFORS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38256-2025</t>
        </is>
      </c>
      <c r="B200" s="1" t="n">
        <v>45883.38284722222</v>
      </c>
      <c r="C200" s="1" t="n">
        <v>46180</v>
      </c>
      <c r="D200" t="inlineStr">
        <is>
          <t>VÄSTERNORRLANDS LÄN</t>
        </is>
      </c>
      <c r="E200" t="inlineStr">
        <is>
          <t>KRAMFORS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74-2026</t>
        </is>
      </c>
      <c r="B201" s="1" t="n">
        <v>46024</v>
      </c>
      <c r="C201" s="1" t="n">
        <v>46180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91-2026</t>
        </is>
      </c>
      <c r="B202" s="1" t="n">
        <v>46024.48994212963</v>
      </c>
      <c r="C202" s="1" t="n">
        <v>46180</v>
      </c>
      <c r="D202" t="inlineStr">
        <is>
          <t>VÄSTERNORRLANDS LÄN</t>
        </is>
      </c>
      <c r="E202" t="inlineStr">
        <is>
          <t>KRAMFORS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92-2026</t>
        </is>
      </c>
      <c r="B203" s="1" t="n">
        <v>46024.48996527777</v>
      </c>
      <c r="C203" s="1" t="n">
        <v>46180</v>
      </c>
      <c r="D203" t="inlineStr">
        <is>
          <t>VÄSTERNORRLANDS LÄN</t>
        </is>
      </c>
      <c r="E203" t="inlineStr">
        <is>
          <t>KRAMFORS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46180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188-2026</t>
        </is>
      </c>
      <c r="B205" s="1" t="n">
        <v>46025</v>
      </c>
      <c r="C205" s="1" t="n">
        <v>46180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38281-2025</t>
        </is>
      </c>
      <c r="B206" s="1" t="n">
        <v>45883.42438657407</v>
      </c>
      <c r="C206" s="1" t="n">
        <v>46180</v>
      </c>
      <c r="D206" t="inlineStr">
        <is>
          <t>VÄSTERNORRLANDS LÄN</t>
        </is>
      </c>
      <c r="E206" t="inlineStr">
        <is>
          <t>KRAMFORS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23668-2024</t>
        </is>
      </c>
      <c r="B207" s="1" t="n">
        <v>45454.58489583333</v>
      </c>
      <c r="C207" s="1" t="n">
        <v>46180</v>
      </c>
      <c r="D207" t="inlineStr">
        <is>
          <t>VÄSTERNORRLANDS LÄN</t>
        </is>
      </c>
      <c r="E207" t="inlineStr">
        <is>
          <t>KRAMFORS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63228-2023</t>
        </is>
      </c>
      <c r="B208" s="1" t="n">
        <v>45273</v>
      </c>
      <c r="C208" s="1" t="n">
        <v>46180</v>
      </c>
      <c r="D208" t="inlineStr">
        <is>
          <t>VÄSTERNORRLANDS LÄN</t>
        </is>
      </c>
      <c r="E208" t="inlineStr">
        <is>
          <t>KRAMFORS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4815-2024</t>
        </is>
      </c>
      <c r="B209" s="1" t="n">
        <v>45328</v>
      </c>
      <c r="C209" s="1" t="n">
        <v>46180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2312-2023</t>
        </is>
      </c>
      <c r="B210" s="1" t="n">
        <v>44942</v>
      </c>
      <c r="C210" s="1" t="n">
        <v>46180</v>
      </c>
      <c r="D210" t="inlineStr">
        <is>
          <t>VÄSTERNORRLANDS LÄN</t>
        </is>
      </c>
      <c r="E210" t="inlineStr">
        <is>
          <t>KRAMFORS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20528-2024</t>
        </is>
      </c>
      <c r="B211" s="1" t="n">
        <v>45435.94611111111</v>
      </c>
      <c r="C211" s="1" t="n">
        <v>46180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1131-2026</t>
        </is>
      </c>
      <c r="B212" s="1" t="n">
        <v>46030</v>
      </c>
      <c r="C212" s="1" t="n">
        <v>46180</v>
      </c>
      <c r="D212" t="inlineStr">
        <is>
          <t>VÄSTERNORRLANDS LÄN</t>
        </is>
      </c>
      <c r="E212" t="inlineStr">
        <is>
          <t>KRAMFORS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531-2026</t>
        </is>
      </c>
      <c r="B213" s="1" t="n">
        <v>46029.450625</v>
      </c>
      <c r="C213" s="1" t="n">
        <v>46180</v>
      </c>
      <c r="D213" t="inlineStr">
        <is>
          <t>VÄSTERNORRLANDS LÄN</t>
        </is>
      </c>
      <c r="E213" t="inlineStr">
        <is>
          <t>KRAMFORS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541-2026</t>
        </is>
      </c>
      <c r="B214" s="1" t="n">
        <v>46029</v>
      </c>
      <c r="C214" s="1" t="n">
        <v>46180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484-2026</t>
        </is>
      </c>
      <c r="B215" s="1" t="n">
        <v>46029.41097222222</v>
      </c>
      <c r="C215" s="1" t="n">
        <v>46180</v>
      </c>
      <c r="D215" t="inlineStr">
        <is>
          <t>VÄSTERNORRLANDS LÄN</t>
        </is>
      </c>
      <c r="E215" t="inlineStr">
        <is>
          <t>KRAMFORS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1136-2026</t>
        </is>
      </c>
      <c r="B216" s="1" t="n">
        <v>46030</v>
      </c>
      <c r="C216" s="1" t="n">
        <v>46180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46180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480-2026</t>
        </is>
      </c>
      <c r="B218" s="1" t="n">
        <v>46029.40649305555</v>
      </c>
      <c r="C218" s="1" t="n">
        <v>46180</v>
      </c>
      <c r="D218" t="inlineStr">
        <is>
          <t>VÄSTERNORRLANDS LÄN</t>
        </is>
      </c>
      <c r="E218" t="inlineStr">
        <is>
          <t>KRAMFORS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37867-2024</t>
        </is>
      </c>
      <c r="B219" s="1" t="n">
        <v>45544</v>
      </c>
      <c r="C219" s="1" t="n">
        <v>46180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10365-2024</t>
        </is>
      </c>
      <c r="B220" s="1" t="n">
        <v>45365</v>
      </c>
      <c r="C220" s="1" t="n">
        <v>46180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1590-2026</t>
        </is>
      </c>
      <c r="B221" s="1" t="n">
        <v>46034.44326388889</v>
      </c>
      <c r="C221" s="1" t="n">
        <v>46180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2161-2026</t>
        </is>
      </c>
      <c r="B222" s="1" t="n">
        <v>46036</v>
      </c>
      <c r="C222" s="1" t="n">
        <v>46180</v>
      </c>
      <c r="D222" t="inlineStr">
        <is>
          <t>VÄSTERNORRLANDS LÄN</t>
        </is>
      </c>
      <c r="E222" t="inlineStr">
        <is>
          <t>KRAMFORS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24407-2025</t>
        </is>
      </c>
      <c r="B223" s="1" t="n">
        <v>45797.65565972222</v>
      </c>
      <c r="C223" s="1" t="n">
        <v>46180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1176-2026</t>
        </is>
      </c>
      <c r="B224" s="1" t="n">
        <v>46031.35283564815</v>
      </c>
      <c r="C224" s="1" t="n">
        <v>46180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24409-2025</t>
        </is>
      </c>
      <c r="B225" s="1" t="n">
        <v>45797.65944444444</v>
      </c>
      <c r="C225" s="1" t="n">
        <v>46180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25203-2025</t>
        </is>
      </c>
      <c r="B226" s="1" t="n">
        <v>45798</v>
      </c>
      <c r="C226" s="1" t="n">
        <v>46180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60314-2022</t>
        </is>
      </c>
      <c r="B227" s="1" t="n">
        <v>44903</v>
      </c>
      <c r="C227" s="1" t="n">
        <v>46180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24698-2025</t>
        </is>
      </c>
      <c r="B228" s="1" t="n">
        <v>45798.7190625</v>
      </c>
      <c r="C228" s="1" t="n">
        <v>46180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2418-2026</t>
        </is>
      </c>
      <c r="B229" s="1" t="n">
        <v>46034</v>
      </c>
      <c r="C229" s="1" t="n">
        <v>46180</v>
      </c>
      <c r="D229" t="inlineStr">
        <is>
          <t>VÄSTERNORRLANDS LÄN</t>
        </is>
      </c>
      <c r="E229" t="inlineStr">
        <is>
          <t>KRAMFORS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26524-2024</t>
        </is>
      </c>
      <c r="B230" s="1" t="n">
        <v>45469</v>
      </c>
      <c r="C230" s="1" t="n">
        <v>46180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66554-2021</t>
        </is>
      </c>
      <c r="B231" s="1" t="n">
        <v>44519</v>
      </c>
      <c r="C231" s="1" t="n">
        <v>46180</v>
      </c>
      <c r="D231" t="inlineStr">
        <is>
          <t>VÄSTERNORRLANDS LÄN</t>
        </is>
      </c>
      <c r="E231" t="inlineStr">
        <is>
          <t>KRAMFORS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1180-2026</t>
        </is>
      </c>
      <c r="B232" s="1" t="n">
        <v>46031.35849537037</v>
      </c>
      <c r="C232" s="1" t="n">
        <v>46180</v>
      </c>
      <c r="D232" t="inlineStr">
        <is>
          <t>VÄSTERNORRLANDS LÄN</t>
        </is>
      </c>
      <c r="E232" t="inlineStr">
        <is>
          <t>KRAMFORS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68797-2021</t>
        </is>
      </c>
      <c r="B233" s="1" t="n">
        <v>44529</v>
      </c>
      <c r="C233" s="1" t="n">
        <v>46180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61175-2024</t>
        </is>
      </c>
      <c r="B234" s="1" t="n">
        <v>45645.60512731481</v>
      </c>
      <c r="C234" s="1" t="n">
        <v>46180</v>
      </c>
      <c r="D234" t="inlineStr">
        <is>
          <t>VÄSTERNORRLANDS LÄN</t>
        </is>
      </c>
      <c r="E234" t="inlineStr">
        <is>
          <t>KRAMFORS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38219-2025</t>
        </is>
      </c>
      <c r="B235" s="1" t="n">
        <v>45883.33505787037</v>
      </c>
      <c r="C235" s="1" t="n">
        <v>46180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2752-2026</t>
        </is>
      </c>
      <c r="B236" s="1" t="n">
        <v>46036</v>
      </c>
      <c r="C236" s="1" t="n">
        <v>46180</v>
      </c>
      <c r="D236" t="inlineStr">
        <is>
          <t>VÄSTERNORRLANDS LÄN</t>
        </is>
      </c>
      <c r="E236" t="inlineStr">
        <is>
          <t>KRAMFORS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39170-2025</t>
        </is>
      </c>
      <c r="B237" s="1" t="n">
        <v>45887</v>
      </c>
      <c r="C237" s="1" t="n">
        <v>46180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25320-2025</t>
        </is>
      </c>
      <c r="B238" s="1" t="n">
        <v>45800.5853587963</v>
      </c>
      <c r="C238" s="1" t="n">
        <v>46180</v>
      </c>
      <c r="D238" t="inlineStr">
        <is>
          <t>VÄSTERNORRLANDS LÄN</t>
        </is>
      </c>
      <c r="E238" t="inlineStr">
        <is>
          <t>KRAMFORS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39181-2025</t>
        </is>
      </c>
      <c r="B239" s="1" t="n">
        <v>45887</v>
      </c>
      <c r="C239" s="1" t="n">
        <v>46180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38989-2025</t>
        </is>
      </c>
      <c r="B240" s="1" t="n">
        <v>45888.32267361111</v>
      </c>
      <c r="C240" s="1" t="n">
        <v>46180</v>
      </c>
      <c r="D240" t="inlineStr">
        <is>
          <t>VÄSTERNORRLANDS LÄN</t>
        </is>
      </c>
      <c r="E240" t="inlineStr">
        <is>
          <t>KRAMFORS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24993-2025</t>
        </is>
      </c>
      <c r="B241" s="1" t="n">
        <v>45799.61525462963</v>
      </c>
      <c r="C241" s="1" t="n">
        <v>46180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70638-2021</t>
        </is>
      </c>
      <c r="B242" s="1" t="n">
        <v>44536</v>
      </c>
      <c r="C242" s="1" t="n">
        <v>46180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39169-2025</t>
        </is>
      </c>
      <c r="B243" s="1" t="n">
        <v>45887</v>
      </c>
      <c r="C243" s="1" t="n">
        <v>46180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24704-2025</t>
        </is>
      </c>
      <c r="B244" s="1" t="n">
        <v>45798.79577546296</v>
      </c>
      <c r="C244" s="1" t="n">
        <v>46180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1825-2022</t>
        </is>
      </c>
      <c r="B245" s="1" t="n">
        <v>44574</v>
      </c>
      <c r="C245" s="1" t="n">
        <v>46180</v>
      </c>
      <c r="D245" t="inlineStr">
        <is>
          <t>VÄSTERNORRLANDS LÄN</t>
        </is>
      </c>
      <c r="E245" t="inlineStr">
        <is>
          <t>KRAMFORS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25230-2025</t>
        </is>
      </c>
      <c r="B246" s="1" t="n">
        <v>45800.48439814815</v>
      </c>
      <c r="C246" s="1" t="n">
        <v>46180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11860-2022</t>
        </is>
      </c>
      <c r="B247" s="1" t="n">
        <v>44634</v>
      </c>
      <c r="C247" s="1" t="n">
        <v>46180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2331-2026</t>
        </is>
      </c>
      <c r="B248" s="1" t="n">
        <v>46036</v>
      </c>
      <c r="C248" s="1" t="n">
        <v>46180</v>
      </c>
      <c r="D248" t="inlineStr">
        <is>
          <t>VÄSTERNORRLANDS LÄN</t>
        </is>
      </c>
      <c r="E248" t="inlineStr">
        <is>
          <t>KRAMFORS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2492-2026</t>
        </is>
      </c>
      <c r="B249" s="1" t="n">
        <v>46037.39542824074</v>
      </c>
      <c r="C249" s="1" t="n">
        <v>46180</v>
      </c>
      <c r="D249" t="inlineStr">
        <is>
          <t>VÄSTERNORRLANDS LÄN</t>
        </is>
      </c>
      <c r="E249" t="inlineStr">
        <is>
          <t>KRAMFORS</t>
        </is>
      </c>
      <c r="G249" t="n">
        <v>36.4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58075-2024</t>
        </is>
      </c>
      <c r="B250" s="1" t="n">
        <v>45632</v>
      </c>
      <c r="C250" s="1" t="n">
        <v>46180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2538-2026</t>
        </is>
      </c>
      <c r="B251" s="1" t="n">
        <v>46037.44986111111</v>
      </c>
      <c r="C251" s="1" t="n">
        <v>46180</v>
      </c>
      <c r="D251" t="inlineStr">
        <is>
          <t>VÄSTERNORRLANDS LÄN</t>
        </is>
      </c>
      <c r="E251" t="inlineStr">
        <is>
          <t>KRAMFORS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25161-2025</t>
        </is>
      </c>
      <c r="B252" s="1" t="n">
        <v>45800.42946759259</v>
      </c>
      <c r="C252" s="1" t="n">
        <v>46180</v>
      </c>
      <c r="D252" t="inlineStr">
        <is>
          <t>VÄSTERNORRLANDS LÄN</t>
        </is>
      </c>
      <c r="E252" t="inlineStr">
        <is>
          <t>KRAMFORS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54045-2024</t>
        </is>
      </c>
      <c r="B253" s="1" t="n">
        <v>45616.44898148148</v>
      </c>
      <c r="C253" s="1" t="n">
        <v>46180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24976-2025</t>
        </is>
      </c>
      <c r="B254" s="1" t="n">
        <v>45799.59138888889</v>
      </c>
      <c r="C254" s="1" t="n">
        <v>46180</v>
      </c>
      <c r="D254" t="inlineStr">
        <is>
          <t>VÄSTERNORRLANDS LÄN</t>
        </is>
      </c>
      <c r="E254" t="inlineStr">
        <is>
          <t>KRAMFORS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25039-2025</t>
        </is>
      </c>
      <c r="B255" s="1" t="n">
        <v>45799.65723379629</v>
      </c>
      <c r="C255" s="1" t="n">
        <v>46180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41158-2021</t>
        </is>
      </c>
      <c r="B256" s="1" t="n">
        <v>44424</v>
      </c>
      <c r="C256" s="1" t="n">
        <v>46180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38247-2024</t>
        </is>
      </c>
      <c r="B257" s="1" t="n">
        <v>45545</v>
      </c>
      <c r="C257" s="1" t="n">
        <v>46180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61252-2022</t>
        </is>
      </c>
      <c r="B258" s="1" t="n">
        <v>44909</v>
      </c>
      <c r="C258" s="1" t="n">
        <v>46180</v>
      </c>
      <c r="D258" t="inlineStr">
        <is>
          <t>VÄSTERNORRLANDS LÄN</t>
        </is>
      </c>
      <c r="E258" t="inlineStr">
        <is>
          <t>KRAMFORS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36896-2024</t>
        </is>
      </c>
      <c r="B259" s="1" t="n">
        <v>45538.61974537037</v>
      </c>
      <c r="C259" s="1" t="n">
        <v>46180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39579-2025</t>
        </is>
      </c>
      <c r="B260" s="1" t="n">
        <v>45890.49295138889</v>
      </c>
      <c r="C260" s="1" t="n">
        <v>46180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39599-2025</t>
        </is>
      </c>
      <c r="B261" s="1" t="n">
        <v>45890.55060185185</v>
      </c>
      <c r="C261" s="1" t="n">
        <v>46180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39575-2025</t>
        </is>
      </c>
      <c r="B262" s="1" t="n">
        <v>45890.49244212963</v>
      </c>
      <c r="C262" s="1" t="n">
        <v>46180</v>
      </c>
      <c r="D262" t="inlineStr">
        <is>
          <t>VÄSTERNORRLANDS LÄN</t>
        </is>
      </c>
      <c r="E262" t="inlineStr">
        <is>
          <t>KRAMFORS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39577-2025</t>
        </is>
      </c>
      <c r="B263" s="1" t="n">
        <v>45890.49271990741</v>
      </c>
      <c r="C263" s="1" t="n">
        <v>46180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39581-2025</t>
        </is>
      </c>
      <c r="B264" s="1" t="n">
        <v>45890.49341435185</v>
      </c>
      <c r="C264" s="1" t="n">
        <v>46180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18633-2024</t>
        </is>
      </c>
      <c r="B265" s="1" t="n">
        <v>45425.96517361111</v>
      </c>
      <c r="C265" s="1" t="n">
        <v>46180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62243-2021</t>
        </is>
      </c>
      <c r="B266" s="1" t="n">
        <v>44503.32346064815</v>
      </c>
      <c r="C266" s="1" t="n">
        <v>46180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39654-2025</t>
        </is>
      </c>
      <c r="B267" s="1" t="n">
        <v>45890.61991898148</v>
      </c>
      <c r="C267" s="1" t="n">
        <v>46180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25535-2025</t>
        </is>
      </c>
      <c r="B268" s="1" t="n">
        <v>45803.40673611111</v>
      </c>
      <c r="C268" s="1" t="n">
        <v>46180</v>
      </c>
      <c r="D268" t="inlineStr">
        <is>
          <t>VÄSTERNORRLANDS LÄN</t>
        </is>
      </c>
      <c r="E268" t="inlineStr">
        <is>
          <t>KRAMFORS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22572-2025</t>
        </is>
      </c>
      <c r="B269" s="1" t="n">
        <v>45789</v>
      </c>
      <c r="C269" s="1" t="n">
        <v>46180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29565-2025</t>
        </is>
      </c>
      <c r="B270" s="1" t="n">
        <v>45825.36571759259</v>
      </c>
      <c r="C270" s="1" t="n">
        <v>46180</v>
      </c>
      <c r="D270" t="inlineStr">
        <is>
          <t>VÄSTERNORRLANDS LÄN</t>
        </is>
      </c>
      <c r="E270" t="inlineStr">
        <is>
          <t>KRAMFORS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2410-2025</t>
        </is>
      </c>
      <c r="B271" s="1" t="n">
        <v>45674.36216435185</v>
      </c>
      <c r="C271" s="1" t="n">
        <v>46180</v>
      </c>
      <c r="D271" t="inlineStr">
        <is>
          <t>VÄSTERNORRLANDS LÄN</t>
        </is>
      </c>
      <c r="E271" t="inlineStr">
        <is>
          <t>KRAMFORS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60916-2022</t>
        </is>
      </c>
      <c r="B272" s="1" t="n">
        <v>44908</v>
      </c>
      <c r="C272" s="1" t="n">
        <v>46180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39714-2025</t>
        </is>
      </c>
      <c r="B273" s="1" t="n">
        <v>45890.95637731482</v>
      </c>
      <c r="C273" s="1" t="n">
        <v>46180</v>
      </c>
      <c r="D273" t="inlineStr">
        <is>
          <t>VÄSTERNORRLANDS LÄN</t>
        </is>
      </c>
      <c r="E273" t="inlineStr">
        <is>
          <t>KRAMFORS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25574-2025</t>
        </is>
      </c>
      <c r="B274" s="1" t="n">
        <v>45803</v>
      </c>
      <c r="C274" s="1" t="n">
        <v>46180</v>
      </c>
      <c r="D274" t="inlineStr">
        <is>
          <t>VÄSTERNORRLANDS LÄN</t>
        </is>
      </c>
      <c r="E274" t="inlineStr">
        <is>
          <t>KRAMFORS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37160-2025</t>
        </is>
      </c>
      <c r="B275" s="1" t="n">
        <v>45875</v>
      </c>
      <c r="C275" s="1" t="n">
        <v>46180</v>
      </c>
      <c r="D275" t="inlineStr">
        <is>
          <t>VÄSTERNORRLANDS LÄN</t>
        </is>
      </c>
      <c r="E275" t="inlineStr">
        <is>
          <t>KRAMFORS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17461-2023</t>
        </is>
      </c>
      <c r="B276" s="1" t="n">
        <v>45036.33818287037</v>
      </c>
      <c r="C276" s="1" t="n">
        <v>46180</v>
      </c>
      <c r="D276" t="inlineStr">
        <is>
          <t>VÄSTERNORRLANDS LÄN</t>
        </is>
      </c>
      <c r="E276" t="inlineStr">
        <is>
          <t>KRAMFORS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43440-2022</t>
        </is>
      </c>
      <c r="B277" s="1" t="n">
        <v>44834.95118055555</v>
      </c>
      <c r="C277" s="1" t="n">
        <v>46180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516-2025</t>
        </is>
      </c>
      <c r="B278" s="1" t="n">
        <v>45664.47753472222</v>
      </c>
      <c r="C278" s="1" t="n">
        <v>46180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40379-2025</t>
        </is>
      </c>
      <c r="B279" s="1" t="n">
        <v>45895.53292824074</v>
      </c>
      <c r="C279" s="1" t="n">
        <v>46180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30456-2024</t>
        </is>
      </c>
      <c r="B280" s="1" t="n">
        <v>45491.94521990741</v>
      </c>
      <c r="C280" s="1" t="n">
        <v>46180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5457-2023</t>
        </is>
      </c>
      <c r="B281" s="1" t="n">
        <v>44959.94081018519</v>
      </c>
      <c r="C281" s="1" t="n">
        <v>46180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40514-2025</t>
        </is>
      </c>
      <c r="B282" s="1" t="n">
        <v>45896.35221064815</v>
      </c>
      <c r="C282" s="1" t="n">
        <v>46180</v>
      </c>
      <c r="D282" t="inlineStr">
        <is>
          <t>VÄSTERNORRLANDS LÄN</t>
        </is>
      </c>
      <c r="E282" t="inlineStr">
        <is>
          <t>KRAMFORS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26134-2025</t>
        </is>
      </c>
      <c r="B283" s="1" t="n">
        <v>45805.41204861111</v>
      </c>
      <c r="C283" s="1" t="n">
        <v>46180</v>
      </c>
      <c r="D283" t="inlineStr">
        <is>
          <t>VÄSTERNORRLANDS LÄN</t>
        </is>
      </c>
      <c r="E283" t="inlineStr">
        <is>
          <t>KRAMFORS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26137-2025</t>
        </is>
      </c>
      <c r="B284" s="1" t="n">
        <v>45805.41479166667</v>
      </c>
      <c r="C284" s="1" t="n">
        <v>46180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40637-2025</t>
        </is>
      </c>
      <c r="B285" s="1" t="n">
        <v>45896.6050462963</v>
      </c>
      <c r="C285" s="1" t="n">
        <v>46180</v>
      </c>
      <c r="D285" t="inlineStr">
        <is>
          <t>VÄSTERNORRLANDS LÄN</t>
        </is>
      </c>
      <c r="E285" t="inlineStr">
        <is>
          <t>KRAMFORS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52002-2022</t>
        </is>
      </c>
      <c r="B286" s="1" t="n">
        <v>44872</v>
      </c>
      <c r="C286" s="1" t="n">
        <v>46180</v>
      </c>
      <c r="D286" t="inlineStr">
        <is>
          <t>VÄSTERNORRLANDS LÄN</t>
        </is>
      </c>
      <c r="E286" t="inlineStr">
        <is>
          <t>KRAMFORS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18187-2024</t>
        </is>
      </c>
      <c r="B287" s="1" t="n">
        <v>45420</v>
      </c>
      <c r="C287" s="1" t="n">
        <v>46180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41033-2025</t>
        </is>
      </c>
      <c r="B288" s="1" t="n">
        <v>45898.37877314815</v>
      </c>
      <c r="C288" s="1" t="n">
        <v>46180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27709-2024</t>
        </is>
      </c>
      <c r="B289" s="1" t="n">
        <v>45475</v>
      </c>
      <c r="C289" s="1" t="n">
        <v>46180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26210-2025</t>
        </is>
      </c>
      <c r="B290" s="1" t="n">
        <v>45805.53760416667</v>
      </c>
      <c r="C290" s="1" t="n">
        <v>46180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26167-2025</t>
        </is>
      </c>
      <c r="B291" s="1" t="n">
        <v>45805.45850694444</v>
      </c>
      <c r="C291" s="1" t="n">
        <v>46180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26125-2025</t>
        </is>
      </c>
      <c r="B292" s="1" t="n">
        <v>45805.39251157407</v>
      </c>
      <c r="C292" s="1" t="n">
        <v>46180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41040-2025</t>
        </is>
      </c>
      <c r="B293" s="1" t="n">
        <v>45898.39055555555</v>
      </c>
      <c r="C293" s="1" t="n">
        <v>46180</v>
      </c>
      <c r="D293" t="inlineStr">
        <is>
          <t>VÄSTERNORRLANDS LÄN</t>
        </is>
      </c>
      <c r="E293" t="inlineStr">
        <is>
          <t>KRAMFORS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41062-2025</t>
        </is>
      </c>
      <c r="B294" s="1" t="n">
        <v>45898.40746527778</v>
      </c>
      <c r="C294" s="1" t="n">
        <v>46180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5145-2023</t>
        </is>
      </c>
      <c r="B295" s="1" t="n">
        <v>44958</v>
      </c>
      <c r="C295" s="1" t="n">
        <v>46180</v>
      </c>
      <c r="D295" t="inlineStr">
        <is>
          <t>VÄSTERNORRLANDS LÄN</t>
        </is>
      </c>
      <c r="E295" t="inlineStr">
        <is>
          <t>KRAMFORS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5151-2023</t>
        </is>
      </c>
      <c r="B296" s="1" t="n">
        <v>44958</v>
      </c>
      <c r="C296" s="1" t="n">
        <v>46180</v>
      </c>
      <c r="D296" t="inlineStr">
        <is>
          <t>VÄSTERNORRLANDS LÄN</t>
        </is>
      </c>
      <c r="E296" t="inlineStr">
        <is>
          <t>KRAMFORS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41121-2025</t>
        </is>
      </c>
      <c r="B297" s="1" t="n">
        <v>45898.46915509259</v>
      </c>
      <c r="C297" s="1" t="n">
        <v>46180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60424-2024</t>
        </is>
      </c>
      <c r="B298" s="1" t="n">
        <v>45643</v>
      </c>
      <c r="C298" s="1" t="n">
        <v>46180</v>
      </c>
      <c r="D298" t="inlineStr">
        <is>
          <t>VÄSTERNORRLANDS LÄN</t>
        </is>
      </c>
      <c r="E298" t="inlineStr">
        <is>
          <t>KRAMFORS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26219-2025</t>
        </is>
      </c>
      <c r="B299" s="1" t="n">
        <v>45805.55023148148</v>
      </c>
      <c r="C299" s="1" t="n">
        <v>46180</v>
      </c>
      <c r="D299" t="inlineStr">
        <is>
          <t>VÄSTERNORRLANDS LÄN</t>
        </is>
      </c>
      <c r="E299" t="inlineStr">
        <is>
          <t>KRAMFORS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41045-2025</t>
        </is>
      </c>
      <c r="B300" s="1" t="n">
        <v>45898.39587962963</v>
      </c>
      <c r="C300" s="1" t="n">
        <v>46180</v>
      </c>
      <c r="D300" t="inlineStr">
        <is>
          <t>VÄSTERNORRLANDS LÄN</t>
        </is>
      </c>
      <c r="E300" t="inlineStr">
        <is>
          <t>KRAMFORS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44258-2021</t>
        </is>
      </c>
      <c r="B301" s="1" t="n">
        <v>44434</v>
      </c>
      <c r="C301" s="1" t="n">
        <v>46180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33296-2024</t>
        </is>
      </c>
      <c r="B302" s="1" t="n">
        <v>45518</v>
      </c>
      <c r="C302" s="1" t="n">
        <v>46180</v>
      </c>
      <c r="D302" t="inlineStr">
        <is>
          <t>VÄSTERNORRLANDS LÄN</t>
        </is>
      </c>
      <c r="E302" t="inlineStr">
        <is>
          <t>KRAMFORS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26716-2025</t>
        </is>
      </c>
      <c r="B303" s="1" t="n">
        <v>45810.47481481481</v>
      </c>
      <c r="C303" s="1" t="n">
        <v>46180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40109-2025</t>
        </is>
      </c>
      <c r="B304" s="1" t="n">
        <v>45894</v>
      </c>
      <c r="C304" s="1" t="n">
        <v>46180</v>
      </c>
      <c r="D304" t="inlineStr">
        <is>
          <t>VÄSTERNORRLANDS LÄN</t>
        </is>
      </c>
      <c r="E304" t="inlineStr">
        <is>
          <t>KRAMFORS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8727-2025</t>
        </is>
      </c>
      <c r="B305" s="1" t="n">
        <v>45712.51872685185</v>
      </c>
      <c r="C305" s="1" t="n">
        <v>46180</v>
      </c>
      <c r="D305" t="inlineStr">
        <is>
          <t>VÄSTERNORRLANDS LÄN</t>
        </is>
      </c>
      <c r="E305" t="inlineStr">
        <is>
          <t>KRAMFORS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41012-2025</t>
        </is>
      </c>
      <c r="B306" s="1" t="n">
        <v>45898.35673611111</v>
      </c>
      <c r="C306" s="1" t="n">
        <v>46180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454-2025</t>
        </is>
      </c>
      <c r="B307" s="1" t="n">
        <v>45664.40201388889</v>
      </c>
      <c r="C307" s="1" t="n">
        <v>46180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26125-2024</t>
        </is>
      </c>
      <c r="B308" s="1" t="n">
        <v>45468</v>
      </c>
      <c r="C308" s="1" t="n">
        <v>46180</v>
      </c>
      <c r="D308" t="inlineStr">
        <is>
          <t>VÄSTERNORRLANDS LÄN</t>
        </is>
      </c>
      <c r="E308" t="inlineStr">
        <is>
          <t>KRAMFORS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46180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46180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11042-2023</t>
        </is>
      </c>
      <c r="B311" s="1" t="n">
        <v>44991</v>
      </c>
      <c r="C311" s="1" t="n">
        <v>46180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41483-2025</t>
        </is>
      </c>
      <c r="B312" s="1" t="n">
        <v>45901</v>
      </c>
      <c r="C312" s="1" t="n">
        <v>46180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12951-2025</t>
        </is>
      </c>
      <c r="B313" s="1" t="n">
        <v>45734.39931712963</v>
      </c>
      <c r="C313" s="1" t="n">
        <v>46180</v>
      </c>
      <c r="D313" t="inlineStr">
        <is>
          <t>VÄSTERNORRLANDS LÄN</t>
        </is>
      </c>
      <c r="E313" t="inlineStr">
        <is>
          <t>KRAMFORS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41556-2025</t>
        </is>
      </c>
      <c r="B314" s="1" t="n">
        <v>45901.59267361111</v>
      </c>
      <c r="C314" s="1" t="n">
        <v>46180</v>
      </c>
      <c r="D314" t="inlineStr">
        <is>
          <t>VÄSTERNORRLANDS LÄN</t>
        </is>
      </c>
      <c r="E314" t="inlineStr">
        <is>
          <t>KRAMFORS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41476-2025</t>
        </is>
      </c>
      <c r="B315" s="1" t="n">
        <v>45901.46986111111</v>
      </c>
      <c r="C315" s="1" t="n">
        <v>46180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11289-2022</t>
        </is>
      </c>
      <c r="B316" s="1" t="n">
        <v>44629</v>
      </c>
      <c r="C316" s="1" t="n">
        <v>46180</v>
      </c>
      <c r="D316" t="inlineStr">
        <is>
          <t>VÄSTERNORRLANDS LÄN</t>
        </is>
      </c>
      <c r="E316" t="inlineStr">
        <is>
          <t>KRAMFORS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3083-2025</t>
        </is>
      </c>
      <c r="B317" s="1" t="n">
        <v>45678.64456018519</v>
      </c>
      <c r="C317" s="1" t="n">
        <v>46180</v>
      </c>
      <c r="D317" t="inlineStr">
        <is>
          <t>VÄSTERNORRLANDS LÄN</t>
        </is>
      </c>
      <c r="E317" t="inlineStr">
        <is>
          <t>KRAMFORS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41314-2025</t>
        </is>
      </c>
      <c r="B318" s="1" t="n">
        <v>45898.82679398148</v>
      </c>
      <c r="C318" s="1" t="n">
        <v>46180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41316-2025</t>
        </is>
      </c>
      <c r="B319" s="1" t="n">
        <v>45898.82736111111</v>
      </c>
      <c r="C319" s="1" t="n">
        <v>46180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41557-2025</t>
        </is>
      </c>
      <c r="B320" s="1" t="n">
        <v>45901.59296296296</v>
      </c>
      <c r="C320" s="1" t="n">
        <v>46180</v>
      </c>
      <c r="D320" t="inlineStr">
        <is>
          <t>VÄSTERNORRLANDS LÄN</t>
        </is>
      </c>
      <c r="E320" t="inlineStr">
        <is>
          <t>KRAMFORS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72825-2021</t>
        </is>
      </c>
      <c r="B321" s="1" t="n">
        <v>44546</v>
      </c>
      <c r="C321" s="1" t="n">
        <v>46180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46180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5349-2023</t>
        </is>
      </c>
      <c r="B323" s="1" t="n">
        <v>44956</v>
      </c>
      <c r="C323" s="1" t="n">
        <v>46180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41318-2025</t>
        </is>
      </c>
      <c r="B324" s="1" t="n">
        <v>45898.8330787037</v>
      </c>
      <c r="C324" s="1" t="n">
        <v>46180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16166-2025</t>
        </is>
      </c>
      <c r="B325" s="1" t="n">
        <v>45750.50871527778</v>
      </c>
      <c r="C325" s="1" t="n">
        <v>46180</v>
      </c>
      <c r="D325" t="inlineStr">
        <is>
          <t>VÄSTERNORRLANDS LÄN</t>
        </is>
      </c>
      <c r="E325" t="inlineStr">
        <is>
          <t>KRAMFORS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16167-2025</t>
        </is>
      </c>
      <c r="B326" s="1" t="n">
        <v>45750.51447916667</v>
      </c>
      <c r="C326" s="1" t="n">
        <v>46180</v>
      </c>
      <c r="D326" t="inlineStr">
        <is>
          <t>VÄSTERNORRLANDS LÄN</t>
        </is>
      </c>
      <c r="E326" t="inlineStr">
        <is>
          <t>KRAMFORS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48824-2024</t>
        </is>
      </c>
      <c r="B327" s="1" t="n">
        <v>45593.68525462963</v>
      </c>
      <c r="C327" s="1" t="n">
        <v>46180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448-2025</t>
        </is>
      </c>
      <c r="B328" s="1" t="n">
        <v>45664</v>
      </c>
      <c r="C328" s="1" t="n">
        <v>46180</v>
      </c>
      <c r="D328" t="inlineStr">
        <is>
          <t>VÄSTERNORRLANDS LÄN</t>
        </is>
      </c>
      <c r="E328" t="inlineStr">
        <is>
          <t>KRAMFORS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41561-2025</t>
        </is>
      </c>
      <c r="B329" s="1" t="n">
        <v>45901.59648148148</v>
      </c>
      <c r="C329" s="1" t="n">
        <v>46180</v>
      </c>
      <c r="D329" t="inlineStr">
        <is>
          <t>VÄSTERNORRLANDS LÄN</t>
        </is>
      </c>
      <c r="E329" t="inlineStr">
        <is>
          <t>KRAMFORS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62003-2024</t>
        </is>
      </c>
      <c r="B330" s="1" t="n">
        <v>45654.98542824074</v>
      </c>
      <c r="C330" s="1" t="n">
        <v>46180</v>
      </c>
      <c r="D330" t="inlineStr">
        <is>
          <t>VÄSTERNORRLANDS LÄN</t>
        </is>
      </c>
      <c r="E330" t="inlineStr">
        <is>
          <t>KRAMFORS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42275-2025</t>
        </is>
      </c>
      <c r="B331" s="1" t="n">
        <v>45904.61407407407</v>
      </c>
      <c r="C331" s="1" t="n">
        <v>46180</v>
      </c>
      <c r="D331" t="inlineStr">
        <is>
          <t>VÄSTERNORRLANDS LÄN</t>
        </is>
      </c>
      <c r="E331" t="inlineStr">
        <is>
          <t>KRAMFORS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11231-2025</t>
        </is>
      </c>
      <c r="B332" s="1" t="n">
        <v>45726</v>
      </c>
      <c r="C332" s="1" t="n">
        <v>46180</v>
      </c>
      <c r="D332" t="inlineStr">
        <is>
          <t>VÄSTERNORRLANDS LÄN</t>
        </is>
      </c>
      <c r="E332" t="inlineStr">
        <is>
          <t>KRAMFORS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16599-2025</t>
        </is>
      </c>
      <c r="B333" s="1" t="n">
        <v>45753.51782407407</v>
      </c>
      <c r="C333" s="1" t="n">
        <v>46180</v>
      </c>
      <c r="D333" t="inlineStr">
        <is>
          <t>VÄSTERNORRLANDS LÄN</t>
        </is>
      </c>
      <c r="E333" t="inlineStr">
        <is>
          <t>KRAMFORS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21434-2025</t>
        </is>
      </c>
      <c r="B334" s="1" t="n">
        <v>45782.51702546296</v>
      </c>
      <c r="C334" s="1" t="n">
        <v>46180</v>
      </c>
      <c r="D334" t="inlineStr">
        <is>
          <t>VÄSTERNORRLANDS LÄN</t>
        </is>
      </c>
      <c r="E334" t="inlineStr">
        <is>
          <t>KRAMFORS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61984-2024</t>
        </is>
      </c>
      <c r="B335" s="1" t="n">
        <v>45653</v>
      </c>
      <c r="C335" s="1" t="n">
        <v>46180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42212-2025</t>
        </is>
      </c>
      <c r="B336" s="1" t="n">
        <v>45904.5038425926</v>
      </c>
      <c r="C336" s="1" t="n">
        <v>46180</v>
      </c>
      <c r="D336" t="inlineStr">
        <is>
          <t>VÄSTERNORRLANDS LÄN</t>
        </is>
      </c>
      <c r="E336" t="inlineStr">
        <is>
          <t>KRAMFORS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64596-2023</t>
        </is>
      </c>
      <c r="B337" s="1" t="n">
        <v>45281</v>
      </c>
      <c r="C337" s="1" t="n">
        <v>46180</v>
      </c>
      <c r="D337" t="inlineStr">
        <is>
          <t>VÄSTERNORRLANDS LÄN</t>
        </is>
      </c>
      <c r="E337" t="inlineStr">
        <is>
          <t>KRAMFORS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32513-2024</t>
        </is>
      </c>
      <c r="B338" s="1" t="n">
        <v>45513.45640046296</v>
      </c>
      <c r="C338" s="1" t="n">
        <v>46180</v>
      </c>
      <c r="D338" t="inlineStr">
        <is>
          <t>VÄSTERNORRLANDS LÄN</t>
        </is>
      </c>
      <c r="E338" t="inlineStr">
        <is>
          <t>KRAMFORS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5358-2023</t>
        </is>
      </c>
      <c r="B339" s="1" t="n">
        <v>44956</v>
      </c>
      <c r="C339" s="1" t="n">
        <v>46180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3437-2026</t>
        </is>
      </c>
      <c r="B340" s="1" t="n">
        <v>46042</v>
      </c>
      <c r="C340" s="1" t="n">
        <v>46180</v>
      </c>
      <c r="D340" t="inlineStr">
        <is>
          <t>VÄSTERNORRLANDS LÄN</t>
        </is>
      </c>
      <c r="E340" t="inlineStr">
        <is>
          <t>KRAMFORS</t>
        </is>
      </c>
      <c r="G340" t="n">
        <v>17.9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3462-2024</t>
        </is>
      </c>
      <c r="B341" s="1" t="n">
        <v>45320</v>
      </c>
      <c r="C341" s="1" t="n">
        <v>46180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39128-2025</t>
        </is>
      </c>
      <c r="B342" s="1" t="n">
        <v>45884</v>
      </c>
      <c r="C342" s="1" t="n">
        <v>46180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54178-2023</t>
        </is>
      </c>
      <c r="B343" s="1" t="n">
        <v>45225</v>
      </c>
      <c r="C343" s="1" t="n">
        <v>46180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35646-2025</t>
        </is>
      </c>
      <c r="B344" s="1" t="n">
        <v>45859.49032407408</v>
      </c>
      <c r="C344" s="1" t="n">
        <v>46180</v>
      </c>
      <c r="D344" t="inlineStr">
        <is>
          <t>VÄSTERNORRLANDS LÄN</t>
        </is>
      </c>
      <c r="E344" t="inlineStr">
        <is>
          <t>KRAMFORS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56933-2022</t>
        </is>
      </c>
      <c r="B345" s="1" t="n">
        <v>44888</v>
      </c>
      <c r="C345" s="1" t="n">
        <v>46180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46180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2158-2026</t>
        </is>
      </c>
      <c r="B347" s="1" t="n">
        <v>46036</v>
      </c>
      <c r="C347" s="1" t="n">
        <v>46180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46180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46180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3103-2026</t>
        </is>
      </c>
      <c r="B350" s="1" t="n">
        <v>46041.34416666667</v>
      </c>
      <c r="C350" s="1" t="n">
        <v>46180</v>
      </c>
      <c r="D350" t="inlineStr">
        <is>
          <t>VÄSTERNORRLANDS LÄN</t>
        </is>
      </c>
      <c r="E350" t="inlineStr">
        <is>
          <t>KRAMFORS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27551-2025</t>
        </is>
      </c>
      <c r="B351" s="1" t="n">
        <v>45813.47011574074</v>
      </c>
      <c r="C351" s="1" t="n">
        <v>46180</v>
      </c>
      <c r="D351" t="inlineStr">
        <is>
          <t>VÄSTERNORRLANDS LÄN</t>
        </is>
      </c>
      <c r="E351" t="inlineStr">
        <is>
          <t>KRAMFORS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3196-2026</t>
        </is>
      </c>
      <c r="B352" s="1" t="n">
        <v>46041.47315972222</v>
      </c>
      <c r="C352" s="1" t="n">
        <v>46180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3205-2026</t>
        </is>
      </c>
      <c r="B353" s="1" t="n">
        <v>46041.48511574074</v>
      </c>
      <c r="C353" s="1" t="n">
        <v>46180</v>
      </c>
      <c r="D353" t="inlineStr">
        <is>
          <t>VÄSTERNORRLANDS LÄN</t>
        </is>
      </c>
      <c r="E353" t="inlineStr">
        <is>
          <t>KRAMFORS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3129-2026</t>
        </is>
      </c>
      <c r="B354" s="1" t="n">
        <v>46041</v>
      </c>
      <c r="C354" s="1" t="n">
        <v>46180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27693-2025</t>
        </is>
      </c>
      <c r="B355" s="1" t="n">
        <v>45813.65706018519</v>
      </c>
      <c r="C355" s="1" t="n">
        <v>46180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3157-2026</t>
        </is>
      </c>
      <c r="B356" s="1" t="n">
        <v>46041.43114583333</v>
      </c>
      <c r="C356" s="1" t="n">
        <v>46180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3684-2026</t>
        </is>
      </c>
      <c r="B357" s="1" t="n">
        <v>46043.43609953704</v>
      </c>
      <c r="C357" s="1" t="n">
        <v>46180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3716-2026</t>
        </is>
      </c>
      <c r="B358" s="1" t="n">
        <v>46043.49085648148</v>
      </c>
      <c r="C358" s="1" t="n">
        <v>46180</v>
      </c>
      <c r="D358" t="inlineStr">
        <is>
          <t>VÄSTERNORRLANDS LÄN</t>
        </is>
      </c>
      <c r="E358" t="inlineStr">
        <is>
          <t>KRAMFORS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4010-2026</t>
        </is>
      </c>
      <c r="B359" s="1" t="n">
        <v>46044.40854166666</v>
      </c>
      <c r="C359" s="1" t="n">
        <v>46180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27577-2025</t>
        </is>
      </c>
      <c r="B360" s="1" t="n">
        <v>45813.49097222222</v>
      </c>
      <c r="C360" s="1" t="n">
        <v>46180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19124-2025</t>
        </is>
      </c>
      <c r="B361" s="1" t="n">
        <v>45768.85393518519</v>
      </c>
      <c r="C361" s="1" t="n">
        <v>46180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4049-2026</t>
        </is>
      </c>
      <c r="B362" s="1" t="n">
        <v>46044.47206018519</v>
      </c>
      <c r="C362" s="1" t="n">
        <v>46180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3703-2026</t>
        </is>
      </c>
      <c r="B363" s="1" t="n">
        <v>46043.47327546297</v>
      </c>
      <c r="C363" s="1" t="n">
        <v>46180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4159-2026</t>
        </is>
      </c>
      <c r="B364" s="1" t="n">
        <v>46044</v>
      </c>
      <c r="C364" s="1" t="n">
        <v>46180</v>
      </c>
      <c r="D364" t="inlineStr">
        <is>
          <t>VÄSTERNORRLANDS LÄN</t>
        </is>
      </c>
      <c r="E364" t="inlineStr">
        <is>
          <t>KRAMFORS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34642-2024</t>
        </is>
      </c>
      <c r="B365" s="1" t="n">
        <v>45526</v>
      </c>
      <c r="C365" s="1" t="n">
        <v>46180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3681-2026</t>
        </is>
      </c>
      <c r="B366" s="1" t="n">
        <v>46043.4303125</v>
      </c>
      <c r="C366" s="1" t="n">
        <v>46180</v>
      </c>
      <c r="D366" t="inlineStr">
        <is>
          <t>VÄSTERNORRLANDS LÄN</t>
        </is>
      </c>
      <c r="E366" t="inlineStr">
        <is>
          <t>KRAMFORS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3718-2026</t>
        </is>
      </c>
      <c r="B367" s="1" t="n">
        <v>46043</v>
      </c>
      <c r="C367" s="1" t="n">
        <v>46180</v>
      </c>
      <c r="D367" t="inlineStr">
        <is>
          <t>VÄSTERNORRLANDS LÄN</t>
        </is>
      </c>
      <c r="E367" t="inlineStr">
        <is>
          <t>KRAMFORS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3678-2026</t>
        </is>
      </c>
      <c r="B368" s="1" t="n">
        <v>46043</v>
      </c>
      <c r="C368" s="1" t="n">
        <v>46180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28160-2025</t>
        </is>
      </c>
      <c r="B369" s="1" t="n">
        <v>45818.36568287037</v>
      </c>
      <c r="C369" s="1" t="n">
        <v>46180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18644-2025</t>
        </is>
      </c>
      <c r="B370" s="1" t="n">
        <v>45763.57344907407</v>
      </c>
      <c r="C370" s="1" t="n">
        <v>46180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28.7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4038-2026</t>
        </is>
      </c>
      <c r="B371" s="1" t="n">
        <v>46044.4519212963</v>
      </c>
      <c r="C371" s="1" t="n">
        <v>46180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46180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12539-2022</t>
        </is>
      </c>
      <c r="B373" s="1" t="n">
        <v>44638</v>
      </c>
      <c r="C373" s="1" t="n">
        <v>46180</v>
      </c>
      <c r="D373" t="inlineStr">
        <is>
          <t>VÄSTERNORRLANDS LÄN</t>
        </is>
      </c>
      <c r="E373" t="inlineStr">
        <is>
          <t>KRAMFORS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43029-2025</t>
        </is>
      </c>
      <c r="B374" s="1" t="n">
        <v>45909.5356712963</v>
      </c>
      <c r="C374" s="1" t="n">
        <v>46180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42951-2025</t>
        </is>
      </c>
      <c r="B375" s="1" t="n">
        <v>45909.35418981482</v>
      </c>
      <c r="C375" s="1" t="n">
        <v>46180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42952-2025</t>
        </is>
      </c>
      <c r="B376" s="1" t="n">
        <v>45909.35461805556</v>
      </c>
      <c r="C376" s="1" t="n">
        <v>46180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42962-2025</t>
        </is>
      </c>
      <c r="B377" s="1" t="n">
        <v>45909.36797453704</v>
      </c>
      <c r="C377" s="1" t="n">
        <v>46180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46180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28175-2025</t>
        </is>
      </c>
      <c r="B379" s="1" t="n">
        <v>45818</v>
      </c>
      <c r="C379" s="1" t="n">
        <v>46180</v>
      </c>
      <c r="D379" t="inlineStr">
        <is>
          <t>VÄSTERNORRLANDS LÄN</t>
        </is>
      </c>
      <c r="E379" t="inlineStr">
        <is>
          <t>KRAMFORS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42950-2025</t>
        </is>
      </c>
      <c r="B380" s="1" t="n">
        <v>45909.35394675926</v>
      </c>
      <c r="C380" s="1" t="n">
        <v>46180</v>
      </c>
      <c r="D380" t="inlineStr">
        <is>
          <t>VÄSTERNORRLANDS LÄN</t>
        </is>
      </c>
      <c r="E380" t="inlineStr">
        <is>
          <t>KRAMFORS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12411-2025</t>
        </is>
      </c>
      <c r="B381" s="1" t="n">
        <v>45730.43614583334</v>
      </c>
      <c r="C381" s="1" t="n">
        <v>46180</v>
      </c>
      <c r="D381" t="inlineStr">
        <is>
          <t>VÄSTERNORRLANDS LÄN</t>
        </is>
      </c>
      <c r="E381" t="inlineStr">
        <is>
          <t>KRAMFORS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4551-2026</t>
        </is>
      </c>
      <c r="B382" s="1" t="n">
        <v>46047</v>
      </c>
      <c r="C382" s="1" t="n">
        <v>46180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4552-2026</t>
        </is>
      </c>
      <c r="B383" s="1" t="n">
        <v>46047.57333333333</v>
      </c>
      <c r="C383" s="1" t="n">
        <v>46180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28423-2025</t>
        </is>
      </c>
      <c r="B384" s="1" t="n">
        <v>45819.36415509259</v>
      </c>
      <c r="C384" s="1" t="n">
        <v>46180</v>
      </c>
      <c r="D384" t="inlineStr">
        <is>
          <t>VÄSTERNORRLANDS LÄN</t>
        </is>
      </c>
      <c r="E384" t="inlineStr">
        <is>
          <t>KRAMFORS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28709-2025</t>
        </is>
      </c>
      <c r="B385" s="1" t="n">
        <v>45820.31811342593</v>
      </c>
      <c r="C385" s="1" t="n">
        <v>46180</v>
      </c>
      <c r="D385" t="inlineStr">
        <is>
          <t>VÄSTERNORRLANDS LÄN</t>
        </is>
      </c>
      <c r="E385" t="inlineStr">
        <is>
          <t>KRAMFORS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43708-2024</t>
        </is>
      </c>
      <c r="B386" s="1" t="n">
        <v>45569</v>
      </c>
      <c r="C386" s="1" t="n">
        <v>46180</v>
      </c>
      <c r="D386" t="inlineStr">
        <is>
          <t>VÄSTERNORRLANDS LÄN</t>
        </is>
      </c>
      <c r="E386" t="inlineStr">
        <is>
          <t>KRAMFORS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4272-2024</t>
        </is>
      </c>
      <c r="B387" s="1" t="n">
        <v>45324</v>
      </c>
      <c r="C387" s="1" t="n">
        <v>46180</v>
      </c>
      <c r="D387" t="inlineStr">
        <is>
          <t>VÄSTERNORRLANDS LÄN</t>
        </is>
      </c>
      <c r="E387" t="inlineStr">
        <is>
          <t>KRAMFORS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19463-2025</t>
        </is>
      </c>
      <c r="B388" s="1" t="n">
        <v>45770</v>
      </c>
      <c r="C388" s="1" t="n">
        <v>46180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28692-2025</t>
        </is>
      </c>
      <c r="B389" s="1" t="n">
        <v>45819.80699074074</v>
      </c>
      <c r="C389" s="1" t="n">
        <v>46180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3735-2026</t>
        </is>
      </c>
      <c r="B390" s="1" t="n">
        <v>46043</v>
      </c>
      <c r="C390" s="1" t="n">
        <v>46180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4879-2026</t>
        </is>
      </c>
      <c r="B391" s="1" t="n">
        <v>46048.65667824074</v>
      </c>
      <c r="C391" s="1" t="n">
        <v>46180</v>
      </c>
      <c r="D391" t="inlineStr">
        <is>
          <t>VÄSTERNORRLANDS LÄN</t>
        </is>
      </c>
      <c r="E391" t="inlineStr">
        <is>
          <t>KRAMFORS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29742-2025</t>
        </is>
      </c>
      <c r="B392" s="1" t="n">
        <v>45825.5937037037</v>
      </c>
      <c r="C392" s="1" t="n">
        <v>46180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29567-2025</t>
        </is>
      </c>
      <c r="B393" s="1" t="n">
        <v>45825.36577546296</v>
      </c>
      <c r="C393" s="1" t="n">
        <v>46180</v>
      </c>
      <c r="D393" t="inlineStr">
        <is>
          <t>VÄSTERNORRLANDS LÄN</t>
        </is>
      </c>
      <c r="E393" t="inlineStr">
        <is>
          <t>KRAMFORS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7102-2026</t>
        </is>
      </c>
      <c r="B394" s="1" t="n">
        <v>46057</v>
      </c>
      <c r="C394" s="1" t="n">
        <v>46180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56753-2022</t>
        </is>
      </c>
      <c r="B395" s="1" t="n">
        <v>44894</v>
      </c>
      <c r="C395" s="1" t="n">
        <v>46180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29551-2025</t>
        </is>
      </c>
      <c r="B396" s="1" t="n">
        <v>45825.34574074074</v>
      </c>
      <c r="C396" s="1" t="n">
        <v>46180</v>
      </c>
      <c r="D396" t="inlineStr">
        <is>
          <t>VÄSTERNORRLANDS LÄN</t>
        </is>
      </c>
      <c r="E396" t="inlineStr">
        <is>
          <t>KRAMFORS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41650-2025</t>
        </is>
      </c>
      <c r="B397" s="1" t="n">
        <v>45902</v>
      </c>
      <c r="C397" s="1" t="n">
        <v>46180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29990-2025</t>
        </is>
      </c>
      <c r="B398" s="1" t="n">
        <v>45826.50177083333</v>
      </c>
      <c r="C398" s="1" t="n">
        <v>46180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46180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46180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46180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43864-2025</t>
        </is>
      </c>
      <c r="B402" s="1" t="n">
        <v>45912.65693287037</v>
      </c>
      <c r="C402" s="1" t="n">
        <v>46180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29679-2025</t>
        </is>
      </c>
      <c r="B403" s="1" t="n">
        <v>45825.50856481482</v>
      </c>
      <c r="C403" s="1" t="n">
        <v>46180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4528-2026</t>
        </is>
      </c>
      <c r="B404" s="1" t="n">
        <v>46046.65663194445</v>
      </c>
      <c r="C404" s="1" t="n">
        <v>46180</v>
      </c>
      <c r="D404" t="inlineStr">
        <is>
          <t>VÄSTERNORRLANDS LÄN</t>
        </is>
      </c>
      <c r="E404" t="inlineStr">
        <is>
          <t>KRAMFORS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29839-2025</t>
        </is>
      </c>
      <c r="B405" s="1" t="n">
        <v>45826.27971064814</v>
      </c>
      <c r="C405" s="1" t="n">
        <v>46180</v>
      </c>
      <c r="D405" t="inlineStr">
        <is>
          <t>VÄSTERNORRLANDS LÄN</t>
        </is>
      </c>
      <c r="E405" t="inlineStr">
        <is>
          <t>KRAMFORS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43395-2025</t>
        </is>
      </c>
      <c r="B406" s="1" t="n">
        <v>45911.37043981482</v>
      </c>
      <c r="C406" s="1" t="n">
        <v>46180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46180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11021-2025</t>
        </is>
      </c>
      <c r="B408" s="1" t="n">
        <v>45723</v>
      </c>
      <c r="C408" s="1" t="n">
        <v>46180</v>
      </c>
      <c r="D408" t="inlineStr">
        <is>
          <t>VÄSTERNORRLANDS LÄN</t>
        </is>
      </c>
      <c r="E408" t="inlineStr">
        <is>
          <t>KRAMFORS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43784-2025</t>
        </is>
      </c>
      <c r="B409" s="1" t="n">
        <v>45912</v>
      </c>
      <c r="C409" s="1" t="n">
        <v>46180</v>
      </c>
      <c r="D409" t="inlineStr">
        <is>
          <t>VÄSTERNORRLANDS LÄN</t>
        </is>
      </c>
      <c r="E409" t="inlineStr">
        <is>
          <t>KRAMFORS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46180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46180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46180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46180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29680-2025</t>
        </is>
      </c>
      <c r="B414" s="1" t="n">
        <v>45825.5090625</v>
      </c>
      <c r="C414" s="1" t="n">
        <v>46180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4533-2026</t>
        </is>
      </c>
      <c r="B415" s="1" t="n">
        <v>46046.67739583334</v>
      </c>
      <c r="C415" s="1" t="n">
        <v>46180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4535-2026</t>
        </is>
      </c>
      <c r="B416" s="1" t="n">
        <v>46046.69825231482</v>
      </c>
      <c r="C416" s="1" t="n">
        <v>46180</v>
      </c>
      <c r="D416" t="inlineStr">
        <is>
          <t>VÄSTERNORRLANDS LÄN</t>
        </is>
      </c>
      <c r="E416" t="inlineStr">
        <is>
          <t>KRAMFORS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4555-2026</t>
        </is>
      </c>
      <c r="B417" s="1" t="n">
        <v>46047.59414351852</v>
      </c>
      <c r="C417" s="1" t="n">
        <v>46180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4556-2026</t>
        </is>
      </c>
      <c r="B418" s="1" t="n">
        <v>46047.59420138889</v>
      </c>
      <c r="C418" s="1" t="n">
        <v>46180</v>
      </c>
      <c r="D418" t="inlineStr">
        <is>
          <t>VÄSTERNORRLANDS LÄN</t>
        </is>
      </c>
      <c r="E418" t="inlineStr">
        <is>
          <t>KRAMFORS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44501-2025</t>
        </is>
      </c>
      <c r="B419" s="1" t="n">
        <v>45916.6775462963</v>
      </c>
      <c r="C419" s="1" t="n">
        <v>46180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29605-2025</t>
        </is>
      </c>
      <c r="B420" s="1" t="n">
        <v>45825.41890046297</v>
      </c>
      <c r="C420" s="1" t="n">
        <v>46180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29596-2025</t>
        </is>
      </c>
      <c r="B421" s="1" t="n">
        <v>45825.40684027778</v>
      </c>
      <c r="C421" s="1" t="n">
        <v>46180</v>
      </c>
      <c r="D421" t="inlineStr">
        <is>
          <t>VÄSTERNORRLANDS LÄN</t>
        </is>
      </c>
      <c r="E421" t="inlineStr">
        <is>
          <t>KRAMFORS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29607-2025</t>
        </is>
      </c>
      <c r="B422" s="1" t="n">
        <v>45825.41943287037</v>
      </c>
      <c r="C422" s="1" t="n">
        <v>46180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4764-2026</t>
        </is>
      </c>
      <c r="B423" s="1" t="n">
        <v>46048</v>
      </c>
      <c r="C423" s="1" t="n">
        <v>46180</v>
      </c>
      <c r="D423" t="inlineStr">
        <is>
          <t>VÄSTERNORRLANDS LÄN</t>
        </is>
      </c>
      <c r="E423" t="inlineStr">
        <is>
          <t>KRAMFORS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4773-2026</t>
        </is>
      </c>
      <c r="B424" s="1" t="n">
        <v>46048.54774305555</v>
      </c>
      <c r="C424" s="1" t="n">
        <v>46180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44509-2025</t>
        </is>
      </c>
      <c r="B425" s="1" t="n">
        <v>45916.68762731482</v>
      </c>
      <c r="C425" s="1" t="n">
        <v>46180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4961-2026</t>
        </is>
      </c>
      <c r="B426" s="1" t="n">
        <v>46049.31530092593</v>
      </c>
      <c r="C426" s="1" t="n">
        <v>46180</v>
      </c>
      <c r="D426" t="inlineStr">
        <is>
          <t>VÄSTERNORRLANDS LÄN</t>
        </is>
      </c>
      <c r="E426" t="inlineStr">
        <is>
          <t>KRAMFORS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5163-2026</t>
        </is>
      </c>
      <c r="B427" s="1" t="n">
        <v>46049</v>
      </c>
      <c r="C427" s="1" t="n">
        <v>46180</v>
      </c>
      <c r="D427" t="inlineStr">
        <is>
          <t>VÄSTERNORRLANDS LÄN</t>
        </is>
      </c>
      <c r="E427" t="inlineStr">
        <is>
          <t>KRAMFORS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30534-2025</t>
        </is>
      </c>
      <c r="B428" s="1" t="n">
        <v>45831.36513888889</v>
      </c>
      <c r="C428" s="1" t="n">
        <v>46180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30965-2025</t>
        </is>
      </c>
      <c r="B429" s="1" t="n">
        <v>45832.45153935185</v>
      </c>
      <c r="C429" s="1" t="n">
        <v>46180</v>
      </c>
      <c r="D429" t="inlineStr">
        <is>
          <t>VÄSTERNORRLANDS LÄN</t>
        </is>
      </c>
      <c r="E429" t="inlineStr">
        <is>
          <t>KRAMFORS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40875-2023</t>
        </is>
      </c>
      <c r="B430" s="1" t="n">
        <v>45173</v>
      </c>
      <c r="C430" s="1" t="n">
        <v>46180</v>
      </c>
      <c r="D430" t="inlineStr">
        <is>
          <t>VÄSTERNORRLANDS LÄN</t>
        </is>
      </c>
      <c r="E430" t="inlineStr">
        <is>
          <t>KRAMFORS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62224-2022</t>
        </is>
      </c>
      <c r="B431" s="1" t="n">
        <v>44916</v>
      </c>
      <c r="C431" s="1" t="n">
        <v>46180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3501-2023</t>
        </is>
      </c>
      <c r="B432" s="1" t="n">
        <v>44949</v>
      </c>
      <c r="C432" s="1" t="n">
        <v>46180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30855-2025</t>
        </is>
      </c>
      <c r="B433" s="1" t="n">
        <v>45831.87186342593</v>
      </c>
      <c r="C433" s="1" t="n">
        <v>46180</v>
      </c>
      <c r="D433" t="inlineStr">
        <is>
          <t>VÄSTERNORRLANDS LÄN</t>
        </is>
      </c>
      <c r="E433" t="inlineStr">
        <is>
          <t>KRAMFORS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30975-2025</t>
        </is>
      </c>
      <c r="B434" s="1" t="n">
        <v>45832.46407407407</v>
      </c>
      <c r="C434" s="1" t="n">
        <v>46180</v>
      </c>
      <c r="D434" t="inlineStr">
        <is>
          <t>VÄSTERNORRLANDS LÄN</t>
        </is>
      </c>
      <c r="E434" t="inlineStr">
        <is>
          <t>KRAMFORS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30896-2025</t>
        </is>
      </c>
      <c r="B435" s="1" t="n">
        <v>45832.34929398148</v>
      </c>
      <c r="C435" s="1" t="n">
        <v>46180</v>
      </c>
      <c r="D435" t="inlineStr">
        <is>
          <t>VÄSTERNORRLANDS LÄN</t>
        </is>
      </c>
      <c r="E435" t="inlineStr">
        <is>
          <t>KRAMFORS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45023-2025</t>
        </is>
      </c>
      <c r="B436" s="1" t="n">
        <v>45918.68762731482</v>
      </c>
      <c r="C436" s="1" t="n">
        <v>46180</v>
      </c>
      <c r="D436" t="inlineStr">
        <is>
          <t>VÄSTERNORRLANDS LÄN</t>
        </is>
      </c>
      <c r="E436" t="inlineStr">
        <is>
          <t>KRAMFORS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46180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46180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5095-2026</t>
        </is>
      </c>
      <c r="B439" s="1" t="n">
        <v>46049.55422453704</v>
      </c>
      <c r="C439" s="1" t="n">
        <v>46180</v>
      </c>
      <c r="D439" t="inlineStr">
        <is>
          <t>VÄSTERNORRLANDS LÄN</t>
        </is>
      </c>
      <c r="E439" t="inlineStr">
        <is>
          <t>KRAMFORS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5167-2026</t>
        </is>
      </c>
      <c r="B440" s="1" t="n">
        <v>46049.62803240741</v>
      </c>
      <c r="C440" s="1" t="n">
        <v>46180</v>
      </c>
      <c r="D440" t="inlineStr">
        <is>
          <t>VÄSTERNORRLANDS LÄN</t>
        </is>
      </c>
      <c r="E440" t="inlineStr">
        <is>
          <t>KRAMFORS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44829-2025</t>
        </is>
      </c>
      <c r="B441" s="1" t="n">
        <v>45918</v>
      </c>
      <c r="C441" s="1" t="n">
        <v>46180</v>
      </c>
      <c r="D441" t="inlineStr">
        <is>
          <t>VÄSTERNORRLANDS LÄN</t>
        </is>
      </c>
      <c r="E441" t="inlineStr">
        <is>
          <t>KRAMFORS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30856-2025</t>
        </is>
      </c>
      <c r="B442" s="1" t="n">
        <v>45831.89184027778</v>
      </c>
      <c r="C442" s="1" t="n">
        <v>46180</v>
      </c>
      <c r="D442" t="inlineStr">
        <is>
          <t>VÄSTERNORRLANDS LÄN</t>
        </is>
      </c>
      <c r="E442" t="inlineStr">
        <is>
          <t>KRAMFORS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14150-2024</t>
        </is>
      </c>
      <c r="B443" s="1" t="n">
        <v>45392</v>
      </c>
      <c r="C443" s="1" t="n">
        <v>46180</v>
      </c>
      <c r="D443" t="inlineStr">
        <is>
          <t>VÄSTERNORRLANDS LÄN</t>
        </is>
      </c>
      <c r="E443" t="inlineStr">
        <is>
          <t>KRAMFORS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44615-2023</t>
        </is>
      </c>
      <c r="B444" s="1" t="n">
        <v>45189.63652777778</v>
      </c>
      <c r="C444" s="1" t="n">
        <v>46180</v>
      </c>
      <c r="D444" t="inlineStr">
        <is>
          <t>VÄSTERNORRLANDS LÄN</t>
        </is>
      </c>
      <c r="E444" t="inlineStr">
        <is>
          <t>KRAMFORS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46180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38446-2023</t>
        </is>
      </c>
      <c r="B446" s="1" t="n">
        <v>45162</v>
      </c>
      <c r="C446" s="1" t="n">
        <v>46180</v>
      </c>
      <c r="D446" t="inlineStr">
        <is>
          <t>VÄSTERNORRLANDS LÄN</t>
        </is>
      </c>
      <c r="E446" t="inlineStr">
        <is>
          <t>KRAMFORS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38448-2023</t>
        </is>
      </c>
      <c r="B447" s="1" t="n">
        <v>45162</v>
      </c>
      <c r="C447" s="1" t="n">
        <v>46180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46180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46180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45609-2025</t>
        </is>
      </c>
      <c r="B450" s="1" t="n">
        <v>45922</v>
      </c>
      <c r="C450" s="1" t="n">
        <v>46180</v>
      </c>
      <c r="D450" t="inlineStr">
        <is>
          <t>VÄSTERNORRLANDS LÄN</t>
        </is>
      </c>
      <c r="E450" t="inlineStr">
        <is>
          <t>KRAMFORS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31803-2025</t>
        </is>
      </c>
      <c r="B451" s="1" t="n">
        <v>45834.55307870371</v>
      </c>
      <c r="C451" s="1" t="n">
        <v>46180</v>
      </c>
      <c r="D451" t="inlineStr">
        <is>
          <t>VÄSTERNORRLANDS LÄN</t>
        </is>
      </c>
      <c r="E451" t="inlineStr">
        <is>
          <t>KRAMFORS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46180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48127-2024</t>
        </is>
      </c>
      <c r="B453" s="1" t="n">
        <v>45589.64355324074</v>
      </c>
      <c r="C453" s="1" t="n">
        <v>46180</v>
      </c>
      <c r="D453" t="inlineStr">
        <is>
          <t>VÄSTERNORRLANDS LÄN</t>
        </is>
      </c>
      <c r="E453" t="inlineStr">
        <is>
          <t>KRAMFORS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46115-2025</t>
        </is>
      </c>
      <c r="B454" s="1" t="n">
        <v>45924.57280092593</v>
      </c>
      <c r="C454" s="1" t="n">
        <v>46180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HYPERLINK("https://klasma.github.io/Logging_2282/knärot/A 46115-2025 karta knärot.png", "A 46115-2025")</f>
        <v/>
      </c>
      <c r="V454">
        <f>HYPERLINK("https://klasma.github.io/Logging_2282/klagomål/A 46115-2025 FSC-klagomål.docx", "A 46115-2025")</f>
        <v/>
      </c>
      <c r="W454">
        <f>HYPERLINK("https://klasma.github.io/Logging_2282/klagomålsmail/A 46115-2025 FSC-klagomål mail.docx", "A 46115-2025")</f>
        <v/>
      </c>
      <c r="X454">
        <f>HYPERLINK("https://klasma.github.io/Logging_2282/tillsyn/A 46115-2025 tillsynsbegäran.docx", "A 46115-2025")</f>
        <v/>
      </c>
      <c r="Y454">
        <f>HYPERLINK("https://klasma.github.io/Logging_2282/tillsynsmail/A 46115-2025 tillsynsbegäran mail.docx", "A 46115-2025")</f>
        <v/>
      </c>
    </row>
    <row r="455" ht="15" customHeight="1">
      <c r="A455" t="inlineStr">
        <is>
          <t>A 9009-2025</t>
        </is>
      </c>
      <c r="B455" s="1" t="n">
        <v>45713</v>
      </c>
      <c r="C455" s="1" t="n">
        <v>46180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46600-2025</t>
        </is>
      </c>
      <c r="B456" s="1" t="n">
        <v>45926</v>
      </c>
      <c r="C456" s="1" t="n">
        <v>46180</v>
      </c>
      <c r="D456" t="inlineStr">
        <is>
          <t>VÄSTERNORRLANDS LÄN</t>
        </is>
      </c>
      <c r="E456" t="inlineStr">
        <is>
          <t>KRAMFORS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32228-2025</t>
        </is>
      </c>
      <c r="B457" s="1" t="n">
        <v>45835.59568287037</v>
      </c>
      <c r="C457" s="1" t="n">
        <v>46180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44685-2023</t>
        </is>
      </c>
      <c r="B458" s="1" t="n">
        <v>45189</v>
      </c>
      <c r="C458" s="1" t="n">
        <v>46180</v>
      </c>
      <c r="D458" t="inlineStr">
        <is>
          <t>VÄSTERNORRLANDS LÄN</t>
        </is>
      </c>
      <c r="E458" t="inlineStr">
        <is>
          <t>KRAMFORS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58743-2023</t>
        </is>
      </c>
      <c r="B459" s="1" t="n">
        <v>45251.9290625</v>
      </c>
      <c r="C459" s="1" t="n">
        <v>46180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Kommuner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46180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46180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4531-2026</t>
        </is>
      </c>
      <c r="B462" s="1" t="n">
        <v>46046</v>
      </c>
      <c r="C462" s="1" t="n">
        <v>46180</v>
      </c>
      <c r="D462" t="inlineStr">
        <is>
          <t>VÄSTERNORRLANDS LÄN</t>
        </is>
      </c>
      <c r="E462" t="inlineStr">
        <is>
          <t>KRAMFORS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55923-2024</t>
        </is>
      </c>
      <c r="B463" s="1" t="n">
        <v>45623.60091435185</v>
      </c>
      <c r="C463" s="1" t="n">
        <v>46180</v>
      </c>
      <c r="D463" t="inlineStr">
        <is>
          <t>VÄSTERNORRLANDS LÄN</t>
        </is>
      </c>
      <c r="E463" t="inlineStr">
        <is>
          <t>KRAMFORS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32543-2025</t>
        </is>
      </c>
      <c r="B464" s="1" t="n">
        <v>45838.53103009259</v>
      </c>
      <c r="C464" s="1" t="n">
        <v>46180</v>
      </c>
      <c r="D464" t="inlineStr">
        <is>
          <t>VÄSTERNORRLANDS LÄN</t>
        </is>
      </c>
      <c r="E464" t="inlineStr">
        <is>
          <t>KRAMFORS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8742-2024</t>
        </is>
      </c>
      <c r="B465" s="1" t="n">
        <v>45356.48425925926</v>
      </c>
      <c r="C465" s="1" t="n">
        <v>46180</v>
      </c>
      <c r="D465" t="inlineStr">
        <is>
          <t>VÄSTERNORRLANDS LÄN</t>
        </is>
      </c>
      <c r="E465" t="inlineStr">
        <is>
          <t>KRAMFORS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32441-2025</t>
        </is>
      </c>
      <c r="B466" s="1" t="n">
        <v>45838.38568287037</v>
      </c>
      <c r="C466" s="1" t="n">
        <v>46180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46556-2025</t>
        </is>
      </c>
      <c r="B467" s="1" t="n">
        <v>45926.32258101852</v>
      </c>
      <c r="C467" s="1" t="n">
        <v>46180</v>
      </c>
      <c r="D467" t="inlineStr">
        <is>
          <t>VÄSTERNORRLANDS LÄN</t>
        </is>
      </c>
      <c r="E467" t="inlineStr">
        <is>
          <t>KRAMFORS</t>
        </is>
      </c>
      <c r="G467" t="n">
        <v>39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46568-2025</t>
        </is>
      </c>
      <c r="B468" s="1" t="n">
        <v>45926.36578703704</v>
      </c>
      <c r="C468" s="1" t="n">
        <v>46180</v>
      </c>
      <c r="D468" t="inlineStr">
        <is>
          <t>VÄSTERNORRLANDS LÄN</t>
        </is>
      </c>
      <c r="E468" t="inlineStr">
        <is>
          <t>KRAMFORS</t>
        </is>
      </c>
      <c r="G468" t="n">
        <v>16.4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9829-2024</t>
        </is>
      </c>
      <c r="B469" s="1" t="n">
        <v>45363.0468287037</v>
      </c>
      <c r="C469" s="1" t="n">
        <v>46180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25032-2024</t>
        </is>
      </c>
      <c r="B470" s="1" t="n">
        <v>45461.96425925926</v>
      </c>
      <c r="C470" s="1" t="n">
        <v>46180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46180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46180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6131-2026</t>
        </is>
      </c>
      <c r="B473" s="1" t="n">
        <v>46054.49123842592</v>
      </c>
      <c r="C473" s="1" t="n">
        <v>46180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6133-2026</t>
        </is>
      </c>
      <c r="B474" s="1" t="n">
        <v>46054.51971064815</v>
      </c>
      <c r="C474" s="1" t="n">
        <v>46180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33164-2025</t>
        </is>
      </c>
      <c r="B475" s="1" t="n">
        <v>45840.5732175926</v>
      </c>
      <c r="C475" s="1" t="n">
        <v>46180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18599-2025</t>
        </is>
      </c>
      <c r="B476" s="1" t="n">
        <v>45763.48993055556</v>
      </c>
      <c r="C476" s="1" t="n">
        <v>46180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7018-2023</t>
        </is>
      </c>
      <c r="B477" s="1" t="n">
        <v>44967</v>
      </c>
      <c r="C477" s="1" t="n">
        <v>46180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47198-2025</t>
        </is>
      </c>
      <c r="B478" s="1" t="n">
        <v>45930.34550925926</v>
      </c>
      <c r="C478" s="1" t="n">
        <v>46180</v>
      </c>
      <c r="D478" t="inlineStr">
        <is>
          <t>VÄSTERNORRLANDS LÄN</t>
        </is>
      </c>
      <c r="E478" t="inlineStr">
        <is>
          <t>KRAMFORS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33108-2025</t>
        </is>
      </c>
      <c r="B479" s="1" t="n">
        <v>45840.48578703704</v>
      </c>
      <c r="C479" s="1" t="n">
        <v>46180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33119-2025</t>
        </is>
      </c>
      <c r="B480" s="1" t="n">
        <v>45840.49299768519</v>
      </c>
      <c r="C480" s="1" t="n">
        <v>46180</v>
      </c>
      <c r="D480" t="inlineStr">
        <is>
          <t>VÄSTERNORRLANDS LÄN</t>
        </is>
      </c>
      <c r="E480" t="inlineStr">
        <is>
          <t>KRAMFORS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33134-2025</t>
        </is>
      </c>
      <c r="B481" s="1" t="n">
        <v>45840.51084490741</v>
      </c>
      <c r="C481" s="1" t="n">
        <v>46180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HYPERLINK("https://klasma.github.io/Logging_2282/knärot/A 33134-2025 karta knärot.png", "A 33134-2025")</f>
        <v/>
      </c>
      <c r="V481">
        <f>HYPERLINK("https://klasma.github.io/Logging_2282/klagomål/A 33134-2025 FSC-klagomål.docx", "A 33134-2025")</f>
        <v/>
      </c>
      <c r="W481">
        <f>HYPERLINK("https://klasma.github.io/Logging_2282/klagomålsmail/A 33134-2025 FSC-klagomål mail.docx", "A 33134-2025")</f>
        <v/>
      </c>
      <c r="X481">
        <f>HYPERLINK("https://klasma.github.io/Logging_2282/tillsyn/A 33134-2025 tillsynsbegäran.docx", "A 33134-2025")</f>
        <v/>
      </c>
      <c r="Y481">
        <f>HYPERLINK("https://klasma.github.io/Logging_2282/tillsynsmail/A 33134-2025 tillsynsbegäran mail.docx", "A 33134-2025")</f>
        <v/>
      </c>
    </row>
    <row r="482" ht="15" customHeight="1">
      <c r="A482" t="inlineStr">
        <is>
          <t>A 17058-2023</t>
        </is>
      </c>
      <c r="B482" s="1" t="n">
        <v>45034</v>
      </c>
      <c r="C482" s="1" t="n">
        <v>46180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5360-2023</t>
        </is>
      </c>
      <c r="B483" s="1" t="n">
        <v>44956</v>
      </c>
      <c r="C483" s="1" t="n">
        <v>46180</v>
      </c>
      <c r="D483" t="inlineStr">
        <is>
          <t>VÄSTERNORRLANDS LÄN</t>
        </is>
      </c>
      <c r="E483" t="inlineStr">
        <is>
          <t>KRAMFORS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33859-2025</t>
        </is>
      </c>
      <c r="B484" s="1" t="n">
        <v>45842.52354166667</v>
      </c>
      <c r="C484" s="1" t="n">
        <v>46180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152-2024</t>
        </is>
      </c>
      <c r="B485" s="1" t="n">
        <v>45294</v>
      </c>
      <c r="C485" s="1" t="n">
        <v>46180</v>
      </c>
      <c r="D485" t="inlineStr">
        <is>
          <t>VÄSTERNORRLANDS LÄN</t>
        </is>
      </c>
      <c r="E485" t="inlineStr">
        <is>
          <t>KRAMFORS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52272-2024</t>
        </is>
      </c>
      <c r="B486" s="1" t="n">
        <v>45608.65947916666</v>
      </c>
      <c r="C486" s="1" t="n">
        <v>46180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33479-2025</t>
        </is>
      </c>
      <c r="B487" s="1" t="n">
        <v>45841.49543981482</v>
      </c>
      <c r="C487" s="1" t="n">
        <v>46180</v>
      </c>
      <c r="D487" t="inlineStr">
        <is>
          <t>VÄSTERNORRLANDS LÄN</t>
        </is>
      </c>
      <c r="E487" t="inlineStr">
        <is>
          <t>KRAMFORS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33486-2025</t>
        </is>
      </c>
      <c r="B488" s="1" t="n">
        <v>45841.50481481481</v>
      </c>
      <c r="C488" s="1" t="n">
        <v>46180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33500-2025</t>
        </is>
      </c>
      <c r="B489" s="1" t="n">
        <v>45841.51064814815</v>
      </c>
      <c r="C489" s="1" t="n">
        <v>46180</v>
      </c>
      <c r="D489" t="inlineStr">
        <is>
          <t>VÄSTERNORRLANDS LÄN</t>
        </is>
      </c>
      <c r="E489" t="inlineStr">
        <is>
          <t>KRAMFORS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33509-2025</t>
        </is>
      </c>
      <c r="B490" s="1" t="n">
        <v>45841.51625</v>
      </c>
      <c r="C490" s="1" t="n">
        <v>46180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47582-2025</t>
        </is>
      </c>
      <c r="B491" s="1" t="n">
        <v>45931.41561342592</v>
      </c>
      <c r="C491" s="1" t="n">
        <v>46180</v>
      </c>
      <c r="D491" t="inlineStr">
        <is>
          <t>VÄSTERNORRLANDS LÄN</t>
        </is>
      </c>
      <c r="E491" t="inlineStr">
        <is>
          <t>KRAMFORS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33940-2025</t>
        </is>
      </c>
      <c r="B492" s="1" t="n">
        <v>45842.63925925926</v>
      </c>
      <c r="C492" s="1" t="n">
        <v>46180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47949-2025</t>
        </is>
      </c>
      <c r="B493" s="1" t="n">
        <v>45932.57452546297</v>
      </c>
      <c r="C493" s="1" t="n">
        <v>46180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33323-2025</t>
        </is>
      </c>
      <c r="B494" s="1" t="n">
        <v>45841.34539351852</v>
      </c>
      <c r="C494" s="1" t="n">
        <v>46180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33553-2025</t>
        </is>
      </c>
      <c r="B495" s="1" t="n">
        <v>45841.5737962963</v>
      </c>
      <c r="C495" s="1" t="n">
        <v>46180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33809-2025</t>
        </is>
      </c>
      <c r="B496" s="1" t="n">
        <v>45842.44891203703</v>
      </c>
      <c r="C496" s="1" t="n">
        <v>46180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53576-2021</t>
        </is>
      </c>
      <c r="B497" s="1" t="n">
        <v>44469</v>
      </c>
      <c r="C497" s="1" t="n">
        <v>46180</v>
      </c>
      <c r="D497" t="inlineStr">
        <is>
          <t>VÄSTERNORRLANDS LÄN</t>
        </is>
      </c>
      <c r="E497" t="inlineStr">
        <is>
          <t>KRAMFORS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33919-2025</t>
        </is>
      </c>
      <c r="B498" s="1" t="n">
        <v>45842.61515046296</v>
      </c>
      <c r="C498" s="1" t="n">
        <v>46180</v>
      </c>
      <c r="D498" t="inlineStr">
        <is>
          <t>VÄSTERNORRLANDS LÄN</t>
        </is>
      </c>
      <c r="E498" t="inlineStr">
        <is>
          <t>KRAMFORS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33808-2025</t>
        </is>
      </c>
      <c r="B499" s="1" t="n">
        <v>45842.4488425926</v>
      </c>
      <c r="C499" s="1" t="n">
        <v>46180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33856-2025</t>
        </is>
      </c>
      <c r="B500" s="1" t="n">
        <v>45842.5114699074</v>
      </c>
      <c r="C500" s="1" t="n">
        <v>46180</v>
      </c>
      <c r="D500" t="inlineStr">
        <is>
          <t>VÄSTERNORRLANDS LÄN</t>
        </is>
      </c>
      <c r="E500" t="inlineStr">
        <is>
          <t>KRAMFORS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48132-2025</t>
        </is>
      </c>
      <c r="B501" s="1" t="n">
        <v>45933.36881944445</v>
      </c>
      <c r="C501" s="1" t="n">
        <v>46180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48441-2025</t>
        </is>
      </c>
      <c r="B502" s="1" t="n">
        <v>45935.53166666667</v>
      </c>
      <c r="C502" s="1" t="n">
        <v>46180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4530-2026</t>
        </is>
      </c>
      <c r="B503" s="1" t="n">
        <v>46046</v>
      </c>
      <c r="C503" s="1" t="n">
        <v>46180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6132-2026</t>
        </is>
      </c>
      <c r="B504" s="1" t="n">
        <v>46054.50747685185</v>
      </c>
      <c r="C504" s="1" t="n">
        <v>46180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6808-2026</t>
        </is>
      </c>
      <c r="B505" s="1" t="n">
        <v>46057</v>
      </c>
      <c r="C505" s="1" t="n">
        <v>46180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46180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48583-2025</t>
        </is>
      </c>
      <c r="B507" s="1" t="n">
        <v>45936.4578587963</v>
      </c>
      <c r="C507" s="1" t="n">
        <v>46180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48588-2025</t>
        </is>
      </c>
      <c r="B508" s="1" t="n">
        <v>45936.460625</v>
      </c>
      <c r="C508" s="1" t="n">
        <v>46180</v>
      </c>
      <c r="D508" t="inlineStr">
        <is>
          <t>VÄSTERNORRLANDS LÄN</t>
        </is>
      </c>
      <c r="E508" t="inlineStr">
        <is>
          <t>KRAMFORS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6445-2023</t>
        </is>
      </c>
      <c r="B509" s="1" t="n">
        <v>44965</v>
      </c>
      <c r="C509" s="1" t="n">
        <v>46180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6446-2023</t>
        </is>
      </c>
      <c r="B510" s="1" t="n">
        <v>44965</v>
      </c>
      <c r="C510" s="1" t="n">
        <v>46180</v>
      </c>
      <c r="D510" t="inlineStr">
        <is>
          <t>VÄSTERNORRLANDS LÄN</t>
        </is>
      </c>
      <c r="E510" t="inlineStr">
        <is>
          <t>KRAMFORS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6449-2023</t>
        </is>
      </c>
      <c r="B511" s="1" t="n">
        <v>44965.92510416666</v>
      </c>
      <c r="C511" s="1" t="n">
        <v>46180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46180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26735-2025</t>
        </is>
      </c>
      <c r="B513" s="1" t="n">
        <v>45810</v>
      </c>
      <c r="C513" s="1" t="n">
        <v>46180</v>
      </c>
      <c r="D513" t="inlineStr">
        <is>
          <t>VÄSTERNORRLANDS LÄN</t>
        </is>
      </c>
      <c r="E513" t="inlineStr">
        <is>
          <t>KRAMFORS</t>
        </is>
      </c>
      <c r="G513" t="n">
        <v>40.2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35044-2025</t>
        </is>
      </c>
      <c r="B514" s="1" t="n">
        <v>45852.3446412037</v>
      </c>
      <c r="C514" s="1" t="n">
        <v>46180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46180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16053-2025</t>
        </is>
      </c>
      <c r="B516" s="1" t="n">
        <v>45749</v>
      </c>
      <c r="C516" s="1" t="n">
        <v>46180</v>
      </c>
      <c r="D516" t="inlineStr">
        <is>
          <t>VÄSTERNORRLANDS LÄN</t>
        </is>
      </c>
      <c r="E516" t="inlineStr">
        <is>
          <t>KRAMFORS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21182-2023</t>
        </is>
      </c>
      <c r="B517" s="1" t="n">
        <v>45062.4587962963</v>
      </c>
      <c r="C517" s="1" t="n">
        <v>46180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35298-2023</t>
        </is>
      </c>
      <c r="B518" s="1" t="n">
        <v>45145.98226851852</v>
      </c>
      <c r="C518" s="1" t="n">
        <v>46180</v>
      </c>
      <c r="D518" t="inlineStr">
        <is>
          <t>VÄSTERNORRLANDS LÄN</t>
        </is>
      </c>
      <c r="E518" t="inlineStr">
        <is>
          <t>KRAMFORS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878-2022</t>
        </is>
      </c>
      <c r="B519" s="1" t="n">
        <v>44571</v>
      </c>
      <c r="C519" s="1" t="n">
        <v>46180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35373-2025</t>
        </is>
      </c>
      <c r="B520" s="1" t="n">
        <v>45854.82798611111</v>
      </c>
      <c r="C520" s="1" t="n">
        <v>46180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35394-2025</t>
        </is>
      </c>
      <c r="B521" s="1" t="n">
        <v>45855.32358796296</v>
      </c>
      <c r="C521" s="1" t="n">
        <v>46180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4275-2024</t>
        </is>
      </c>
      <c r="B522" s="1" t="n">
        <v>45324</v>
      </c>
      <c r="C522" s="1" t="n">
        <v>46180</v>
      </c>
      <c r="D522" t="inlineStr">
        <is>
          <t>VÄSTERNORRLANDS LÄN</t>
        </is>
      </c>
      <c r="E522" t="inlineStr">
        <is>
          <t>KRAMFORS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7786-2026</t>
        </is>
      </c>
      <c r="B523" s="1" t="n">
        <v>46062.58525462963</v>
      </c>
      <c r="C523" s="1" t="n">
        <v>46180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49074-2025</t>
        </is>
      </c>
      <c r="B524" s="1" t="n">
        <v>45937.65530092592</v>
      </c>
      <c r="C524" s="1" t="n">
        <v>46180</v>
      </c>
      <c r="D524" t="inlineStr">
        <is>
          <t>VÄSTERNORRLANDS LÄN</t>
        </is>
      </c>
      <c r="E524" t="inlineStr">
        <is>
          <t>KRAMFORS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24843-2025</t>
        </is>
      </c>
      <c r="B525" s="1" t="n">
        <v>45799.46606481481</v>
      </c>
      <c r="C525" s="1" t="n">
        <v>46180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48768-2025</t>
        </is>
      </c>
      <c r="B526" s="1" t="n">
        <v>45936.88189814815</v>
      </c>
      <c r="C526" s="1" t="n">
        <v>46180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49071-2025</t>
        </is>
      </c>
      <c r="B527" s="1" t="n">
        <v>45937.65337962963</v>
      </c>
      <c r="C527" s="1" t="n">
        <v>46180</v>
      </c>
      <c r="D527" t="inlineStr">
        <is>
          <t>VÄSTERNORRLANDS LÄN</t>
        </is>
      </c>
      <c r="E527" t="inlineStr">
        <is>
          <t>KRAMFORS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35758-2025</t>
        </is>
      </c>
      <c r="B528" s="1" t="n">
        <v>45860.59990740741</v>
      </c>
      <c r="C528" s="1" t="n">
        <v>46180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35645-2025</t>
        </is>
      </c>
      <c r="B529" s="1" t="n">
        <v>45859.4903125</v>
      </c>
      <c r="C529" s="1" t="n">
        <v>46180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35754-2025</t>
        </is>
      </c>
      <c r="B530" s="1" t="n">
        <v>45860.5894212963</v>
      </c>
      <c r="C530" s="1" t="n">
        <v>46180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35750-2025</t>
        </is>
      </c>
      <c r="B531" s="1" t="n">
        <v>45860.56945601852</v>
      </c>
      <c r="C531" s="1" t="n">
        <v>46180</v>
      </c>
      <c r="D531" t="inlineStr">
        <is>
          <t>VÄSTERNORRLANDS LÄN</t>
        </is>
      </c>
      <c r="E531" t="inlineStr">
        <is>
          <t>KRAMFORS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24957-2025</t>
        </is>
      </c>
      <c r="B532" s="1" t="n">
        <v>45799.57431712963</v>
      </c>
      <c r="C532" s="1" t="n">
        <v>46180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46180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29584-2025</t>
        </is>
      </c>
      <c r="B534" s="1" t="n">
        <v>45825.38572916666</v>
      </c>
      <c r="C534" s="1" t="n">
        <v>46180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8127-2026</t>
        </is>
      </c>
      <c r="B535" s="1" t="n">
        <v>46064.28782407408</v>
      </c>
      <c r="C535" s="1" t="n">
        <v>46180</v>
      </c>
      <c r="D535" t="inlineStr">
        <is>
          <t>VÄSTERNORRLANDS LÄN</t>
        </is>
      </c>
      <c r="E535" t="inlineStr">
        <is>
          <t>KRAMFORS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16057-2025</t>
        </is>
      </c>
      <c r="B536" s="1" t="n">
        <v>45749</v>
      </c>
      <c r="C536" s="1" t="n">
        <v>46180</v>
      </c>
      <c r="D536" t="inlineStr">
        <is>
          <t>VÄSTERNORRLANDS LÄN</t>
        </is>
      </c>
      <c r="E536" t="inlineStr">
        <is>
          <t>KRAMFORS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8128-2026</t>
        </is>
      </c>
      <c r="B537" s="1" t="n">
        <v>46064.2893287037</v>
      </c>
      <c r="C537" s="1" t="n">
        <v>46180</v>
      </c>
      <c r="D537" t="inlineStr">
        <is>
          <t>VÄSTERNORRLANDS LÄN</t>
        </is>
      </c>
      <c r="E537" t="inlineStr">
        <is>
          <t>KRAMFORS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7933-2026</t>
        </is>
      </c>
      <c r="B538" s="1" t="n">
        <v>46063.40344907407</v>
      </c>
      <c r="C538" s="1" t="n">
        <v>46180</v>
      </c>
      <c r="D538" t="inlineStr">
        <is>
          <t>VÄSTERNORRLANDS LÄN</t>
        </is>
      </c>
      <c r="E538" t="inlineStr">
        <is>
          <t>KRAMFORS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10311-2024</t>
        </is>
      </c>
      <c r="B539" s="1" t="n">
        <v>45365</v>
      </c>
      <c r="C539" s="1" t="n">
        <v>46180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8219-2026</t>
        </is>
      </c>
      <c r="B540" s="1" t="n">
        <v>46064.46196759259</v>
      </c>
      <c r="C540" s="1" t="n">
        <v>46180</v>
      </c>
      <c r="D540" t="inlineStr">
        <is>
          <t>VÄSTERNORRLANDS LÄN</t>
        </is>
      </c>
      <c r="E540" t="inlineStr">
        <is>
          <t>KRAMFORS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8220-2026</t>
        </is>
      </c>
      <c r="B541" s="1" t="n">
        <v>46064.46212962963</v>
      </c>
      <c r="C541" s="1" t="n">
        <v>46180</v>
      </c>
      <c r="D541" t="inlineStr">
        <is>
          <t>VÄSTERNORRLANDS LÄN</t>
        </is>
      </c>
      <c r="E541" t="inlineStr">
        <is>
          <t>KRAMFORS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8026-2026</t>
        </is>
      </c>
      <c r="B542" s="1" t="n">
        <v>46063.57290509259</v>
      </c>
      <c r="C542" s="1" t="n">
        <v>46180</v>
      </c>
      <c r="D542" t="inlineStr">
        <is>
          <t>VÄSTERNORRLANDS LÄN</t>
        </is>
      </c>
      <c r="E542" t="inlineStr">
        <is>
          <t>KRAMFORS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8027-2026</t>
        </is>
      </c>
      <c r="B543" s="1" t="n">
        <v>46063.57318287037</v>
      </c>
      <c r="C543" s="1" t="n">
        <v>46180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36316-2025</t>
        </is>
      </c>
      <c r="B544" s="1" t="n">
        <v>45868.36584490741</v>
      </c>
      <c r="C544" s="1" t="n">
        <v>46180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7934-2026</t>
        </is>
      </c>
      <c r="B545" s="1" t="n">
        <v>46063.40369212963</v>
      </c>
      <c r="C545" s="1" t="n">
        <v>46180</v>
      </c>
      <c r="D545" t="inlineStr">
        <is>
          <t>VÄSTERNORRLANDS LÄN</t>
        </is>
      </c>
      <c r="E545" t="inlineStr">
        <is>
          <t>KRAMFORS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7936-2026</t>
        </is>
      </c>
      <c r="B546" s="1" t="n">
        <v>46063.40401620371</v>
      </c>
      <c r="C546" s="1" t="n">
        <v>46180</v>
      </c>
      <c r="D546" t="inlineStr">
        <is>
          <t>VÄSTERNORRLANDS LÄN</t>
        </is>
      </c>
      <c r="E546" t="inlineStr">
        <is>
          <t>KRAMFORS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7937-2026</t>
        </is>
      </c>
      <c r="B547" s="1" t="n">
        <v>46063.40416666667</v>
      </c>
      <c r="C547" s="1" t="n">
        <v>46180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7932-2026</t>
        </is>
      </c>
      <c r="B548" s="1" t="n">
        <v>46063.40326388889</v>
      </c>
      <c r="C548" s="1" t="n">
        <v>46180</v>
      </c>
      <c r="D548" t="inlineStr">
        <is>
          <t>VÄSTERNORRLANDS LÄN</t>
        </is>
      </c>
      <c r="E548" t="inlineStr">
        <is>
          <t>KRAMFORS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50134-2025</t>
        </is>
      </c>
      <c r="B549" s="1" t="n">
        <v>45943.55722222223</v>
      </c>
      <c r="C549" s="1" t="n">
        <v>46180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50155-2025</t>
        </is>
      </c>
      <c r="B550" s="1" t="n">
        <v>45943.57865740741</v>
      </c>
      <c r="C550" s="1" t="n">
        <v>46180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46180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36933-2025</t>
        </is>
      </c>
      <c r="B552" s="1" t="n">
        <v>45874.56565972222</v>
      </c>
      <c r="C552" s="1" t="n">
        <v>46180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36876-2025</t>
        </is>
      </c>
      <c r="B553" s="1" t="n">
        <v>45874</v>
      </c>
      <c r="C553" s="1" t="n">
        <v>46180</v>
      </c>
      <c r="D553" t="inlineStr">
        <is>
          <t>VÄSTERNORRLANDS LÄN</t>
        </is>
      </c>
      <c r="E553" t="inlineStr">
        <is>
          <t>KRAMFORS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36805-2025</t>
        </is>
      </c>
      <c r="B554" s="1" t="n">
        <v>45873.68559027778</v>
      </c>
      <c r="C554" s="1" t="n">
        <v>46180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51501-2024</t>
        </is>
      </c>
      <c r="B555" s="1" t="n">
        <v>45604.54997685185</v>
      </c>
      <c r="C555" s="1" t="n">
        <v>46180</v>
      </c>
      <c r="D555" t="inlineStr">
        <is>
          <t>VÄSTERNORRLANDS LÄN</t>
        </is>
      </c>
      <c r="E555" t="inlineStr">
        <is>
          <t>KRAMFORS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58966-2024</t>
        </is>
      </c>
      <c r="B556" s="1" t="n">
        <v>45636.59261574074</v>
      </c>
      <c r="C556" s="1" t="n">
        <v>46180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50844-2025</t>
        </is>
      </c>
      <c r="B557" s="1" t="n">
        <v>45946.57359953703</v>
      </c>
      <c r="C557" s="1" t="n">
        <v>46180</v>
      </c>
      <c r="D557" t="inlineStr">
        <is>
          <t>VÄSTERNORRLANDS LÄN</t>
        </is>
      </c>
      <c r="E557" t="inlineStr">
        <is>
          <t>KRAMFORS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5071-2024</t>
        </is>
      </c>
      <c r="B558" s="1" t="n">
        <v>45329</v>
      </c>
      <c r="C558" s="1" t="n">
        <v>46180</v>
      </c>
      <c r="D558" t="inlineStr">
        <is>
          <t>VÄSTERNORRLANDS LÄN</t>
        </is>
      </c>
      <c r="E558" t="inlineStr">
        <is>
          <t>KRAMFORS</t>
        </is>
      </c>
      <c r="G558" t="n">
        <v>25.2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50846-2025</t>
        </is>
      </c>
      <c r="B559" s="1" t="n">
        <v>45946.57378472222</v>
      </c>
      <c r="C559" s="1" t="n">
        <v>46180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36936-2025</t>
        </is>
      </c>
      <c r="B560" s="1" t="n">
        <v>45874.57541666667</v>
      </c>
      <c r="C560" s="1" t="n">
        <v>46180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8455-2023</t>
        </is>
      </c>
      <c r="B561" s="1" t="n">
        <v>44971</v>
      </c>
      <c r="C561" s="1" t="n">
        <v>46180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36992-2025</t>
        </is>
      </c>
      <c r="B562" s="1" t="n">
        <v>45874.66950231481</v>
      </c>
      <c r="C562" s="1" t="n">
        <v>46180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51400-2025</t>
        </is>
      </c>
      <c r="B563" s="1" t="n">
        <v>45950.48018518519</v>
      </c>
      <c r="C563" s="1" t="n">
        <v>46180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51192-2025</t>
        </is>
      </c>
      <c r="B564" s="1" t="n">
        <v>45947.62763888889</v>
      </c>
      <c r="C564" s="1" t="n">
        <v>46180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8994-2026</t>
        </is>
      </c>
      <c r="B565" s="1" t="n">
        <v>46069.46784722222</v>
      </c>
      <c r="C565" s="1" t="n">
        <v>46180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37256-2025</t>
        </is>
      </c>
      <c r="B566" s="1" t="n">
        <v>45876.43637731481</v>
      </c>
      <c r="C566" s="1" t="n">
        <v>46180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37306-2025</t>
        </is>
      </c>
      <c r="B567" s="1" t="n">
        <v>45876.59484953704</v>
      </c>
      <c r="C567" s="1" t="n">
        <v>46180</v>
      </c>
      <c r="D567" t="inlineStr">
        <is>
          <t>VÄSTERNORRLANDS LÄN</t>
        </is>
      </c>
      <c r="E567" t="inlineStr">
        <is>
          <t>KRAMFORS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37148-2025</t>
        </is>
      </c>
      <c r="B568" s="1" t="n">
        <v>45875.57324074074</v>
      </c>
      <c r="C568" s="1" t="n">
        <v>46180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37167-2025</t>
        </is>
      </c>
      <c r="B569" s="1" t="n">
        <v>45875.60767361111</v>
      </c>
      <c r="C569" s="1" t="n">
        <v>46180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37307-2025</t>
        </is>
      </c>
      <c r="B570" s="1" t="n">
        <v>45876.59489583333</v>
      </c>
      <c r="C570" s="1" t="n">
        <v>46180</v>
      </c>
      <c r="D570" t="inlineStr">
        <is>
          <t>VÄSTERNORRLANDS LÄN</t>
        </is>
      </c>
      <c r="E570" t="inlineStr">
        <is>
          <t>KRAMFORS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51175-2025</t>
        </is>
      </c>
      <c r="B571" s="1" t="n">
        <v>45947.61067129629</v>
      </c>
      <c r="C571" s="1" t="n">
        <v>46180</v>
      </c>
      <c r="D571" t="inlineStr">
        <is>
          <t>VÄSTERNORRLANDS LÄN</t>
        </is>
      </c>
      <c r="E571" t="inlineStr">
        <is>
          <t>KRAMFORS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37407-2025</t>
        </is>
      </c>
      <c r="B572" s="1" t="n">
        <v>45877.46506944444</v>
      </c>
      <c r="C572" s="1" t="n">
        <v>46180</v>
      </c>
      <c r="D572" t="inlineStr">
        <is>
          <t>VÄSTERNORRLANDS LÄN</t>
        </is>
      </c>
      <c r="E572" t="inlineStr">
        <is>
          <t>KRAMFORS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4144-2025</t>
        </is>
      </c>
      <c r="B573" s="1" t="n">
        <v>45685</v>
      </c>
      <c r="C573" s="1" t="n">
        <v>46180</v>
      </c>
      <c r="D573" t="inlineStr">
        <is>
          <t>VÄSTERNORRLANDS LÄN</t>
        </is>
      </c>
      <c r="E573" t="inlineStr">
        <is>
          <t>KRAMFORS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58521-2024</t>
        </is>
      </c>
      <c r="B574" s="1" t="n">
        <v>45629</v>
      </c>
      <c r="C574" s="1" t="n">
        <v>46180</v>
      </c>
      <c r="D574" t="inlineStr">
        <is>
          <t>VÄSTERNORRLANDS LÄN</t>
        </is>
      </c>
      <c r="E574" t="inlineStr">
        <is>
          <t>KRAMFORS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51413-2025</t>
        </is>
      </c>
      <c r="B575" s="1" t="n">
        <v>45950.49594907407</v>
      </c>
      <c r="C575" s="1" t="n">
        <v>46180</v>
      </c>
      <c r="D575" t="inlineStr">
        <is>
          <t>VÄSTERNORRLANDS LÄN</t>
        </is>
      </c>
      <c r="E575" t="inlineStr">
        <is>
          <t>KRAMFORS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8971-2026</t>
        </is>
      </c>
      <c r="B576" s="1" t="n">
        <v>46069</v>
      </c>
      <c r="C576" s="1" t="n">
        <v>46180</v>
      </c>
      <c r="D576" t="inlineStr">
        <is>
          <t>VÄSTERNORRLANDS LÄN</t>
        </is>
      </c>
      <c r="E576" t="inlineStr">
        <is>
          <t>KRAMFORS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37417-2025</t>
        </is>
      </c>
      <c r="B577" s="1" t="n">
        <v>45877</v>
      </c>
      <c r="C577" s="1" t="n">
        <v>46180</v>
      </c>
      <c r="D577" t="inlineStr">
        <is>
          <t>VÄSTERNORRLANDS LÄN</t>
        </is>
      </c>
      <c r="E577" t="inlineStr">
        <is>
          <t>KRAMFORS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51213-2025</t>
        </is>
      </c>
      <c r="B578" s="1" t="n">
        <v>45947.64268518519</v>
      </c>
      <c r="C578" s="1" t="n">
        <v>46180</v>
      </c>
      <c r="D578" t="inlineStr">
        <is>
          <t>VÄSTERNORRLANDS LÄN</t>
        </is>
      </c>
      <c r="E578" t="inlineStr">
        <is>
          <t>KRAMFORS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51313-2025</t>
        </is>
      </c>
      <c r="B579" s="1" t="n">
        <v>45950.37559027778</v>
      </c>
      <c r="C579" s="1" t="n">
        <v>46180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50978-2025</t>
        </is>
      </c>
      <c r="B580" s="1" t="n">
        <v>45947</v>
      </c>
      <c r="C580" s="1" t="n">
        <v>46180</v>
      </c>
      <c r="D580" t="inlineStr">
        <is>
          <t>VÄSTERNORRLANDS LÄN</t>
        </is>
      </c>
      <c r="E580" t="inlineStr">
        <is>
          <t>KRAMFORS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9011-2026</t>
        </is>
      </c>
      <c r="B581" s="1" t="n">
        <v>46069.48856481481</v>
      </c>
      <c r="C581" s="1" t="n">
        <v>46180</v>
      </c>
      <c r="D581" t="inlineStr">
        <is>
          <t>VÄSTERNORRLANDS LÄN</t>
        </is>
      </c>
      <c r="E581" t="inlineStr">
        <is>
          <t>KRAMFORS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54361-2024</t>
        </is>
      </c>
      <c r="B582" s="1" t="n">
        <v>45617.41069444444</v>
      </c>
      <c r="C582" s="1" t="n">
        <v>46180</v>
      </c>
      <c r="D582" t="inlineStr">
        <is>
          <t>VÄSTERNORRLANDS LÄN</t>
        </is>
      </c>
      <c r="E582" t="inlineStr">
        <is>
          <t>KRAMFORS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9597-2026</t>
        </is>
      </c>
      <c r="B583" s="1" t="n">
        <v>46071.84016203704</v>
      </c>
      <c r="C583" s="1" t="n">
        <v>46180</v>
      </c>
      <c r="D583" t="inlineStr">
        <is>
          <t>VÄSTERNORRLANDS LÄN</t>
        </is>
      </c>
      <c r="E583" t="inlineStr">
        <is>
          <t>KRAMFORS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51208-2025</t>
        </is>
      </c>
      <c r="B584" s="1" t="n">
        <v>45947</v>
      </c>
      <c r="C584" s="1" t="n">
        <v>46180</v>
      </c>
      <c r="D584" t="inlineStr">
        <is>
          <t>VÄSTERNORRLANDS LÄN</t>
        </is>
      </c>
      <c r="E584" t="inlineStr">
        <is>
          <t>KRAMFORS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37825-2025</t>
        </is>
      </c>
      <c r="B585" s="1" t="n">
        <v>45881.40697916667</v>
      </c>
      <c r="C585" s="1" t="n">
        <v>46180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46180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46180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52080-2025</t>
        </is>
      </c>
      <c r="B588" s="1" t="n">
        <v>45952.66023148148</v>
      </c>
      <c r="C588" s="1" t="n">
        <v>46180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37949-2025</t>
        </is>
      </c>
      <c r="B589" s="1" t="n">
        <v>45881.61547453704</v>
      </c>
      <c r="C589" s="1" t="n">
        <v>46180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37953-2025</t>
        </is>
      </c>
      <c r="B590" s="1" t="n">
        <v>45881.63622685185</v>
      </c>
      <c r="C590" s="1" t="n">
        <v>46180</v>
      </c>
      <c r="D590" t="inlineStr">
        <is>
          <t>VÄSTERNORRLANDS LÄN</t>
        </is>
      </c>
      <c r="E590" t="inlineStr">
        <is>
          <t>KRAMFORS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61010-2024</t>
        </is>
      </c>
      <c r="B591" s="1" t="n">
        <v>45645.4458912037</v>
      </c>
      <c r="C591" s="1" t="n">
        <v>46180</v>
      </c>
      <c r="D591" t="inlineStr">
        <is>
          <t>VÄSTERNORRLANDS LÄN</t>
        </is>
      </c>
      <c r="E591" t="inlineStr">
        <is>
          <t>KRAMFORS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9599-2026</t>
        </is>
      </c>
      <c r="B592" s="1" t="n">
        <v>46071.843125</v>
      </c>
      <c r="C592" s="1" t="n">
        <v>46180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9600-2026</t>
        </is>
      </c>
      <c r="B593" s="1" t="n">
        <v>46071.8704050926</v>
      </c>
      <c r="C593" s="1" t="n">
        <v>46180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52120-2025</t>
        </is>
      </c>
      <c r="B594" s="1" t="n">
        <v>45952</v>
      </c>
      <c r="C594" s="1" t="n">
        <v>46180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52057-2025</t>
        </is>
      </c>
      <c r="B595" s="1" t="n">
        <v>45952.63260416667</v>
      </c>
      <c r="C595" s="1" t="n">
        <v>46180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43136-2023</t>
        </is>
      </c>
      <c r="B596" s="1" t="n">
        <v>45180</v>
      </c>
      <c r="C596" s="1" t="n">
        <v>46180</v>
      </c>
      <c r="D596" t="inlineStr">
        <is>
          <t>VÄSTERNORRLANDS LÄN</t>
        </is>
      </c>
      <c r="E596" t="inlineStr">
        <is>
          <t>KRAMFORS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3721-2026</t>
        </is>
      </c>
      <c r="B597" s="1" t="n">
        <v>46043</v>
      </c>
      <c r="C597" s="1" t="n">
        <v>46180</v>
      </c>
      <c r="D597" t="inlineStr">
        <is>
          <t>VÄSTERNORRLANDS LÄN</t>
        </is>
      </c>
      <c r="E597" t="inlineStr">
        <is>
          <t>KRAMFORS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51730-2025</t>
        </is>
      </c>
      <c r="B598" s="1" t="n">
        <v>45951.59440972222</v>
      </c>
      <c r="C598" s="1" t="n">
        <v>46180</v>
      </c>
      <c r="D598" t="inlineStr">
        <is>
          <t>VÄSTERNORRLANDS LÄN</t>
        </is>
      </c>
      <c r="E598" t="inlineStr">
        <is>
          <t>KRAMFORS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41381-2022</t>
        </is>
      </c>
      <c r="B599" s="1" t="n">
        <v>44826</v>
      </c>
      <c r="C599" s="1" t="n">
        <v>46180</v>
      </c>
      <c r="D599" t="inlineStr">
        <is>
          <t>VÄSTERNORRLANDS LÄN</t>
        </is>
      </c>
      <c r="E599" t="inlineStr">
        <is>
          <t>KRAMFORS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51705-2025</t>
        </is>
      </c>
      <c r="B600" s="1" t="n">
        <v>45951.56091435185</v>
      </c>
      <c r="C600" s="1" t="n">
        <v>46180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51929-2025</t>
        </is>
      </c>
      <c r="B601" s="1" t="n">
        <v>45952</v>
      </c>
      <c r="C601" s="1" t="n">
        <v>46180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9745-2026</t>
        </is>
      </c>
      <c r="B602" s="1" t="n">
        <v>46072.52292824074</v>
      </c>
      <c r="C602" s="1" t="n">
        <v>46180</v>
      </c>
      <c r="D602" t="inlineStr">
        <is>
          <t>VÄSTERNORRLANDS LÄN</t>
        </is>
      </c>
      <c r="E602" t="inlineStr">
        <is>
          <t>KRAMFORS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9592-2026</t>
        </is>
      </c>
      <c r="B603" s="1" t="n">
        <v>46071</v>
      </c>
      <c r="C603" s="1" t="n">
        <v>46180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52107-2025</t>
        </is>
      </c>
      <c r="B604" s="1" t="n">
        <v>45952</v>
      </c>
      <c r="C604" s="1" t="n">
        <v>46180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51726-2025</t>
        </is>
      </c>
      <c r="B605" s="1" t="n">
        <v>45951.58940972222</v>
      </c>
      <c r="C605" s="1" t="n">
        <v>46180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61174-2024</t>
        </is>
      </c>
      <c r="B606" s="1" t="n">
        <v>45645</v>
      </c>
      <c r="C606" s="1" t="n">
        <v>46180</v>
      </c>
      <c r="D606" t="inlineStr">
        <is>
          <t>VÄSTERNORRLANDS LÄN</t>
        </is>
      </c>
      <c r="E606" t="inlineStr">
        <is>
          <t>KRAMFORS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61176-2024</t>
        </is>
      </c>
      <c r="B607" s="1" t="n">
        <v>45645.60534722222</v>
      </c>
      <c r="C607" s="1" t="n">
        <v>46180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46180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9762-2026</t>
        </is>
      </c>
      <c r="B609" s="1" t="n">
        <v>46072.55725694444</v>
      </c>
      <c r="C609" s="1" t="n">
        <v>46180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38265-2025</t>
        </is>
      </c>
      <c r="B610" s="1" t="n">
        <v>45883.40185185185</v>
      </c>
      <c r="C610" s="1" t="n">
        <v>46180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52426-2025</t>
        </is>
      </c>
      <c r="B611" s="1" t="n">
        <v>45954.38292824074</v>
      </c>
      <c r="C611" s="1" t="n">
        <v>46180</v>
      </c>
      <c r="D611" t="inlineStr">
        <is>
          <t>VÄSTERNORRLANDS LÄN</t>
        </is>
      </c>
      <c r="E611" t="inlineStr">
        <is>
          <t>KRAMFORS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10449-2026</t>
        </is>
      </c>
      <c r="B612" s="1" t="n">
        <v>46077.43607638889</v>
      </c>
      <c r="C612" s="1" t="n">
        <v>46180</v>
      </c>
      <c r="D612" t="inlineStr">
        <is>
          <t>VÄSTERNORRLANDS LÄN</t>
        </is>
      </c>
      <c r="E612" t="inlineStr">
        <is>
          <t>KRAMFORS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10465-2026</t>
        </is>
      </c>
      <c r="B613" s="1" t="n">
        <v>46077.46820601852</v>
      </c>
      <c r="C613" s="1" t="n">
        <v>46180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8946-2026</t>
        </is>
      </c>
      <c r="B614" s="1" t="n">
        <v>46069</v>
      </c>
      <c r="C614" s="1" t="n">
        <v>46180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11248-2025</t>
        </is>
      </c>
      <c r="B615" s="1" t="n">
        <v>45726</v>
      </c>
      <c r="C615" s="1" t="n">
        <v>46180</v>
      </c>
      <c r="D615" t="inlineStr">
        <is>
          <t>VÄSTERNORRLANDS LÄN</t>
        </is>
      </c>
      <c r="E615" t="inlineStr">
        <is>
          <t>KRAMFORS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12060-2025</t>
        </is>
      </c>
      <c r="B616" s="1" t="n">
        <v>45728</v>
      </c>
      <c r="C616" s="1" t="n">
        <v>46180</v>
      </c>
      <c r="D616" t="inlineStr">
        <is>
          <t>VÄSTERNORRLANDS LÄN</t>
        </is>
      </c>
      <c r="E616" t="inlineStr">
        <is>
          <t>KRAMFORS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10142-2026</t>
        </is>
      </c>
      <c r="B617" s="1" t="n">
        <v>46076.34581018519</v>
      </c>
      <c r="C617" s="1" t="n">
        <v>46180</v>
      </c>
      <c r="D617" t="inlineStr">
        <is>
          <t>VÄSTERNORRLANDS LÄN</t>
        </is>
      </c>
      <c r="E617" t="inlineStr">
        <is>
          <t>KRAMFORS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33911-2021</t>
        </is>
      </c>
      <c r="B618" s="1" t="n">
        <v>44378</v>
      </c>
      <c r="C618" s="1" t="n">
        <v>46180</v>
      </c>
      <c r="D618" t="inlineStr">
        <is>
          <t>VÄSTERNORRLANDS LÄN</t>
        </is>
      </c>
      <c r="E618" t="inlineStr">
        <is>
          <t>KRAMFORS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31071-2022</t>
        </is>
      </c>
      <c r="B619" s="1" t="n">
        <v>44769</v>
      </c>
      <c r="C619" s="1" t="n">
        <v>46180</v>
      </c>
      <c r="D619" t="inlineStr">
        <is>
          <t>VÄSTERNORRLANDS LÄN</t>
        </is>
      </c>
      <c r="E619" t="inlineStr">
        <is>
          <t>KRAMFORS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10732-2026</t>
        </is>
      </c>
      <c r="B620" s="1" t="n">
        <v>46078.48142361111</v>
      </c>
      <c r="C620" s="1" t="n">
        <v>46180</v>
      </c>
      <c r="D620" t="inlineStr">
        <is>
          <t>VÄSTERNORRLANDS LÄN</t>
        </is>
      </c>
      <c r="E620" t="inlineStr">
        <is>
          <t>KRAMFORS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52961-2025</t>
        </is>
      </c>
      <c r="B621" s="1" t="n">
        <v>45957.66293981481</v>
      </c>
      <c r="C621" s="1" t="n">
        <v>46180</v>
      </c>
      <c r="D621" t="inlineStr">
        <is>
          <t>VÄSTERNORRLANDS LÄN</t>
        </is>
      </c>
      <c r="E621" t="inlineStr">
        <is>
          <t>KRAMFORS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52971-2025</t>
        </is>
      </c>
      <c r="B622" s="1" t="n">
        <v>45957.67755787037</v>
      </c>
      <c r="C622" s="1" t="n">
        <v>46180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46822-2023</t>
        </is>
      </c>
      <c r="B623" s="1" t="n">
        <v>45198</v>
      </c>
      <c r="C623" s="1" t="n">
        <v>46180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21.2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10716-2026</t>
        </is>
      </c>
      <c r="B624" s="1" t="n">
        <v>46078.46438657407</v>
      </c>
      <c r="C624" s="1" t="n">
        <v>46180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10718-2026</t>
        </is>
      </c>
      <c r="B625" s="1" t="n">
        <v>46078.4666087963</v>
      </c>
      <c r="C625" s="1" t="n">
        <v>46180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3291-2026</t>
        </is>
      </c>
      <c r="B626" s="1" t="n">
        <v>46041</v>
      </c>
      <c r="C626" s="1" t="n">
        <v>46180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14870-2025</t>
        </is>
      </c>
      <c r="B627" s="1" t="n">
        <v>45743.44844907407</v>
      </c>
      <c r="C627" s="1" t="n">
        <v>46180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53326-2025</t>
        </is>
      </c>
      <c r="B628" s="1" t="n">
        <v>45959.36498842593</v>
      </c>
      <c r="C628" s="1" t="n">
        <v>46180</v>
      </c>
      <c r="D628" t="inlineStr">
        <is>
          <t>VÄSTERNORRLANDS LÄN</t>
        </is>
      </c>
      <c r="E628" t="inlineStr">
        <is>
          <t>KRAMFORS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53431-2025</t>
        </is>
      </c>
      <c r="B629" s="1" t="n">
        <v>45959</v>
      </c>
      <c r="C629" s="1" t="n">
        <v>46180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53372-2025</t>
        </is>
      </c>
      <c r="B630" s="1" t="n">
        <v>45959.50277777778</v>
      </c>
      <c r="C630" s="1" t="n">
        <v>46180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53365-2025</t>
        </is>
      </c>
      <c r="B631" s="1" t="n">
        <v>45959.48501157408</v>
      </c>
      <c r="C631" s="1" t="n">
        <v>46180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53449-2025</t>
        </is>
      </c>
      <c r="B632" s="1" t="n">
        <v>45959</v>
      </c>
      <c r="C632" s="1" t="n">
        <v>46180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53452-2025</t>
        </is>
      </c>
      <c r="B633" s="1" t="n">
        <v>45959.65700231482</v>
      </c>
      <c r="C633" s="1" t="n">
        <v>46180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53703-2025</t>
        </is>
      </c>
      <c r="B634" s="1" t="n">
        <v>45960.60027777778</v>
      </c>
      <c r="C634" s="1" t="n">
        <v>46180</v>
      </c>
      <c r="D634" t="inlineStr">
        <is>
          <t>VÄSTERNORRLANDS LÄN</t>
        </is>
      </c>
      <c r="E634" t="inlineStr">
        <is>
          <t>KRAMFORS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53314-2025</t>
        </is>
      </c>
      <c r="B635" s="1" t="n">
        <v>45959.34474537037</v>
      </c>
      <c r="C635" s="1" t="n">
        <v>46180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53368-2025</t>
        </is>
      </c>
      <c r="B636" s="1" t="n">
        <v>45959.49068287037</v>
      </c>
      <c r="C636" s="1" t="n">
        <v>46180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53373-2025</t>
        </is>
      </c>
      <c r="B637" s="1" t="n">
        <v>45959.50439814815</v>
      </c>
      <c r="C637" s="1" t="n">
        <v>46180</v>
      </c>
      <c r="D637" t="inlineStr">
        <is>
          <t>VÄSTERNORRLANDS LÄN</t>
        </is>
      </c>
      <c r="E637" t="inlineStr">
        <is>
          <t>KRAMFORS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53791-2025</t>
        </is>
      </c>
      <c r="B638" s="1" t="n">
        <v>45960.72030092592</v>
      </c>
      <c r="C638" s="1" t="n">
        <v>46180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53790-2025</t>
        </is>
      </c>
      <c r="B639" s="1" t="n">
        <v>45960.72025462963</v>
      </c>
      <c r="C639" s="1" t="n">
        <v>46180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36523-2023</t>
        </is>
      </c>
      <c r="B640" s="1" t="n">
        <v>45153</v>
      </c>
      <c r="C640" s="1" t="n">
        <v>46180</v>
      </c>
      <c r="D640" t="inlineStr">
        <is>
          <t>VÄSTERNORRLANDS LÄN</t>
        </is>
      </c>
      <c r="E640" t="inlineStr">
        <is>
          <t>KRAMFORS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54184-2025</t>
        </is>
      </c>
      <c r="B641" s="1" t="n">
        <v>45964</v>
      </c>
      <c r="C641" s="1" t="n">
        <v>46180</v>
      </c>
      <c r="D641" t="inlineStr">
        <is>
          <t>VÄSTERNORRLANDS LÄN</t>
        </is>
      </c>
      <c r="E641" t="inlineStr">
        <is>
          <t>KRAMFORS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54196-2025</t>
        </is>
      </c>
      <c r="B642" s="1" t="n">
        <v>45964.57424768519</v>
      </c>
      <c r="C642" s="1" t="n">
        <v>46180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54273-2025</t>
        </is>
      </c>
      <c r="B643" s="1" t="n">
        <v>45964.67859953704</v>
      </c>
      <c r="C643" s="1" t="n">
        <v>46180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54185-2025</t>
        </is>
      </c>
      <c r="B644" s="1" t="n">
        <v>45964.56795138889</v>
      </c>
      <c r="C644" s="1" t="n">
        <v>46180</v>
      </c>
      <c r="D644" t="inlineStr">
        <is>
          <t>VÄSTERNORRLANDS LÄN</t>
        </is>
      </c>
      <c r="E644" t="inlineStr">
        <is>
          <t>KRAMFORS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54188-2025</t>
        </is>
      </c>
      <c r="B645" s="1" t="n">
        <v>45964.56894675926</v>
      </c>
      <c r="C645" s="1" t="n">
        <v>46180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54103-2025</t>
        </is>
      </c>
      <c r="B646" s="1" t="n">
        <v>45964.42760416667</v>
      </c>
      <c r="C646" s="1" t="n">
        <v>46180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54069-2025</t>
        </is>
      </c>
      <c r="B647" s="1" t="n">
        <v>45964.3446875</v>
      </c>
      <c r="C647" s="1" t="n">
        <v>46180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54068-2025</t>
        </is>
      </c>
      <c r="B648" s="1" t="n">
        <v>45964.34452546296</v>
      </c>
      <c r="C648" s="1" t="n">
        <v>46180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54187-2025</t>
        </is>
      </c>
      <c r="B649" s="1" t="n">
        <v>45964</v>
      </c>
      <c r="C649" s="1" t="n">
        <v>46180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40434-2022</t>
        </is>
      </c>
      <c r="B650" s="1" t="n">
        <v>44819</v>
      </c>
      <c r="C650" s="1" t="n">
        <v>46180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7938-2022</t>
        </is>
      </c>
      <c r="B651" s="1" t="n">
        <v>44608</v>
      </c>
      <c r="C651" s="1" t="n">
        <v>46180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17946-2023</t>
        </is>
      </c>
      <c r="B652" s="1" t="n">
        <v>45040</v>
      </c>
      <c r="C652" s="1" t="n">
        <v>46180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54356-2025</t>
        </is>
      </c>
      <c r="B653" s="1" t="n">
        <v>45965.38269675926</v>
      </c>
      <c r="C653" s="1" t="n">
        <v>46180</v>
      </c>
      <c r="D653" t="inlineStr">
        <is>
          <t>VÄSTERNORRLANDS LÄN</t>
        </is>
      </c>
      <c r="E653" t="inlineStr">
        <is>
          <t>KRAMFORS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39121-2025</t>
        </is>
      </c>
      <c r="B654" s="1" t="n">
        <v>45884</v>
      </c>
      <c r="C654" s="1" t="n">
        <v>46180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3493-2025</t>
        </is>
      </c>
      <c r="B655" s="1" t="n">
        <v>45680.55401620371</v>
      </c>
      <c r="C655" s="1" t="n">
        <v>46180</v>
      </c>
      <c r="D655" t="inlineStr">
        <is>
          <t>VÄSTERNORRLANDS LÄN</t>
        </is>
      </c>
      <c r="E655" t="inlineStr">
        <is>
          <t>KRAMFORS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9241-2025</t>
        </is>
      </c>
      <c r="B656" s="1" t="n">
        <v>45714.56277777778</v>
      </c>
      <c r="C656" s="1" t="n">
        <v>46180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28114-2024</t>
        </is>
      </c>
      <c r="B657" s="1" t="n">
        <v>45476.63940972222</v>
      </c>
      <c r="C657" s="1" t="n">
        <v>46180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4159-2025</t>
        </is>
      </c>
      <c r="B658" s="1" t="n">
        <v>45685.39597222222</v>
      </c>
      <c r="C658" s="1" t="n">
        <v>46180</v>
      </c>
      <c r="D658" t="inlineStr">
        <is>
          <t>VÄSTERNORRLANDS LÄN</t>
        </is>
      </c>
      <c r="E658" t="inlineStr">
        <is>
          <t>KRAMFORS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4160-2025</t>
        </is>
      </c>
      <c r="B659" s="1" t="n">
        <v>45685.39604166667</v>
      </c>
      <c r="C659" s="1" t="n">
        <v>46180</v>
      </c>
      <c r="D659" t="inlineStr">
        <is>
          <t>VÄSTERNORRLANDS LÄN</t>
        </is>
      </c>
      <c r="E659" t="inlineStr">
        <is>
          <t>KRAMFORS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4950-2025</t>
        </is>
      </c>
      <c r="B660" s="1" t="n">
        <v>45689</v>
      </c>
      <c r="C660" s="1" t="n">
        <v>46180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18643-2025</t>
        </is>
      </c>
      <c r="B661" s="1" t="n">
        <v>45763.57328703703</v>
      </c>
      <c r="C661" s="1" t="n">
        <v>46180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18648-2025</t>
        </is>
      </c>
      <c r="B662" s="1" t="n">
        <v>45763.57391203703</v>
      </c>
      <c r="C662" s="1" t="n">
        <v>46180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51519-2025</t>
        </is>
      </c>
      <c r="B663" s="1" t="n">
        <v>45950</v>
      </c>
      <c r="C663" s="1" t="n">
        <v>46180</v>
      </c>
      <c r="D663" t="inlineStr">
        <is>
          <t>VÄSTERNORRLANDS LÄN</t>
        </is>
      </c>
      <c r="E663" t="inlineStr">
        <is>
          <t>KRAMFORS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13926-2023</t>
        </is>
      </c>
      <c r="B664" s="1" t="n">
        <v>45008</v>
      </c>
      <c r="C664" s="1" t="n">
        <v>46180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52721-2025</t>
        </is>
      </c>
      <c r="B665" s="1" t="n">
        <v>45957</v>
      </c>
      <c r="C665" s="1" t="n">
        <v>46180</v>
      </c>
      <c r="D665" t="inlineStr">
        <is>
          <t>VÄSTERNORRLANDS LÄN</t>
        </is>
      </c>
      <c r="E665" t="inlineStr">
        <is>
          <t>KRAMFORS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51528-2025</t>
        </is>
      </c>
      <c r="B666" s="1" t="n">
        <v>45950</v>
      </c>
      <c r="C666" s="1" t="n">
        <v>46180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55148-2025</t>
        </is>
      </c>
      <c r="B667" s="1" t="n">
        <v>45968.44716435186</v>
      </c>
      <c r="C667" s="1" t="n">
        <v>46180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11993-2026</t>
        </is>
      </c>
      <c r="B668" s="1" t="n">
        <v>46085</v>
      </c>
      <c r="C668" s="1" t="n">
        <v>46180</v>
      </c>
      <c r="D668" t="inlineStr">
        <is>
          <t>VÄSTERNORRLANDS LÄN</t>
        </is>
      </c>
      <c r="E668" t="inlineStr">
        <is>
          <t>KRAMFORS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55128-2025</t>
        </is>
      </c>
      <c r="B669" s="1" t="n">
        <v>45968.41428240741</v>
      </c>
      <c r="C669" s="1" t="n">
        <v>46180</v>
      </c>
      <c r="D669" t="inlineStr">
        <is>
          <t>VÄSTERNORRLANDS LÄN</t>
        </is>
      </c>
      <c r="E669" t="inlineStr">
        <is>
          <t>KRAMFORS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55157-2025</t>
        </is>
      </c>
      <c r="B670" s="1" t="n">
        <v>45968.46418981482</v>
      </c>
      <c r="C670" s="1" t="n">
        <v>46180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345-2025</t>
        </is>
      </c>
      <c r="B671" s="1" t="n">
        <v>45660.71949074074</v>
      </c>
      <c r="C671" s="1" t="n">
        <v>46180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41287-2021</t>
        </is>
      </c>
      <c r="B672" s="1" t="n">
        <v>44424</v>
      </c>
      <c r="C672" s="1" t="n">
        <v>46180</v>
      </c>
      <c r="D672" t="inlineStr">
        <is>
          <t>VÄSTERNORRLANDS LÄN</t>
        </is>
      </c>
      <c r="E672" t="inlineStr">
        <is>
          <t>KRAMFORS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55131-2025</t>
        </is>
      </c>
      <c r="B673" s="1" t="n">
        <v>45968.41751157407</v>
      </c>
      <c r="C673" s="1" t="n">
        <v>46180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29285-2024</t>
        </is>
      </c>
      <c r="B674" s="1" t="n">
        <v>45483</v>
      </c>
      <c r="C674" s="1" t="n">
        <v>46180</v>
      </c>
      <c r="D674" t="inlineStr">
        <is>
          <t>VÄSTERNORRLANDS LÄN</t>
        </is>
      </c>
      <c r="E674" t="inlineStr">
        <is>
          <t>KRAMFORS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42063-2022</t>
        </is>
      </c>
      <c r="B675" s="1" t="n">
        <v>44830</v>
      </c>
      <c r="C675" s="1" t="n">
        <v>46180</v>
      </c>
      <c r="D675" t="inlineStr">
        <is>
          <t>VÄSTERNORRLANDS LÄN</t>
        </is>
      </c>
      <c r="E675" t="inlineStr">
        <is>
          <t>KRAMFORS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12106-2025</t>
        </is>
      </c>
      <c r="B676" s="1" t="n">
        <v>45729.34443287037</v>
      </c>
      <c r="C676" s="1" t="n">
        <v>46180</v>
      </c>
      <c r="D676" t="inlineStr">
        <is>
          <t>VÄSTERNORRLANDS LÄN</t>
        </is>
      </c>
      <c r="E676" t="inlineStr">
        <is>
          <t>KRAMFORS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51077-2022</t>
        </is>
      </c>
      <c r="B677" s="1" t="n">
        <v>44865</v>
      </c>
      <c r="C677" s="1" t="n">
        <v>46180</v>
      </c>
      <c r="D677" t="inlineStr">
        <is>
          <t>VÄSTERNORRLANDS LÄN</t>
        </is>
      </c>
      <c r="E677" t="inlineStr">
        <is>
          <t>KRAMFORS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55573-2025</t>
        </is>
      </c>
      <c r="B678" s="1" t="n">
        <v>45971.65982638889</v>
      </c>
      <c r="C678" s="1" t="n">
        <v>46180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16163-2025</t>
        </is>
      </c>
      <c r="B679" s="1" t="n">
        <v>45750</v>
      </c>
      <c r="C679" s="1" t="n">
        <v>46180</v>
      </c>
      <c r="D679" t="inlineStr">
        <is>
          <t>VÄSTERNORRLANDS LÄN</t>
        </is>
      </c>
      <c r="E679" t="inlineStr">
        <is>
          <t>KRAMFORS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55506-2025</t>
        </is>
      </c>
      <c r="B680" s="1" t="n">
        <v>45971.5922337963</v>
      </c>
      <c r="C680" s="1" t="n">
        <v>46180</v>
      </c>
      <c r="D680" t="inlineStr">
        <is>
          <t>VÄSTERNORRLANDS LÄN</t>
        </is>
      </c>
      <c r="E680" t="inlineStr">
        <is>
          <t>KRAMFORS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52924-2025</t>
        </is>
      </c>
      <c r="B681" s="1" t="n">
        <v>45957</v>
      </c>
      <c r="C681" s="1" t="n">
        <v>46180</v>
      </c>
      <c r="D681" t="inlineStr">
        <is>
          <t>VÄSTERNORRLANDS LÄN</t>
        </is>
      </c>
      <c r="E681" t="inlineStr">
        <is>
          <t>KRAMFORS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55332-2025</t>
        </is>
      </c>
      <c r="B682" s="1" t="n">
        <v>45971</v>
      </c>
      <c r="C682" s="1" t="n">
        <v>46180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56337-2025</t>
        </is>
      </c>
      <c r="B683" s="1" t="n">
        <v>45974.64597222222</v>
      </c>
      <c r="C683" s="1" t="n">
        <v>46180</v>
      </c>
      <c r="D683" t="inlineStr">
        <is>
          <t>VÄSTERNORRLANDS LÄN</t>
        </is>
      </c>
      <c r="E683" t="inlineStr">
        <is>
          <t>KRAMFORS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11574-2026</t>
        </is>
      </c>
      <c r="B684" s="1" t="n">
        <v>46084.38381944445</v>
      </c>
      <c r="C684" s="1" t="n">
        <v>46180</v>
      </c>
      <c r="D684" t="inlineStr">
        <is>
          <t>VÄSTERNORRLANDS LÄN</t>
        </is>
      </c>
      <c r="E684" t="inlineStr">
        <is>
          <t>KRAMFORS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34201-2021</t>
        </is>
      </c>
      <c r="B685" s="1" t="n">
        <v>44379</v>
      </c>
      <c r="C685" s="1" t="n">
        <v>46180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56289-2025</t>
        </is>
      </c>
      <c r="B686" s="1" t="n">
        <v>45974.59734953703</v>
      </c>
      <c r="C686" s="1" t="n">
        <v>46180</v>
      </c>
      <c r="D686" t="inlineStr">
        <is>
          <t>VÄSTERNORRLANDS LÄN</t>
        </is>
      </c>
      <c r="E686" t="inlineStr">
        <is>
          <t>KRAMFORS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56361-2025</t>
        </is>
      </c>
      <c r="B687" s="1" t="n">
        <v>45974.66362268518</v>
      </c>
      <c r="C687" s="1" t="n">
        <v>46180</v>
      </c>
      <c r="D687" t="inlineStr">
        <is>
          <t>VÄSTERNORRLANDS LÄN</t>
        </is>
      </c>
      <c r="E687" t="inlineStr">
        <is>
          <t>KRAMFORS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56362-2025</t>
        </is>
      </c>
      <c r="B688" s="1" t="n">
        <v>45974.66378472222</v>
      </c>
      <c r="C688" s="1" t="n">
        <v>46180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12066-2025</t>
        </is>
      </c>
      <c r="B689" s="1" t="n">
        <v>45728</v>
      </c>
      <c r="C689" s="1" t="n">
        <v>46180</v>
      </c>
      <c r="D689" t="inlineStr">
        <is>
          <t>VÄSTERNORRLANDS LÄN</t>
        </is>
      </c>
      <c r="E689" t="inlineStr">
        <is>
          <t>KRAMFORS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55743-2025</t>
        </is>
      </c>
      <c r="B690" s="1" t="n">
        <v>45972.57387731481</v>
      </c>
      <c r="C690" s="1" t="n">
        <v>46180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56090-2025</t>
        </is>
      </c>
      <c r="B691" s="1" t="n">
        <v>45973.66877314815</v>
      </c>
      <c r="C691" s="1" t="n">
        <v>46180</v>
      </c>
      <c r="D691" t="inlineStr">
        <is>
          <t>VÄSTERNORRLANDS LÄN</t>
        </is>
      </c>
      <c r="E691" t="inlineStr">
        <is>
          <t>KRAMFORS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56156-2025</t>
        </is>
      </c>
      <c r="B692" s="1" t="n">
        <v>45974.36638888889</v>
      </c>
      <c r="C692" s="1" t="n">
        <v>46180</v>
      </c>
      <c r="D692" t="inlineStr">
        <is>
          <t>VÄSTERNORRLANDS LÄN</t>
        </is>
      </c>
      <c r="E692" t="inlineStr">
        <is>
          <t>KRAMFORS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56278-2025</t>
        </is>
      </c>
      <c r="B693" s="1" t="n">
        <v>45974.58819444444</v>
      </c>
      <c r="C693" s="1" t="n">
        <v>46180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56041-2025</t>
        </is>
      </c>
      <c r="B694" s="1" t="n">
        <v>45973.61496527777</v>
      </c>
      <c r="C694" s="1" t="n">
        <v>46180</v>
      </c>
      <c r="D694" t="inlineStr">
        <is>
          <t>VÄSTERNORRLANDS LÄN</t>
        </is>
      </c>
      <c r="E694" t="inlineStr">
        <is>
          <t>KRAMFORS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56058-2025</t>
        </is>
      </c>
      <c r="B695" s="1" t="n">
        <v>45973.63584490741</v>
      </c>
      <c r="C695" s="1" t="n">
        <v>46180</v>
      </c>
      <c r="D695" t="inlineStr">
        <is>
          <t>VÄSTERNORRLANDS LÄN</t>
        </is>
      </c>
      <c r="E695" t="inlineStr">
        <is>
          <t>KRAMFORS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56358-2025</t>
        </is>
      </c>
      <c r="B696" s="1" t="n">
        <v>45974.66315972222</v>
      </c>
      <c r="C696" s="1" t="n">
        <v>46180</v>
      </c>
      <c r="D696" t="inlineStr">
        <is>
          <t>VÄSTERNORRLANDS LÄN</t>
        </is>
      </c>
      <c r="E696" t="inlineStr">
        <is>
          <t>KRAMFORS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56359-2025</t>
        </is>
      </c>
      <c r="B697" s="1" t="n">
        <v>45974.66335648148</v>
      </c>
      <c r="C697" s="1" t="n">
        <v>46180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56339-2025</t>
        </is>
      </c>
      <c r="B698" s="1" t="n">
        <v>45974.64638888889</v>
      </c>
      <c r="C698" s="1" t="n">
        <v>46180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56355-2025</t>
        </is>
      </c>
      <c r="B699" s="1" t="n">
        <v>45974.65967592593</v>
      </c>
      <c r="C699" s="1" t="n">
        <v>46180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56157-2025</t>
        </is>
      </c>
      <c r="B700" s="1" t="n">
        <v>45974.37148148148</v>
      </c>
      <c r="C700" s="1" t="n">
        <v>46180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4156-2025</t>
        </is>
      </c>
      <c r="B701" s="1" t="n">
        <v>45685.3956712963</v>
      </c>
      <c r="C701" s="1" t="n">
        <v>46180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40871-2023</t>
        </is>
      </c>
      <c r="B702" s="1" t="n">
        <v>45173.35846064815</v>
      </c>
      <c r="C702" s="1" t="n">
        <v>46180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14199-2025</t>
        </is>
      </c>
      <c r="B703" s="1" t="n">
        <v>45740</v>
      </c>
      <c r="C703" s="1" t="n">
        <v>46180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12561-2026</t>
        </is>
      </c>
      <c r="B704" s="1" t="n">
        <v>46090.64583333334</v>
      </c>
      <c r="C704" s="1" t="n">
        <v>46180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56508-2025</t>
        </is>
      </c>
      <c r="B705" s="1" t="n">
        <v>45975.44464120371</v>
      </c>
      <c r="C705" s="1" t="n">
        <v>46180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56731-2025</t>
        </is>
      </c>
      <c r="B706" s="1" t="n">
        <v>45978.32921296296</v>
      </c>
      <c r="C706" s="1" t="n">
        <v>46180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56538-2025</t>
        </is>
      </c>
      <c r="B707" s="1" t="n">
        <v>45975.47296296297</v>
      </c>
      <c r="C707" s="1" t="n">
        <v>46180</v>
      </c>
      <c r="D707" t="inlineStr">
        <is>
          <t>VÄSTERNORRLANDS LÄN</t>
        </is>
      </c>
      <c r="E707" t="inlineStr">
        <is>
          <t>KRAMFORS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57280-2025</t>
        </is>
      </c>
      <c r="B708" s="1" t="n">
        <v>45979.69960648148</v>
      </c>
      <c r="C708" s="1" t="n">
        <v>46180</v>
      </c>
      <c r="D708" t="inlineStr">
        <is>
          <t>VÄSTERNORRLANDS LÄN</t>
        </is>
      </c>
      <c r="E708" t="inlineStr">
        <is>
          <t>KRAMFORS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50724-2023</t>
        </is>
      </c>
      <c r="B709" s="1" t="n">
        <v>45217.57332175926</v>
      </c>
      <c r="C709" s="1" t="n">
        <v>46180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31140-2024</t>
        </is>
      </c>
      <c r="B710" s="1" t="n">
        <v>45502</v>
      </c>
      <c r="C710" s="1" t="n">
        <v>46180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57058-2025</t>
        </is>
      </c>
      <c r="B711" s="1" t="n">
        <v>45979.36495370371</v>
      </c>
      <c r="C711" s="1" t="n">
        <v>46180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46180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46180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57029-2025</t>
        </is>
      </c>
      <c r="B714" s="1" t="n">
        <v>45979.33319444444</v>
      </c>
      <c r="C714" s="1" t="n">
        <v>46180</v>
      </c>
      <c r="D714" t="inlineStr">
        <is>
          <t>VÄSTERNORRLANDS LÄN</t>
        </is>
      </c>
      <c r="E714" t="inlineStr">
        <is>
          <t>KRAMFORS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57069-2025</t>
        </is>
      </c>
      <c r="B715" s="1" t="n">
        <v>45979.38600694444</v>
      </c>
      <c r="C715" s="1" t="n">
        <v>46180</v>
      </c>
      <c r="D715" t="inlineStr">
        <is>
          <t>VÄSTERNORRLANDS LÄN</t>
        </is>
      </c>
      <c r="E715" t="inlineStr">
        <is>
          <t>KRAMFORS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46180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18917-2023</t>
        </is>
      </c>
      <c r="B717" s="1" t="n">
        <v>45044</v>
      </c>
      <c r="C717" s="1" t="n">
        <v>46180</v>
      </c>
      <c r="D717" t="inlineStr">
        <is>
          <t>VÄSTERNORRLANDS LÄN</t>
        </is>
      </c>
      <c r="E717" t="inlineStr">
        <is>
          <t>KRAMFORS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13044-2026</t>
        </is>
      </c>
      <c r="B718" s="1" t="n">
        <v>46093.31099537037</v>
      </c>
      <c r="C718" s="1" t="n">
        <v>46180</v>
      </c>
      <c r="D718" t="inlineStr">
        <is>
          <t>VÄSTERNORRLANDS LÄN</t>
        </is>
      </c>
      <c r="E718" t="inlineStr">
        <is>
          <t>KRAMFORS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57247-2025</t>
        </is>
      </c>
      <c r="B719" s="1" t="n">
        <v>45979</v>
      </c>
      <c r="C719" s="1" t="n">
        <v>46180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13043-2026</t>
        </is>
      </c>
      <c r="B720" s="1" t="n">
        <v>46093</v>
      </c>
      <c r="C720" s="1" t="n">
        <v>46180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57628-2025</t>
        </is>
      </c>
      <c r="B721" s="1" t="n">
        <v>45981.34590277778</v>
      </c>
      <c r="C721" s="1" t="n">
        <v>46180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27622-2024</t>
        </is>
      </c>
      <c r="B722" s="1" t="n">
        <v>45474</v>
      </c>
      <c r="C722" s="1" t="n">
        <v>46180</v>
      </c>
      <c r="D722" t="inlineStr">
        <is>
          <t>VÄSTERNORRLANDS LÄN</t>
        </is>
      </c>
      <c r="E722" t="inlineStr">
        <is>
          <t>KRAMFORS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58053-2025</t>
        </is>
      </c>
      <c r="B723" s="1" t="n">
        <v>45982.5225</v>
      </c>
      <c r="C723" s="1" t="n">
        <v>46180</v>
      </c>
      <c r="D723" t="inlineStr">
        <is>
          <t>VÄSTERNORRLANDS LÄN</t>
        </is>
      </c>
      <c r="E723" t="inlineStr">
        <is>
          <t>KRAMFORS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58057-2025</t>
        </is>
      </c>
      <c r="B724" s="1" t="n">
        <v>45982.52523148148</v>
      </c>
      <c r="C724" s="1" t="n">
        <v>46180</v>
      </c>
      <c r="D724" t="inlineStr">
        <is>
          <t>VÄSTERNORRLANDS LÄN</t>
        </is>
      </c>
      <c r="E724" t="inlineStr">
        <is>
          <t>KRAMFORS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58058-2025</t>
        </is>
      </c>
      <c r="B725" s="1" t="n">
        <v>45982.52927083334</v>
      </c>
      <c r="C725" s="1" t="n">
        <v>46180</v>
      </c>
      <c r="D725" t="inlineStr">
        <is>
          <t>VÄSTERNORRLANDS LÄN</t>
        </is>
      </c>
      <c r="E725" t="inlineStr">
        <is>
          <t>KRAMFORS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18618-2025</t>
        </is>
      </c>
      <c r="B726" s="1" t="n">
        <v>45763.51076388889</v>
      </c>
      <c r="C726" s="1" t="n">
        <v>46180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3614-2024</t>
        </is>
      </c>
      <c r="B727" s="1" t="n">
        <v>45320.92836805555</v>
      </c>
      <c r="C727" s="1" t="n">
        <v>46180</v>
      </c>
      <c r="D727" t="inlineStr">
        <is>
          <t>VÄSTERNORRLANDS LÄN</t>
        </is>
      </c>
      <c r="E727" t="inlineStr">
        <is>
          <t>KRAMFORS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57640-2025</t>
        </is>
      </c>
      <c r="B728" s="1" t="n">
        <v>45981.36559027778</v>
      </c>
      <c r="C728" s="1" t="n">
        <v>46180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57696-2025</t>
        </is>
      </c>
      <c r="B729" s="1" t="n">
        <v>45981.45594907407</v>
      </c>
      <c r="C729" s="1" t="n">
        <v>46180</v>
      </c>
      <c r="D729" t="inlineStr">
        <is>
          <t>VÄSTERNORRLANDS LÄN</t>
        </is>
      </c>
      <c r="E729" t="inlineStr">
        <is>
          <t>KRAMFORS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57643-2025</t>
        </is>
      </c>
      <c r="B730" s="1" t="n">
        <v>45981</v>
      </c>
      <c r="C730" s="1" t="n">
        <v>46180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13230-2026</t>
        </is>
      </c>
      <c r="B731" s="1" t="n">
        <v>46093.63377314815</v>
      </c>
      <c r="C731" s="1" t="n">
        <v>46180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57613-2025</t>
        </is>
      </c>
      <c r="B732" s="1" t="n">
        <v>45981.3419212963</v>
      </c>
      <c r="C732" s="1" t="n">
        <v>46180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18794-2025</t>
        </is>
      </c>
      <c r="B733" s="1" t="n">
        <v>45764.34547453704</v>
      </c>
      <c r="C733" s="1" t="n">
        <v>46180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13455-2025</t>
        </is>
      </c>
      <c r="B734" s="1" t="n">
        <v>45736.38248842592</v>
      </c>
      <c r="C734" s="1" t="n">
        <v>46180</v>
      </c>
      <c r="D734" t="inlineStr">
        <is>
          <t>VÄSTERNORRLANDS LÄN</t>
        </is>
      </c>
      <c r="E734" t="inlineStr">
        <is>
          <t>KRAMFORS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20450-2023</t>
        </is>
      </c>
      <c r="B735" s="1" t="n">
        <v>45056</v>
      </c>
      <c r="C735" s="1" t="n">
        <v>46180</v>
      </c>
      <c r="D735" t="inlineStr">
        <is>
          <t>VÄSTERNORRLANDS LÄN</t>
        </is>
      </c>
      <c r="E735" t="inlineStr">
        <is>
          <t>KRAMFORS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57919-2025</t>
        </is>
      </c>
      <c r="B736" s="1" t="n">
        <v>45981.80702546296</v>
      </c>
      <c r="C736" s="1" t="n">
        <v>46180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11189-2025</t>
        </is>
      </c>
      <c r="B737" s="1" t="n">
        <v>45725.71878472222</v>
      </c>
      <c r="C737" s="1" t="n">
        <v>46180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58523-2025</t>
        </is>
      </c>
      <c r="B738" s="1" t="n">
        <v>45985</v>
      </c>
      <c r="C738" s="1" t="n">
        <v>46180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HYPERLINK("https://klasma.github.io/Logging_2282/knärot/A 58523-2025 karta knärot.png", "A 58523-2025")</f>
        <v/>
      </c>
      <c r="V738">
        <f>HYPERLINK("https://klasma.github.io/Logging_2282/klagomål/A 58523-2025 FSC-klagomål.docx", "A 58523-2025")</f>
        <v/>
      </c>
      <c r="W738">
        <f>HYPERLINK("https://klasma.github.io/Logging_2282/klagomålsmail/A 58523-2025 FSC-klagomål mail.docx", "A 58523-2025")</f>
        <v/>
      </c>
      <c r="X738">
        <f>HYPERLINK("https://klasma.github.io/Logging_2282/tillsyn/A 58523-2025 tillsynsbegäran.docx", "A 58523-2025")</f>
        <v/>
      </c>
      <c r="Y738">
        <f>HYPERLINK("https://klasma.github.io/Logging_2282/tillsynsmail/A 58523-2025 tillsynsbegäran mail.docx", "A 58523-2025")</f>
        <v/>
      </c>
    </row>
    <row r="739" ht="15" customHeight="1">
      <c r="A739" t="inlineStr">
        <is>
          <t>A 68615-2021</t>
        </is>
      </c>
      <c r="B739" s="1" t="n">
        <v>44529</v>
      </c>
      <c r="C739" s="1" t="n">
        <v>46180</v>
      </c>
      <c r="D739" t="inlineStr">
        <is>
          <t>VÄSTERNORRLANDS LÄN</t>
        </is>
      </c>
      <c r="E739" t="inlineStr">
        <is>
          <t>KRAMFORS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32908-2024</t>
        </is>
      </c>
      <c r="B740" s="1" t="n">
        <v>45516</v>
      </c>
      <c r="C740" s="1" t="n">
        <v>46180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13917-2026</t>
        </is>
      </c>
      <c r="B741" s="1" t="n">
        <v>46098</v>
      </c>
      <c r="C741" s="1" t="n">
        <v>46180</v>
      </c>
      <c r="D741" t="inlineStr">
        <is>
          <t>VÄSTERNORRLANDS LÄN</t>
        </is>
      </c>
      <c r="E741" t="inlineStr">
        <is>
          <t>KRAMFORS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HYPERLINK("https://klasma.github.io/Logging_2282/knärot/A 13917-2026 karta knärot.png", "A 13917-2026")</f>
        <v/>
      </c>
      <c r="V741">
        <f>HYPERLINK("https://klasma.github.io/Logging_2282/klagomål/A 13917-2026 FSC-klagomål.docx", "A 13917-2026")</f>
        <v/>
      </c>
      <c r="W741">
        <f>HYPERLINK("https://klasma.github.io/Logging_2282/klagomålsmail/A 13917-2026 FSC-klagomål mail.docx", "A 13917-2026")</f>
        <v/>
      </c>
      <c r="X741">
        <f>HYPERLINK("https://klasma.github.io/Logging_2282/tillsyn/A 13917-2026 tillsynsbegäran.docx", "A 13917-2026")</f>
        <v/>
      </c>
      <c r="Y741">
        <f>HYPERLINK("https://klasma.github.io/Logging_2282/tillsynsmail/A 13917-2026 tillsynsbegäran mail.docx", "A 13917-2026")</f>
        <v/>
      </c>
    </row>
    <row r="742" ht="15" customHeight="1">
      <c r="A742" t="inlineStr">
        <is>
          <t>A 58929-2025</t>
        </is>
      </c>
      <c r="B742" s="1" t="n">
        <v>45986</v>
      </c>
      <c r="C742" s="1" t="n">
        <v>46180</v>
      </c>
      <c r="D742" t="inlineStr">
        <is>
          <t>VÄSTERNORRLANDS LÄN</t>
        </is>
      </c>
      <c r="E742" t="inlineStr">
        <is>
          <t>KRAMFORS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13606-2026</t>
        </is>
      </c>
      <c r="B743" s="1" t="n">
        <v>46094</v>
      </c>
      <c r="C743" s="1" t="n">
        <v>46180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58210-2025</t>
        </is>
      </c>
      <c r="B744" s="1" t="n">
        <v>45985.33354166667</v>
      </c>
      <c r="C744" s="1" t="n">
        <v>46180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20255-2026</t>
        </is>
      </c>
      <c r="B745" s="1" t="n">
        <v>46139.48972222222</v>
      </c>
      <c r="C745" s="1" t="n">
        <v>46180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58291-2025</t>
        </is>
      </c>
      <c r="B746" s="1" t="n">
        <v>45985.44837962963</v>
      </c>
      <c r="C746" s="1" t="n">
        <v>46180</v>
      </c>
      <c r="D746" t="inlineStr">
        <is>
          <t>VÄSTERNORRLANDS LÄN</t>
        </is>
      </c>
      <c r="E746" t="inlineStr">
        <is>
          <t>KRAMFORS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18264-2025</t>
        </is>
      </c>
      <c r="B747" s="1" t="n">
        <v>45762.36515046296</v>
      </c>
      <c r="C747" s="1" t="n">
        <v>46180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Kommuner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13562-2026</t>
        </is>
      </c>
      <c r="B748" s="1" t="n">
        <v>46094.79349537037</v>
      </c>
      <c r="C748" s="1" t="n">
        <v>46180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5895-2026</t>
        </is>
      </c>
      <c r="B749" s="1" t="n">
        <v>46052</v>
      </c>
      <c r="C749" s="1" t="n">
        <v>46180</v>
      </c>
      <c r="D749" t="inlineStr">
        <is>
          <t>VÄSTERNORRLANDS LÄN</t>
        </is>
      </c>
      <c r="E749" t="inlineStr">
        <is>
          <t>KRAMFORS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58292-2025</t>
        </is>
      </c>
      <c r="B750" s="1" t="n">
        <v>45985.44856481482</v>
      </c>
      <c r="C750" s="1" t="n">
        <v>46180</v>
      </c>
      <c r="D750" t="inlineStr">
        <is>
          <t>VÄSTERNORRLANDS LÄN</t>
        </is>
      </c>
      <c r="E750" t="inlineStr">
        <is>
          <t>KRAMFORS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58556-2025</t>
        </is>
      </c>
      <c r="B751" s="1" t="n">
        <v>45986.34287037037</v>
      </c>
      <c r="C751" s="1" t="n">
        <v>46180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43897-2024</t>
        </is>
      </c>
      <c r="B752" s="1" t="n">
        <v>45572.41359953704</v>
      </c>
      <c r="C752" s="1" t="n">
        <v>46180</v>
      </c>
      <c r="D752" t="inlineStr">
        <is>
          <t>VÄSTERNORRLANDS LÄN</t>
        </is>
      </c>
      <c r="E752" t="inlineStr">
        <is>
          <t>KRAMFORS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46180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58817-2025</t>
        </is>
      </c>
      <c r="B754" s="1" t="n">
        <v>45987.33471064815</v>
      </c>
      <c r="C754" s="1" t="n">
        <v>46180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9506-2023</t>
        </is>
      </c>
      <c r="B755" s="1" t="n">
        <v>44978</v>
      </c>
      <c r="C755" s="1" t="n">
        <v>46180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58813-2025</t>
        </is>
      </c>
      <c r="B756" s="1" t="n">
        <v>45987.3308912037</v>
      </c>
      <c r="C756" s="1" t="n">
        <v>46180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50314-2021</t>
        </is>
      </c>
      <c r="B757" s="1" t="n">
        <v>44456</v>
      </c>
      <c r="C757" s="1" t="n">
        <v>46180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59095-2025</t>
        </is>
      </c>
      <c r="B758" s="1" t="n">
        <v>45988.4525462963</v>
      </c>
      <c r="C758" s="1" t="n">
        <v>46180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59141-2025</t>
        </is>
      </c>
      <c r="B759" s="1" t="n">
        <v>45988.51274305556</v>
      </c>
      <c r="C759" s="1" t="n">
        <v>46180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46180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59639-2025</t>
        </is>
      </c>
      <c r="B761" s="1" t="n">
        <v>45992</v>
      </c>
      <c r="C761" s="1" t="n">
        <v>46180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50770-2021</t>
        </is>
      </c>
      <c r="B762" s="1" t="n">
        <v>44460.43626157408</v>
      </c>
      <c r="C762" s="1" t="n">
        <v>46180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59790-2025</t>
        </is>
      </c>
      <c r="B763" s="1" t="n">
        <v>45992</v>
      </c>
      <c r="C763" s="1" t="n">
        <v>46180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59774-2025</t>
        </is>
      </c>
      <c r="B764" s="1" t="n">
        <v>45992.60681712963</v>
      </c>
      <c r="C764" s="1" t="n">
        <v>46180</v>
      </c>
      <c r="D764" t="inlineStr">
        <is>
          <t>VÄSTERNORRLANDS LÄN</t>
        </is>
      </c>
      <c r="E764" t="inlineStr">
        <is>
          <t>KRAMFORS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46180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59370-2025</t>
        </is>
      </c>
      <c r="B766" s="1" t="n">
        <v>45989.4491550926</v>
      </c>
      <c r="C766" s="1" t="n">
        <v>46180</v>
      </c>
      <c r="D766" t="inlineStr">
        <is>
          <t>VÄSTERNORRLANDS LÄN</t>
        </is>
      </c>
      <c r="E766" t="inlineStr">
        <is>
          <t>KRAMFORS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2601-2023</t>
        </is>
      </c>
      <c r="B767" s="1" t="n">
        <v>44943</v>
      </c>
      <c r="C767" s="1" t="n">
        <v>46180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59719-2025</t>
        </is>
      </c>
      <c r="B768" s="1" t="n">
        <v>45992.53689814815</v>
      </c>
      <c r="C768" s="1" t="n">
        <v>46180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59713-2025</t>
        </is>
      </c>
      <c r="B769" s="1" t="n">
        <v>45992.52734953703</v>
      </c>
      <c r="C769" s="1" t="n">
        <v>46180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20673-2026</t>
        </is>
      </c>
      <c r="B770" s="1" t="n">
        <v>46141.44366898148</v>
      </c>
      <c r="C770" s="1" t="n">
        <v>46180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13929-2026</t>
        </is>
      </c>
      <c r="B771" s="1" t="n">
        <v>46098</v>
      </c>
      <c r="C771" s="1" t="n">
        <v>46180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13932-2026</t>
        </is>
      </c>
      <c r="B772" s="1" t="n">
        <v>46098.51322916667</v>
      </c>
      <c r="C772" s="1" t="n">
        <v>46180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14025-2026</t>
        </is>
      </c>
      <c r="B773" s="1" t="n">
        <v>46098.7227662037</v>
      </c>
      <c r="C773" s="1" t="n">
        <v>46180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46166-2023</t>
        </is>
      </c>
      <c r="B774" s="1" t="n">
        <v>45190</v>
      </c>
      <c r="C774" s="1" t="n">
        <v>46180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31606-2022</t>
        </is>
      </c>
      <c r="B775" s="1" t="n">
        <v>44775</v>
      </c>
      <c r="C775" s="1" t="n">
        <v>46180</v>
      </c>
      <c r="D775" t="inlineStr">
        <is>
          <t>VÄSTERNORRLANDS LÄN</t>
        </is>
      </c>
      <c r="E775" t="inlineStr">
        <is>
          <t>KRAMFORS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20428-2026</t>
        </is>
      </c>
      <c r="B776" s="1" t="n">
        <v>46140.37024305556</v>
      </c>
      <c r="C776" s="1" t="n">
        <v>46180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14160-2026</t>
        </is>
      </c>
      <c r="B777" s="1" t="n">
        <v>46099.46952546296</v>
      </c>
      <c r="C777" s="1" t="n">
        <v>46180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60156-2025</t>
        </is>
      </c>
      <c r="B778" s="1" t="n">
        <v>45994.42489583333</v>
      </c>
      <c r="C778" s="1" t="n">
        <v>46180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7764-2022</t>
        </is>
      </c>
      <c r="B779" s="1" t="n">
        <v>44608</v>
      </c>
      <c r="C779" s="1" t="n">
        <v>46180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20804-2026</t>
        </is>
      </c>
      <c r="B780" s="1" t="n">
        <v>46141.68069444445</v>
      </c>
      <c r="C780" s="1" t="n">
        <v>46180</v>
      </c>
      <c r="D780" t="inlineStr">
        <is>
          <t>VÄSTERNORRLANDS LÄN</t>
        </is>
      </c>
      <c r="E780" t="inlineStr">
        <is>
          <t>KRAMFORS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53329-2025</t>
        </is>
      </c>
      <c r="B781" s="1" t="n">
        <v>45959</v>
      </c>
      <c r="C781" s="1" t="n">
        <v>46180</v>
      </c>
      <c r="D781" t="inlineStr">
        <is>
          <t>VÄSTERNORRLANDS LÄN</t>
        </is>
      </c>
      <c r="E781" t="inlineStr">
        <is>
          <t>KRAMFORS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60665-2025</t>
        </is>
      </c>
      <c r="B782" s="1" t="n">
        <v>45996.51637731482</v>
      </c>
      <c r="C782" s="1" t="n">
        <v>46180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13901-2026</t>
        </is>
      </c>
      <c r="B783" s="1" t="n">
        <v>46098.46793981481</v>
      </c>
      <c r="C783" s="1" t="n">
        <v>46180</v>
      </c>
      <c r="D783" t="inlineStr">
        <is>
          <t>VÄSTERNORRLANDS LÄN</t>
        </is>
      </c>
      <c r="E783" t="inlineStr">
        <is>
          <t>KRAMFORS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14161-2026</t>
        </is>
      </c>
      <c r="B784" s="1" t="n">
        <v>46099.46956018519</v>
      </c>
      <c r="C784" s="1" t="n">
        <v>46180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16763-2025</t>
        </is>
      </c>
      <c r="B785" s="1" t="n">
        <v>45754</v>
      </c>
      <c r="C785" s="1" t="n">
        <v>46180</v>
      </c>
      <c r="D785" t="inlineStr">
        <is>
          <t>VÄSTERNORRLANDS LÄN</t>
        </is>
      </c>
      <c r="E785" t="inlineStr">
        <is>
          <t>KRAMFORS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60668-2025</t>
        </is>
      </c>
      <c r="B786" s="1" t="n">
        <v>45996.52039351852</v>
      </c>
      <c r="C786" s="1" t="n">
        <v>46180</v>
      </c>
      <c r="D786" t="inlineStr">
        <is>
          <t>VÄSTERNORRLANDS LÄN</t>
        </is>
      </c>
      <c r="E786" t="inlineStr">
        <is>
          <t>KRAMFORS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36034-2023</t>
        </is>
      </c>
      <c r="B787" s="1" t="n">
        <v>45148</v>
      </c>
      <c r="C787" s="1" t="n">
        <v>46180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61008-2025</t>
        </is>
      </c>
      <c r="B788" s="1" t="n">
        <v>45998</v>
      </c>
      <c r="C788" s="1" t="n">
        <v>46180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8227-2024</t>
        </is>
      </c>
      <c r="B789" s="1" t="n">
        <v>45351.92822916667</v>
      </c>
      <c r="C789" s="1" t="n">
        <v>46180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14149-2024</t>
        </is>
      </c>
      <c r="B790" s="1" t="n">
        <v>45392.92831018518</v>
      </c>
      <c r="C790" s="1" t="n">
        <v>46180</v>
      </c>
      <c r="D790" t="inlineStr">
        <is>
          <t>VÄSTERNORRLANDS LÄN</t>
        </is>
      </c>
      <c r="E790" t="inlineStr">
        <is>
          <t>KRAMFORS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40127-2024</t>
        </is>
      </c>
      <c r="B791" s="1" t="n">
        <v>45554</v>
      </c>
      <c r="C791" s="1" t="n">
        <v>46180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60971-2025</t>
        </is>
      </c>
      <c r="B792" s="1" t="n">
        <v>45999.69315972222</v>
      </c>
      <c r="C792" s="1" t="n">
        <v>46180</v>
      </c>
      <c r="D792" t="inlineStr">
        <is>
          <t>VÄSTERNORRLANDS LÄN</t>
        </is>
      </c>
      <c r="E792" t="inlineStr">
        <is>
          <t>KRAMFORS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60992-2025</t>
        </is>
      </c>
      <c r="B793" s="1" t="n">
        <v>45999.72966435185</v>
      </c>
      <c r="C793" s="1" t="n">
        <v>46180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14177-2025</t>
        </is>
      </c>
      <c r="B794" s="1" t="n">
        <v>45740.53023148148</v>
      </c>
      <c r="C794" s="1" t="n">
        <v>46180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13939-2026</t>
        </is>
      </c>
      <c r="B795" s="1" t="n">
        <v>46098.52487268519</v>
      </c>
      <c r="C795" s="1" t="n">
        <v>46180</v>
      </c>
      <c r="D795" t="inlineStr">
        <is>
          <t>VÄSTERNORRLANDS LÄN</t>
        </is>
      </c>
      <c r="E795" t="inlineStr">
        <is>
          <t>KRAMFORS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61304-2022</t>
        </is>
      </c>
      <c r="B796" s="1" t="n">
        <v>44915</v>
      </c>
      <c r="C796" s="1" t="n">
        <v>46180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38830-2024</t>
        </is>
      </c>
      <c r="B797" s="1" t="n">
        <v>45547</v>
      </c>
      <c r="C797" s="1" t="n">
        <v>46180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14082-2026</t>
        </is>
      </c>
      <c r="B798" s="1" t="n">
        <v>46099.37322916667</v>
      </c>
      <c r="C798" s="1" t="n">
        <v>46180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Kommuner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14159-2026</t>
        </is>
      </c>
      <c r="B799" s="1" t="n">
        <v>46099.46949074074</v>
      </c>
      <c r="C799" s="1" t="n">
        <v>46180</v>
      </c>
      <c r="D799" t="inlineStr">
        <is>
          <t>VÄSTERNORRLANDS LÄN</t>
        </is>
      </c>
      <c r="E799" t="inlineStr">
        <is>
          <t>KRAMFORS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847-2024</t>
        </is>
      </c>
      <c r="B800" s="1" t="n">
        <v>45300.93413194444</v>
      </c>
      <c r="C800" s="1" t="n">
        <v>46180</v>
      </c>
      <c r="D800" t="inlineStr">
        <is>
          <t>VÄSTERNORRLANDS LÄN</t>
        </is>
      </c>
      <c r="E800" t="inlineStr">
        <is>
          <t>KRAMFORS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46180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22496-2024</t>
        </is>
      </c>
      <c r="B802" s="1" t="n">
        <v>45447</v>
      </c>
      <c r="C802" s="1" t="n">
        <v>46180</v>
      </c>
      <c r="D802" t="inlineStr">
        <is>
          <t>VÄSTERNORRLANDS LÄN</t>
        </is>
      </c>
      <c r="E802" t="inlineStr">
        <is>
          <t>KRAMFORS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14773-2026</t>
        </is>
      </c>
      <c r="B803" s="1" t="n">
        <v>46101.64141203704</v>
      </c>
      <c r="C803" s="1" t="n">
        <v>46180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61425-2025</t>
        </is>
      </c>
      <c r="B804" s="1" t="n">
        <v>46001.54767361111</v>
      </c>
      <c r="C804" s="1" t="n">
        <v>46180</v>
      </c>
      <c r="D804" t="inlineStr">
        <is>
          <t>VÄSTERNORRLANDS LÄN</t>
        </is>
      </c>
      <c r="E804" t="inlineStr">
        <is>
          <t>KRAMFORS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61716-2025</t>
        </is>
      </c>
      <c r="B805" s="1" t="n">
        <v>46002.57275462963</v>
      </c>
      <c r="C805" s="1" t="n">
        <v>46180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61159-2025</t>
        </is>
      </c>
      <c r="B806" s="1" t="n">
        <v>46000.55240740741</v>
      </c>
      <c r="C806" s="1" t="n">
        <v>46180</v>
      </c>
      <c r="D806" t="inlineStr">
        <is>
          <t>VÄSTERNORRLANDS LÄN</t>
        </is>
      </c>
      <c r="E806" t="inlineStr">
        <is>
          <t>KRAMFORS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61753-2025</t>
        </is>
      </c>
      <c r="B807" s="1" t="n">
        <v>46002.61491898148</v>
      </c>
      <c r="C807" s="1" t="n">
        <v>46180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61318-2025</t>
        </is>
      </c>
      <c r="B808" s="1" t="n">
        <v>46000.94104166667</v>
      </c>
      <c r="C808" s="1" t="n">
        <v>46180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11250-2025</t>
        </is>
      </c>
      <c r="B809" s="1" t="n">
        <v>45726</v>
      </c>
      <c r="C809" s="1" t="n">
        <v>46180</v>
      </c>
      <c r="D809" t="inlineStr">
        <is>
          <t>VÄSTERNORRLANDS LÄN</t>
        </is>
      </c>
      <c r="E809" t="inlineStr">
        <is>
          <t>KRAMFORS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11251-2025</t>
        </is>
      </c>
      <c r="B810" s="1" t="n">
        <v>45726.38609953703</v>
      </c>
      <c r="C810" s="1" t="n">
        <v>46180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14537-2026</t>
        </is>
      </c>
      <c r="B811" s="1" t="n">
        <v>46100</v>
      </c>
      <c r="C811" s="1" t="n">
        <v>46180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46180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17211-2023</t>
        </is>
      </c>
      <c r="B813" s="1" t="n">
        <v>45034.92625</v>
      </c>
      <c r="C813" s="1" t="n">
        <v>46180</v>
      </c>
      <c r="D813" t="inlineStr">
        <is>
          <t>VÄSTERNORRLANDS LÄN</t>
        </is>
      </c>
      <c r="E813" t="inlineStr">
        <is>
          <t>KRAMFORS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20847-2026</t>
        </is>
      </c>
      <c r="B814" s="1" t="n">
        <v>46142.34605324074</v>
      </c>
      <c r="C814" s="1" t="n">
        <v>46180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20839-2026</t>
        </is>
      </c>
      <c r="B815" s="1" t="n">
        <v>46142.34336805555</v>
      </c>
      <c r="C815" s="1" t="n">
        <v>46180</v>
      </c>
      <c r="D815" t="inlineStr">
        <is>
          <t>VÄSTERNORRLANDS LÄN</t>
        </is>
      </c>
      <c r="E815" t="inlineStr">
        <is>
          <t>KRAMFORS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46180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6448-2023</t>
        </is>
      </c>
      <c r="B817" s="1" t="n">
        <v>44965</v>
      </c>
      <c r="C817" s="1" t="n">
        <v>46180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62821-2025</t>
        </is>
      </c>
      <c r="B818" s="1" t="n">
        <v>46008.65659722222</v>
      </c>
      <c r="C818" s="1" t="n">
        <v>46180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62834-2025</t>
        </is>
      </c>
      <c r="B819" s="1" t="n">
        <v>46008.67763888889</v>
      </c>
      <c r="C819" s="1" t="n">
        <v>46180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62474-2025</t>
        </is>
      </c>
      <c r="B820" s="1" t="n">
        <v>46007.54631944445</v>
      </c>
      <c r="C820" s="1" t="n">
        <v>46180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15004-2026</t>
        </is>
      </c>
      <c r="B821" s="1" t="n">
        <v>46104.60969907408</v>
      </c>
      <c r="C821" s="1" t="n">
        <v>46180</v>
      </c>
      <c r="D821" t="inlineStr">
        <is>
          <t>VÄSTERNORRLANDS LÄN</t>
        </is>
      </c>
      <c r="E821" t="inlineStr">
        <is>
          <t>KRAMFORS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62510-2025</t>
        </is>
      </c>
      <c r="B822" s="1" t="n">
        <v>46007</v>
      </c>
      <c r="C822" s="1" t="n">
        <v>46180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15347-2026</t>
        </is>
      </c>
      <c r="B823" s="1" t="n">
        <v>46105</v>
      </c>
      <c r="C823" s="1" t="n">
        <v>46180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62627-2025</t>
        </is>
      </c>
      <c r="B824" s="1" t="n">
        <v>46008</v>
      </c>
      <c r="C824" s="1" t="n">
        <v>46180</v>
      </c>
      <c r="D824" t="inlineStr">
        <is>
          <t>VÄSTERNORRLANDS LÄN</t>
        </is>
      </c>
      <c r="E824" t="inlineStr">
        <is>
          <t>KRAMFORS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21053-2026</t>
        </is>
      </c>
      <c r="B825" s="1" t="n">
        <v>46146</v>
      </c>
      <c r="C825" s="1" t="n">
        <v>46180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21074-2026</t>
        </is>
      </c>
      <c r="B826" s="1" t="n">
        <v>46146.41162037037</v>
      </c>
      <c r="C826" s="1" t="n">
        <v>46180</v>
      </c>
      <c r="D826" t="inlineStr">
        <is>
          <t>VÄSTERNORRLANDS LÄN</t>
        </is>
      </c>
      <c r="E826" t="inlineStr">
        <is>
          <t>KRAMFORS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62650-2025</t>
        </is>
      </c>
      <c r="B827" s="1" t="n">
        <v>46008.40663194445</v>
      </c>
      <c r="C827" s="1" t="n">
        <v>46180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14995-2026</t>
        </is>
      </c>
      <c r="B828" s="1" t="n">
        <v>46104.59383101852</v>
      </c>
      <c r="C828" s="1" t="n">
        <v>46180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56110-2023</t>
        </is>
      </c>
      <c r="B829" s="1" t="n">
        <v>45240.55074074074</v>
      </c>
      <c r="C829" s="1" t="n">
        <v>46180</v>
      </c>
      <c r="D829" t="inlineStr">
        <is>
          <t>VÄSTERNORRLANDS LÄN</t>
        </is>
      </c>
      <c r="E829" t="inlineStr">
        <is>
          <t>KRAMFORS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62502-2025</t>
        </is>
      </c>
      <c r="B830" s="1" t="n">
        <v>46007</v>
      </c>
      <c r="C830" s="1" t="n">
        <v>46180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62381-2025</t>
        </is>
      </c>
      <c r="B831" s="1" t="n">
        <v>46007.36673611111</v>
      </c>
      <c r="C831" s="1" t="n">
        <v>46180</v>
      </c>
      <c r="D831" t="inlineStr">
        <is>
          <t>VÄSTERNORRLANDS LÄN</t>
        </is>
      </c>
      <c r="E831" t="inlineStr">
        <is>
          <t>KRAMFORS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253-2025</t>
        </is>
      </c>
      <c r="B832" s="1" t="n">
        <v>45660.42829861111</v>
      </c>
      <c r="C832" s="1" t="n">
        <v>46180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55760-2024</t>
        </is>
      </c>
      <c r="B833" s="1" t="n">
        <v>45623.36486111111</v>
      </c>
      <c r="C833" s="1" t="n">
        <v>46180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46180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46180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62711-2025</t>
        </is>
      </c>
      <c r="B836" s="1" t="n">
        <v>46008.51105324074</v>
      </c>
      <c r="C836" s="1" t="n">
        <v>46180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3425-2023</t>
        </is>
      </c>
      <c r="B837" s="1" t="n">
        <v>44946</v>
      </c>
      <c r="C837" s="1" t="n">
        <v>46180</v>
      </c>
      <c r="D837" t="inlineStr">
        <is>
          <t>VÄSTERNORRLANDS LÄN</t>
        </is>
      </c>
      <c r="E837" t="inlineStr">
        <is>
          <t>KRAMFORS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63091-2025</t>
        </is>
      </c>
      <c r="B838" s="1" t="n">
        <v>46009.67791666667</v>
      </c>
      <c r="C838" s="1" t="n">
        <v>46180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63090-2025</t>
        </is>
      </c>
      <c r="B839" s="1" t="n">
        <v>46009.67790509259</v>
      </c>
      <c r="C839" s="1" t="n">
        <v>46180</v>
      </c>
      <c r="D839" t="inlineStr">
        <is>
          <t>VÄSTERNORRLANDS LÄN</t>
        </is>
      </c>
      <c r="E839" t="inlineStr">
        <is>
          <t>KRAMFORS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4601-2023</t>
        </is>
      </c>
      <c r="B840" s="1" t="n">
        <v>44956</v>
      </c>
      <c r="C840" s="1" t="n">
        <v>46180</v>
      </c>
      <c r="D840" t="inlineStr">
        <is>
          <t>VÄSTERNORRLANDS LÄN</t>
        </is>
      </c>
      <c r="E840" t="inlineStr">
        <is>
          <t>KRAMFORS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4602-2023</t>
        </is>
      </c>
      <c r="B841" s="1" t="n">
        <v>44956</v>
      </c>
      <c r="C841" s="1" t="n">
        <v>46180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47966-2024</t>
        </is>
      </c>
      <c r="B842" s="1" t="n">
        <v>45589.38642361111</v>
      </c>
      <c r="C842" s="1" t="n">
        <v>46180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28356-2023</t>
        </is>
      </c>
      <c r="B843" s="1" t="n">
        <v>45099</v>
      </c>
      <c r="C843" s="1" t="n">
        <v>46180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73988-2021</t>
        </is>
      </c>
      <c r="B844" s="1" t="n">
        <v>44556</v>
      </c>
      <c r="C844" s="1" t="n">
        <v>46180</v>
      </c>
      <c r="D844" t="inlineStr">
        <is>
          <t>VÄSTERNORRLANDS LÄN</t>
        </is>
      </c>
      <c r="E844" t="inlineStr">
        <is>
          <t>KRAMFORS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21037-2026</t>
        </is>
      </c>
      <c r="B845" s="1" t="n">
        <v>46146.34826388889</v>
      </c>
      <c r="C845" s="1" t="n">
        <v>46180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63099-2025</t>
        </is>
      </c>
      <c r="B846" s="1" t="n">
        <v>46009.69833333333</v>
      </c>
      <c r="C846" s="1" t="n">
        <v>46180</v>
      </c>
      <c r="D846" t="inlineStr">
        <is>
          <t>VÄSTERNORRLANDS LÄN</t>
        </is>
      </c>
      <c r="E846" t="inlineStr">
        <is>
          <t>KRAMFORS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62926-2025</t>
        </is>
      </c>
      <c r="B847" s="1" t="n">
        <v>46009.38605324074</v>
      </c>
      <c r="C847" s="1" t="n">
        <v>46180</v>
      </c>
      <c r="D847" t="inlineStr">
        <is>
          <t>VÄSTERNORRLANDS LÄN</t>
        </is>
      </c>
      <c r="E847" t="inlineStr">
        <is>
          <t>KRAMFORS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5070-2024</t>
        </is>
      </c>
      <c r="B848" s="1" t="n">
        <v>45329</v>
      </c>
      <c r="C848" s="1" t="n">
        <v>46180</v>
      </c>
      <c r="D848" t="inlineStr">
        <is>
          <t>VÄSTERNORRLANDS LÄN</t>
        </is>
      </c>
      <c r="E848" t="inlineStr">
        <is>
          <t>KRAMFORS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62911-2025</t>
        </is>
      </c>
      <c r="B849" s="1" t="n">
        <v>46009</v>
      </c>
      <c r="C849" s="1" t="n">
        <v>46180</v>
      </c>
      <c r="D849" t="inlineStr">
        <is>
          <t>VÄSTERNORRLANDS LÄN</t>
        </is>
      </c>
      <c r="E849" t="inlineStr">
        <is>
          <t>KRAMFORS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62818-2023</t>
        </is>
      </c>
      <c r="B850" s="1" t="n">
        <v>45271</v>
      </c>
      <c r="C850" s="1" t="n">
        <v>46180</v>
      </c>
      <c r="D850" t="inlineStr">
        <is>
          <t>VÄSTERNORRLANDS LÄN</t>
        </is>
      </c>
      <c r="E850" t="inlineStr">
        <is>
          <t>KRAMFORS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62912-2025</t>
        </is>
      </c>
      <c r="B851" s="1" t="n">
        <v>46009.36546296296</v>
      </c>
      <c r="C851" s="1" t="n">
        <v>46180</v>
      </c>
      <c r="D851" t="inlineStr">
        <is>
          <t>VÄSTERNORRLANDS LÄN</t>
        </is>
      </c>
      <c r="E851" t="inlineStr">
        <is>
          <t>KRAMFORS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21328-2026</t>
        </is>
      </c>
      <c r="B852" s="1" t="n">
        <v>46142</v>
      </c>
      <c r="C852" s="1" t="n">
        <v>46180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21359-2026</t>
        </is>
      </c>
      <c r="B853" s="1" t="n">
        <v>46147.63615740741</v>
      </c>
      <c r="C853" s="1" t="n">
        <v>46180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63683-2025</t>
        </is>
      </c>
      <c r="B854" s="1" t="n">
        <v>46014.51087962963</v>
      </c>
      <c r="C854" s="1" t="n">
        <v>46180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70795-2021</t>
        </is>
      </c>
      <c r="B855" s="1" t="n">
        <v>44537</v>
      </c>
      <c r="C855" s="1" t="n">
        <v>46180</v>
      </c>
      <c r="D855" t="inlineStr">
        <is>
          <t>VÄSTERNORRLANDS LÄN</t>
        </is>
      </c>
      <c r="E855" t="inlineStr">
        <is>
          <t>KRAMFORS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60865-2022</t>
        </is>
      </c>
      <c r="B856" s="1" t="n">
        <v>44908</v>
      </c>
      <c r="C856" s="1" t="n">
        <v>46180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63645-2025</t>
        </is>
      </c>
      <c r="B857" s="1" t="n">
        <v>46014.42739583334</v>
      </c>
      <c r="C857" s="1" t="n">
        <v>46180</v>
      </c>
      <c r="D857" t="inlineStr">
        <is>
          <t>VÄSTERNORRLANDS LÄN</t>
        </is>
      </c>
      <c r="E857" t="inlineStr">
        <is>
          <t>KRAMFORS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19777-2025</t>
        </is>
      </c>
      <c r="B858" s="1" t="n">
        <v>45771.4259375</v>
      </c>
      <c r="C858" s="1" t="n">
        <v>46180</v>
      </c>
      <c r="D858" t="inlineStr">
        <is>
          <t>VÄSTERNORRLANDS LÄN</t>
        </is>
      </c>
      <c r="E858" t="inlineStr">
        <is>
          <t>KRAMFORS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124-2024</t>
        </is>
      </c>
      <c r="B859" s="1" t="n">
        <v>45294</v>
      </c>
      <c r="C859" s="1" t="n">
        <v>46180</v>
      </c>
      <c r="D859" t="inlineStr">
        <is>
          <t>VÄSTERNORRLANDS LÄN</t>
        </is>
      </c>
      <c r="E859" t="inlineStr">
        <is>
          <t>KRAMFORS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15143-2026</t>
        </is>
      </c>
      <c r="B860" s="1" t="n">
        <v>46105.39576388889</v>
      </c>
      <c r="C860" s="1" t="n">
        <v>46180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7466-2024</t>
        </is>
      </c>
      <c r="B861" s="1" t="n">
        <v>45345</v>
      </c>
      <c r="C861" s="1" t="n">
        <v>46180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63698-2025</t>
        </is>
      </c>
      <c r="B862" s="1" t="n">
        <v>46014</v>
      </c>
      <c r="C862" s="1" t="n">
        <v>46180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21031-2026</t>
        </is>
      </c>
      <c r="B863" s="1" t="n">
        <v>46146.33652777778</v>
      </c>
      <c r="C863" s="1" t="n">
        <v>46180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21078-2026</t>
        </is>
      </c>
      <c r="B864" s="1" t="n">
        <v>46146.42079861111</v>
      </c>
      <c r="C864" s="1" t="n">
        <v>46180</v>
      </c>
      <c r="D864" t="inlineStr">
        <is>
          <t>VÄSTERNORRLANDS LÄN</t>
        </is>
      </c>
      <c r="E864" t="inlineStr">
        <is>
          <t>KRAMFORS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63627-2025</t>
        </is>
      </c>
      <c r="B865" s="1" t="n">
        <v>46014.36487268518</v>
      </c>
      <c r="C865" s="1" t="n">
        <v>46180</v>
      </c>
      <c r="D865" t="inlineStr">
        <is>
          <t>VÄSTERNORRLANDS LÄN</t>
        </is>
      </c>
      <c r="E865" t="inlineStr">
        <is>
          <t>KRAMFORS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33328-2024</t>
        </is>
      </c>
      <c r="B866" s="1" t="n">
        <v>45519.29268518519</v>
      </c>
      <c r="C866" s="1" t="n">
        <v>46180</v>
      </c>
      <c r="D866" t="inlineStr">
        <is>
          <t>VÄSTERNORRLANDS LÄN</t>
        </is>
      </c>
      <c r="E866" t="inlineStr">
        <is>
          <t>KRAMFORS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64156-2025</t>
        </is>
      </c>
      <c r="B867" s="1" t="n">
        <v>46022</v>
      </c>
      <c r="C867" s="1" t="n">
        <v>46180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39641-2023</t>
        </is>
      </c>
      <c r="B868" s="1" t="n">
        <v>45167</v>
      </c>
      <c r="C868" s="1" t="n">
        <v>46180</v>
      </c>
      <c r="D868" t="inlineStr">
        <is>
          <t>VÄSTERNORRLANDS LÄN</t>
        </is>
      </c>
      <c r="E868" t="inlineStr">
        <is>
          <t>KRAMFORS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63983-2025</t>
        </is>
      </c>
      <c r="B869" s="1" t="n">
        <v>46021.34506944445</v>
      </c>
      <c r="C869" s="1" t="n">
        <v>46180</v>
      </c>
      <c r="D869" t="inlineStr">
        <is>
          <t>VÄSTERNORRLANDS LÄN</t>
        </is>
      </c>
      <c r="E869" t="inlineStr">
        <is>
          <t>KRAMFORS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21290-2026</t>
        </is>
      </c>
      <c r="B870" s="1" t="n">
        <v>46147</v>
      </c>
      <c r="C870" s="1" t="n">
        <v>46180</v>
      </c>
      <c r="D870" t="inlineStr">
        <is>
          <t>VÄSTERNORRLANDS LÄN</t>
        </is>
      </c>
      <c r="E870" t="inlineStr">
        <is>
          <t>KRAMFORS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64153-2025</t>
        </is>
      </c>
      <c r="B871" s="1" t="n">
        <v>46022</v>
      </c>
      <c r="C871" s="1" t="n">
        <v>46180</v>
      </c>
      <c r="D871" t="inlineStr">
        <is>
          <t>VÄSTERNORRLANDS LÄN</t>
        </is>
      </c>
      <c r="E871" t="inlineStr">
        <is>
          <t>KRAMFORS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15820-2026</t>
        </is>
      </c>
      <c r="B872" s="1" t="n">
        <v>46107</v>
      </c>
      <c r="C872" s="1" t="n">
        <v>46180</v>
      </c>
      <c r="D872" t="inlineStr">
        <is>
          <t>VÄSTERNORRLANDS LÄN</t>
        </is>
      </c>
      <c r="E872" t="inlineStr">
        <is>
          <t>KRAMFORS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81-2026</t>
        </is>
      </c>
      <c r="B873" s="1" t="n">
        <v>46024.46921296296</v>
      </c>
      <c r="C873" s="1" t="n">
        <v>46180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20454-2026</t>
        </is>
      </c>
      <c r="B874" s="1" t="n">
        <v>46140</v>
      </c>
      <c r="C874" s="1" t="n">
        <v>46180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32465-2023</t>
        </is>
      </c>
      <c r="B875" s="1" t="n">
        <v>45120.9265625</v>
      </c>
      <c r="C875" s="1" t="n">
        <v>46180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8732-2022</t>
        </is>
      </c>
      <c r="B876" s="1" t="n">
        <v>44613.94571759259</v>
      </c>
      <c r="C876" s="1" t="n">
        <v>46180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17061-2023</t>
        </is>
      </c>
      <c r="B877" s="1" t="n">
        <v>45034</v>
      </c>
      <c r="C877" s="1" t="n">
        <v>46180</v>
      </c>
      <c r="D877" t="inlineStr">
        <is>
          <t>VÄSTERNORRLANDS LÄN</t>
        </is>
      </c>
      <c r="E877" t="inlineStr">
        <is>
          <t>KRAMFORS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15190-2025</t>
        </is>
      </c>
      <c r="B878" s="1" t="n">
        <v>45744.55275462963</v>
      </c>
      <c r="C878" s="1" t="n">
        <v>46180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Kyrkan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21609-2023</t>
        </is>
      </c>
      <c r="B879" s="1" t="n">
        <v>45062</v>
      </c>
      <c r="C879" s="1" t="n">
        <v>46180</v>
      </c>
      <c r="D879" t="inlineStr">
        <is>
          <t>VÄSTERNORRLANDS LÄN</t>
        </is>
      </c>
      <c r="E879" t="inlineStr">
        <is>
          <t>KRAMFORS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58786-2023</t>
        </is>
      </c>
      <c r="B880" s="1" t="n">
        <v>45247</v>
      </c>
      <c r="C880" s="1" t="n">
        <v>46180</v>
      </c>
      <c r="D880" t="inlineStr">
        <is>
          <t>VÄSTERNORRLANDS LÄN</t>
        </is>
      </c>
      <c r="E880" t="inlineStr">
        <is>
          <t>KRAMFORS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48583-2024</t>
        </is>
      </c>
      <c r="B881" s="1" t="n">
        <v>45593.41925925926</v>
      </c>
      <c r="C881" s="1" t="n">
        <v>46180</v>
      </c>
      <c r="D881" t="inlineStr">
        <is>
          <t>VÄSTERNORRLANDS LÄN</t>
        </is>
      </c>
      <c r="E881" t="inlineStr">
        <is>
          <t>KRAMFORS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39846-2024</t>
        </is>
      </c>
      <c r="B882" s="1" t="n">
        <v>45553.4275</v>
      </c>
      <c r="C882" s="1" t="n">
        <v>46180</v>
      </c>
      <c r="D882" t="inlineStr">
        <is>
          <t>VÄSTERNORRLANDS LÄN</t>
        </is>
      </c>
      <c r="E882" t="inlineStr">
        <is>
          <t>KRAMFORS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18604-2024</t>
        </is>
      </c>
      <c r="B883" s="1" t="n">
        <v>45425</v>
      </c>
      <c r="C883" s="1" t="n">
        <v>46180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62083-2024</t>
        </is>
      </c>
      <c r="B884" s="1" t="n">
        <v>45656.44252314815</v>
      </c>
      <c r="C884" s="1" t="n">
        <v>46180</v>
      </c>
      <c r="D884" t="inlineStr">
        <is>
          <t>VÄSTERNORRLANDS LÄN</t>
        </is>
      </c>
      <c r="E884" t="inlineStr">
        <is>
          <t>KRAMFORS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22064-2026</t>
        </is>
      </c>
      <c r="B885" s="1" t="n">
        <v>46153.48761574074</v>
      </c>
      <c r="C885" s="1" t="n">
        <v>46180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38553-2024</t>
        </is>
      </c>
      <c r="B886" s="1" t="n">
        <v>45546</v>
      </c>
      <c r="C886" s="1" t="n">
        <v>46180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17054-2023</t>
        </is>
      </c>
      <c r="B887" s="1" t="n">
        <v>45034</v>
      </c>
      <c r="C887" s="1" t="n">
        <v>46180</v>
      </c>
      <c r="D887" t="inlineStr">
        <is>
          <t>VÄSTERNORRLANDS LÄN</t>
        </is>
      </c>
      <c r="E887" t="inlineStr">
        <is>
          <t>KRAMFORS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22117-2026</t>
        </is>
      </c>
      <c r="B888" s="1" t="n">
        <v>46153.57217592592</v>
      </c>
      <c r="C888" s="1" t="n">
        <v>46180</v>
      </c>
      <c r="D888" t="inlineStr">
        <is>
          <t>VÄSTERNORRLANDS LÄN</t>
        </is>
      </c>
      <c r="E888" t="inlineStr">
        <is>
          <t>KRAMFORS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46180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19855-2024</t>
        </is>
      </c>
      <c r="B890" s="1" t="n">
        <v>45433</v>
      </c>
      <c r="C890" s="1" t="n">
        <v>46180</v>
      </c>
      <c r="D890" t="inlineStr">
        <is>
          <t>VÄSTERNORRLANDS LÄN</t>
        </is>
      </c>
      <c r="E890" t="inlineStr">
        <is>
          <t>KRAMFORS</t>
        </is>
      </c>
      <c r="G890" t="n">
        <v>18.9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20432-2026</t>
        </is>
      </c>
      <c r="B891" s="1" t="n">
        <v>46140</v>
      </c>
      <c r="C891" s="1" t="n">
        <v>46180</v>
      </c>
      <c r="D891" t="inlineStr">
        <is>
          <t>VÄSTERNORRLANDS LÄN</t>
        </is>
      </c>
      <c r="E891" t="inlineStr">
        <is>
          <t>KRAMFORS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43005-2023</t>
        </is>
      </c>
      <c r="B892" s="1" t="n">
        <v>45182</v>
      </c>
      <c r="C892" s="1" t="n">
        <v>46180</v>
      </c>
      <c r="D892" t="inlineStr">
        <is>
          <t>VÄSTERNORRLANDS LÄN</t>
        </is>
      </c>
      <c r="E892" t="inlineStr">
        <is>
          <t>KRAMFORS</t>
        </is>
      </c>
      <c r="G892" t="n">
        <v>13.8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56325-2023</t>
        </is>
      </c>
      <c r="B893" s="1" t="n">
        <v>45236</v>
      </c>
      <c r="C893" s="1" t="n">
        <v>46180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35296-2023</t>
        </is>
      </c>
      <c r="B894" s="1" t="n">
        <v>45145.97155092593</v>
      </c>
      <c r="C894" s="1" t="n">
        <v>46180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35297-2023</t>
        </is>
      </c>
      <c r="B895" s="1" t="n">
        <v>45145.97748842592</v>
      </c>
      <c r="C895" s="1" t="n">
        <v>46180</v>
      </c>
      <c r="D895" t="inlineStr">
        <is>
          <t>VÄSTERNORRLANDS LÄN</t>
        </is>
      </c>
      <c r="E895" t="inlineStr">
        <is>
          <t>KRAMFORS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22044-2026</t>
        </is>
      </c>
      <c r="B896" s="1" t="n">
        <v>46153.46756944444</v>
      </c>
      <c r="C896" s="1" t="n">
        <v>46180</v>
      </c>
      <c r="D896" t="inlineStr">
        <is>
          <t>VÄSTERNORRLANDS LÄN</t>
        </is>
      </c>
      <c r="E896" t="inlineStr">
        <is>
          <t>KRAMFORS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47652-2024</t>
        </is>
      </c>
      <c r="B897" s="1" t="n">
        <v>45588</v>
      </c>
      <c r="C897" s="1" t="n">
        <v>46180</v>
      </c>
      <c r="D897" t="inlineStr">
        <is>
          <t>VÄSTERNORRLANDS LÄN</t>
        </is>
      </c>
      <c r="E897" t="inlineStr">
        <is>
          <t>KRAMFORS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47667-2024</t>
        </is>
      </c>
      <c r="B898" s="1" t="n">
        <v>45588</v>
      </c>
      <c r="C898" s="1" t="n">
        <v>46180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47673-2024</t>
        </is>
      </c>
      <c r="B899" s="1" t="n">
        <v>45588</v>
      </c>
      <c r="C899" s="1" t="n">
        <v>46180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22595-2026</t>
        </is>
      </c>
      <c r="B900" s="1" t="n">
        <v>46155</v>
      </c>
      <c r="C900" s="1" t="n">
        <v>46180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21406-2026</t>
        </is>
      </c>
      <c r="B901" s="1" t="n">
        <v>46148.34472222222</v>
      </c>
      <c r="C901" s="1" t="n">
        <v>46180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17112-2023</t>
        </is>
      </c>
      <c r="B902" s="1" t="n">
        <v>45034</v>
      </c>
      <c r="C902" s="1" t="n">
        <v>46180</v>
      </c>
      <c r="D902" t="inlineStr">
        <is>
          <t>VÄSTERNORRLANDS LÄN</t>
        </is>
      </c>
      <c r="E902" t="inlineStr">
        <is>
          <t>KRAMFORS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20437-2026</t>
        </is>
      </c>
      <c r="B903" s="1" t="n">
        <v>46140</v>
      </c>
      <c r="C903" s="1" t="n">
        <v>46180</v>
      </c>
      <c r="D903" t="inlineStr">
        <is>
          <t>VÄSTERNORRLANDS LÄN</t>
        </is>
      </c>
      <c r="E903" t="inlineStr">
        <is>
          <t>KRAMFORS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22106-2026</t>
        </is>
      </c>
      <c r="B904" s="1" t="n">
        <v>46149</v>
      </c>
      <c r="C904" s="1" t="n">
        <v>46180</v>
      </c>
      <c r="D904" t="inlineStr">
        <is>
          <t>VÄSTERNORRLANDS LÄN</t>
        </is>
      </c>
      <c r="E904" t="inlineStr">
        <is>
          <t>KRAMFORS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22613-2026</t>
        </is>
      </c>
      <c r="B905" s="1" t="n">
        <v>46155</v>
      </c>
      <c r="C905" s="1" t="n">
        <v>46180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23573-2024</t>
        </is>
      </c>
      <c r="B906" s="1" t="n">
        <v>45454</v>
      </c>
      <c r="C906" s="1" t="n">
        <v>46180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8257-2022</t>
        </is>
      </c>
      <c r="B907" s="1" t="n">
        <v>44610.34373842592</v>
      </c>
      <c r="C907" s="1" t="n">
        <v>46180</v>
      </c>
      <c r="D907" t="inlineStr">
        <is>
          <t>VÄSTERNORRLANDS LÄN</t>
        </is>
      </c>
      <c r="E907" t="inlineStr">
        <is>
          <t>KRAMFORS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22107-2026</t>
        </is>
      </c>
      <c r="B908" s="1" t="n">
        <v>46149</v>
      </c>
      <c r="C908" s="1" t="n">
        <v>46180</v>
      </c>
      <c r="D908" t="inlineStr">
        <is>
          <t>VÄSTERNORRLANDS LÄN</t>
        </is>
      </c>
      <c r="E908" t="inlineStr">
        <is>
          <t>KRAMFORS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21065-2026</t>
        </is>
      </c>
      <c r="B909" s="1" t="n">
        <v>46146</v>
      </c>
      <c r="C909" s="1" t="n">
        <v>46180</v>
      </c>
      <c r="D909" t="inlineStr">
        <is>
          <t>VÄSTERNORRLANDS LÄN</t>
        </is>
      </c>
      <c r="E909" t="inlineStr">
        <is>
          <t>KRAMFORS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22774-2026</t>
        </is>
      </c>
      <c r="B910" s="1" t="n">
        <v>46157.55216435185</v>
      </c>
      <c r="C910" s="1" t="n">
        <v>46180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14129-2023</t>
        </is>
      </c>
      <c r="B911" s="1" t="n">
        <v>45008</v>
      </c>
      <c r="C911" s="1" t="n">
        <v>46180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18798-2025</t>
        </is>
      </c>
      <c r="B912" s="1" t="n">
        <v>45764</v>
      </c>
      <c r="C912" s="1" t="n">
        <v>46180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12338-2023</t>
        </is>
      </c>
      <c r="B913" s="1" t="n">
        <v>44998</v>
      </c>
      <c r="C913" s="1" t="n">
        <v>46180</v>
      </c>
      <c r="D913" t="inlineStr">
        <is>
          <t>VÄSTERNORRLANDS LÄN</t>
        </is>
      </c>
      <c r="E913" t="inlineStr">
        <is>
          <t>KRAMFORS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38447-2023</t>
        </is>
      </c>
      <c r="B914" s="1" t="n">
        <v>45162</v>
      </c>
      <c r="C914" s="1" t="n">
        <v>46180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61173-2024</t>
        </is>
      </c>
      <c r="B915" s="1" t="n">
        <v>45645.60475694444</v>
      </c>
      <c r="C915" s="1" t="n">
        <v>46180</v>
      </c>
      <c r="D915" t="inlineStr">
        <is>
          <t>VÄSTERNORRLANDS LÄN</t>
        </is>
      </c>
      <c r="E915" t="inlineStr">
        <is>
          <t>KRAMFORS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3688-2025</t>
        </is>
      </c>
      <c r="B916" s="1" t="n">
        <v>45681.45969907408</v>
      </c>
      <c r="C916" s="1" t="n">
        <v>46180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54362-2024</t>
        </is>
      </c>
      <c r="B917" s="1" t="n">
        <v>45617</v>
      </c>
      <c r="C917" s="1" t="n">
        <v>46180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40879-2023</t>
        </is>
      </c>
      <c r="B918" s="1" t="n">
        <v>45173</v>
      </c>
      <c r="C918" s="1" t="n">
        <v>46180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51846-2024</t>
        </is>
      </c>
      <c r="B919" s="1" t="n">
        <v>45607.52575231482</v>
      </c>
      <c r="C919" s="1" t="n">
        <v>46180</v>
      </c>
      <c r="D919" t="inlineStr">
        <is>
          <t>VÄSTERNORRLANDS LÄN</t>
        </is>
      </c>
      <c r="E919" t="inlineStr">
        <is>
          <t>KRAMFORS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183-2022</t>
        </is>
      </c>
      <c r="B920" s="1" t="n">
        <v>44564</v>
      </c>
      <c r="C920" s="1" t="n">
        <v>46180</v>
      </c>
      <c r="D920" t="inlineStr">
        <is>
          <t>VÄSTERNORRLANDS LÄN</t>
        </is>
      </c>
      <c r="E920" t="inlineStr">
        <is>
          <t>KRAMFORS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2428-2025</t>
        </is>
      </c>
      <c r="B921" s="1" t="n">
        <v>45674</v>
      </c>
      <c r="C921" s="1" t="n">
        <v>46180</v>
      </c>
      <c r="D921" t="inlineStr">
        <is>
          <t>VÄSTERNORRLANDS LÄN</t>
        </is>
      </c>
      <c r="E921" t="inlineStr">
        <is>
          <t>KRAMFORS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11247-2025</t>
        </is>
      </c>
      <c r="B922" s="1" t="n">
        <v>45726.38591435185</v>
      </c>
      <c r="C922" s="1" t="n">
        <v>46180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22846-2026</t>
        </is>
      </c>
      <c r="B923" s="1" t="n">
        <v>46160.39314814815</v>
      </c>
      <c r="C923" s="1" t="n">
        <v>46180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Kommuner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43872-2024</t>
        </is>
      </c>
      <c r="B924" s="1" t="n">
        <v>45572.38420138889</v>
      </c>
      <c r="C924" s="1" t="n">
        <v>46180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2777-2025</t>
        </is>
      </c>
      <c r="B925" s="1" t="n">
        <v>45677.52034722222</v>
      </c>
      <c r="C925" s="1" t="n">
        <v>46180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55787-2024</t>
        </is>
      </c>
      <c r="B926" s="1" t="n">
        <v>45623</v>
      </c>
      <c r="C926" s="1" t="n">
        <v>46180</v>
      </c>
      <c r="D926" t="inlineStr">
        <is>
          <t>VÄSTERNORRLANDS LÄN</t>
        </is>
      </c>
      <c r="E926" t="inlineStr">
        <is>
          <t>KRAMFORS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7367-2022</t>
        </is>
      </c>
      <c r="B927" s="1" t="n">
        <v>44606</v>
      </c>
      <c r="C927" s="1" t="n">
        <v>46180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3668-2025</t>
        </is>
      </c>
      <c r="B928" s="1" t="n">
        <v>45681.43033564815</v>
      </c>
      <c r="C928" s="1" t="n">
        <v>46180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19021-2025</t>
        </is>
      </c>
      <c r="B929" s="1" t="n">
        <v>45764.61802083333</v>
      </c>
      <c r="C929" s="1" t="n">
        <v>46180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22732-2026</t>
        </is>
      </c>
      <c r="B930" s="1" t="n">
        <v>46157</v>
      </c>
      <c r="C930" s="1" t="n">
        <v>46180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38536-2022</t>
        </is>
      </c>
      <c r="B931" s="1" t="n">
        <v>44813</v>
      </c>
      <c r="C931" s="1" t="n">
        <v>46180</v>
      </c>
      <c r="D931" t="inlineStr">
        <is>
          <t>VÄSTERNORRLANDS LÄN</t>
        </is>
      </c>
      <c r="E931" t="inlineStr">
        <is>
          <t>KRAMFORS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42916-2023</t>
        </is>
      </c>
      <c r="B932" s="1" t="n">
        <v>45182.51847222223</v>
      </c>
      <c r="C932" s="1" t="n">
        <v>46180</v>
      </c>
      <c r="D932" t="inlineStr">
        <is>
          <t>VÄSTERNORRLANDS LÄN</t>
        </is>
      </c>
      <c r="E932" t="inlineStr">
        <is>
          <t>KRAMFORS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48558-2023</t>
        </is>
      </c>
      <c r="B933" s="1" t="n">
        <v>45202</v>
      </c>
      <c r="C933" s="1" t="n">
        <v>46180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4157-2025</t>
        </is>
      </c>
      <c r="B934" s="1" t="n">
        <v>45685.39579861111</v>
      </c>
      <c r="C934" s="1" t="n">
        <v>46180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Kommuner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5620-2025</t>
        </is>
      </c>
      <c r="B935" s="1" t="n">
        <v>45693.62545138889</v>
      </c>
      <c r="C935" s="1" t="n">
        <v>46180</v>
      </c>
      <c r="D935" t="inlineStr">
        <is>
          <t>VÄSTERNORRLANDS LÄN</t>
        </is>
      </c>
      <c r="E935" t="inlineStr">
        <is>
          <t>KRAMFORS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12107-2025</t>
        </is>
      </c>
      <c r="B936" s="1" t="n">
        <v>45729.34447916667</v>
      </c>
      <c r="C936" s="1" t="n">
        <v>46180</v>
      </c>
      <c r="D936" t="inlineStr">
        <is>
          <t>VÄSTERNORRLANDS LÄN</t>
        </is>
      </c>
      <c r="E936" t="inlineStr">
        <is>
          <t>KRAMFORS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54188-2023</t>
        </is>
      </c>
      <c r="B937" s="1" t="n">
        <v>45232.52178240741</v>
      </c>
      <c r="C937" s="1" t="n">
        <v>46180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10510-2024</t>
        </is>
      </c>
      <c r="B938" s="1" t="n">
        <v>45366</v>
      </c>
      <c r="C938" s="1" t="n">
        <v>46180</v>
      </c>
      <c r="D938" t="inlineStr">
        <is>
          <t>VÄSTERNORRLANDS LÄN</t>
        </is>
      </c>
      <c r="E938" t="inlineStr">
        <is>
          <t>KRAMFORS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55820-2024</t>
        </is>
      </c>
      <c r="B939" s="1" t="n">
        <v>45623.47644675926</v>
      </c>
      <c r="C939" s="1" t="n">
        <v>46180</v>
      </c>
      <c r="D939" t="inlineStr">
        <is>
          <t>VÄSTERNORRLANDS LÄN</t>
        </is>
      </c>
      <c r="E939" t="inlineStr">
        <is>
          <t>KRAMFORS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1624-2022</t>
        </is>
      </c>
      <c r="B940" s="1" t="n">
        <v>44573</v>
      </c>
      <c r="C940" s="1" t="n">
        <v>46180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35744-2023</t>
        </is>
      </c>
      <c r="B941" s="1" t="n">
        <v>45147.95315972222</v>
      </c>
      <c r="C941" s="1" t="n">
        <v>46180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22852-2026</t>
        </is>
      </c>
      <c r="B942" s="1" t="n">
        <v>46160.40675925926</v>
      </c>
      <c r="C942" s="1" t="n">
        <v>46180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17774-2025</t>
        </is>
      </c>
      <c r="B943" s="1" t="n">
        <v>45758.52353009259</v>
      </c>
      <c r="C943" s="1" t="n">
        <v>46180</v>
      </c>
      <c r="D943" t="inlineStr">
        <is>
          <t>VÄSTERNORRLANDS LÄN</t>
        </is>
      </c>
      <c r="E943" t="inlineStr">
        <is>
          <t>KRAMFORS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55231-2023</t>
        </is>
      </c>
      <c r="B944" s="1" t="n">
        <v>45237</v>
      </c>
      <c r="C944" s="1" t="n">
        <v>46180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22972-2026</t>
        </is>
      </c>
      <c r="B945" s="1" t="n">
        <v>46160.62768518519</v>
      </c>
      <c r="C945" s="1" t="n">
        <v>46180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31747-2021</t>
        </is>
      </c>
      <c r="B946" s="1" t="n">
        <v>44369</v>
      </c>
      <c r="C946" s="1" t="n">
        <v>46180</v>
      </c>
      <c r="D946" t="inlineStr">
        <is>
          <t>VÄSTERNORRLANDS LÄN</t>
        </is>
      </c>
      <c r="E946" t="inlineStr">
        <is>
          <t>KRAMFORS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7934-2025</t>
        </is>
      </c>
      <c r="B947" s="1" t="n">
        <v>45707</v>
      </c>
      <c r="C947" s="1" t="n">
        <v>46180</v>
      </c>
      <c r="D947" t="inlineStr">
        <is>
          <t>VÄSTERNORRLANDS LÄN</t>
        </is>
      </c>
      <c r="E947" t="inlineStr">
        <is>
          <t>KRAMFORS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38997-2023</t>
        </is>
      </c>
      <c r="B948" s="1" t="n">
        <v>45161</v>
      </c>
      <c r="C948" s="1" t="n">
        <v>46180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23094-2026</t>
        </is>
      </c>
      <c r="B949" s="1" t="n">
        <v>46161.55733796296</v>
      </c>
      <c r="C949" s="1" t="n">
        <v>46180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11177-2025</t>
        </is>
      </c>
      <c r="B950" s="1" t="n">
        <v>45724.77891203704</v>
      </c>
      <c r="C950" s="1" t="n">
        <v>46180</v>
      </c>
      <c r="D950" t="inlineStr">
        <is>
          <t>VÄSTERNORRLANDS LÄN</t>
        </is>
      </c>
      <c r="E950" t="inlineStr">
        <is>
          <t>KRAMFORS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18650-2025</t>
        </is>
      </c>
      <c r="B951" s="1" t="n">
        <v>45763.5741550926</v>
      </c>
      <c r="C951" s="1" t="n">
        <v>46180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18651-2025</t>
        </is>
      </c>
      <c r="B952" s="1" t="n">
        <v>45763</v>
      </c>
      <c r="C952" s="1" t="n">
        <v>46180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18653-2025</t>
        </is>
      </c>
      <c r="B953" s="1" t="n">
        <v>45763.57467592593</v>
      </c>
      <c r="C953" s="1" t="n">
        <v>46180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18656-2025</t>
        </is>
      </c>
      <c r="B954" s="1" t="n">
        <v>45763.57496527778</v>
      </c>
      <c r="C954" s="1" t="n">
        <v>46180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18930-2025</t>
        </is>
      </c>
      <c r="B955" s="1" t="n">
        <v>45764.48685185185</v>
      </c>
      <c r="C955" s="1" t="n">
        <v>46180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10503-2025</t>
        </is>
      </c>
      <c r="B956" s="1" t="n">
        <v>45721.38605324074</v>
      </c>
      <c r="C956" s="1" t="n">
        <v>46180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3699-2025</t>
        </is>
      </c>
      <c r="B957" s="1" t="n">
        <v>45681.47428240741</v>
      </c>
      <c r="C957" s="1" t="n">
        <v>46180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1077-2024</t>
        </is>
      </c>
      <c r="B958" s="1" t="n">
        <v>45302</v>
      </c>
      <c r="C958" s="1" t="n">
        <v>46180</v>
      </c>
      <c r="D958" t="inlineStr">
        <is>
          <t>VÄSTERNORRLANDS LÄN</t>
        </is>
      </c>
      <c r="E958" t="inlineStr">
        <is>
          <t>KRAMFORS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26723-2022</t>
        </is>
      </c>
      <c r="B959" s="1" t="n">
        <v>44739</v>
      </c>
      <c r="C959" s="1" t="n">
        <v>46180</v>
      </c>
      <c r="D959" t="inlineStr">
        <is>
          <t>VÄSTERNORRLANDS LÄN</t>
        </is>
      </c>
      <c r="E959" t="inlineStr">
        <is>
          <t>KRAMFORS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64482-2023</t>
        </is>
      </c>
      <c r="B960" s="1" t="n">
        <v>45280</v>
      </c>
      <c r="C960" s="1" t="n">
        <v>46180</v>
      </c>
      <c r="D960" t="inlineStr">
        <is>
          <t>VÄSTERNORRLANDS LÄN</t>
        </is>
      </c>
      <c r="E960" t="inlineStr">
        <is>
          <t>KRAMFORS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17271-2026</t>
        </is>
      </c>
      <c r="B961" s="1" t="n">
        <v>46119.49776620371</v>
      </c>
      <c r="C961" s="1" t="n">
        <v>46180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34330-2022</t>
        </is>
      </c>
      <c r="B962" s="1" t="n">
        <v>44792</v>
      </c>
      <c r="C962" s="1" t="n">
        <v>46180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64042-2023</t>
        </is>
      </c>
      <c r="B963" s="1" t="n">
        <v>45279</v>
      </c>
      <c r="C963" s="1" t="n">
        <v>46180</v>
      </c>
      <c r="D963" t="inlineStr">
        <is>
          <t>VÄSTERNORRLANDS LÄN</t>
        </is>
      </c>
      <c r="E963" t="inlineStr">
        <is>
          <t>KRAMFORS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17257-2025</t>
        </is>
      </c>
      <c r="B964" s="1" t="n">
        <v>45756.53157407408</v>
      </c>
      <c r="C964" s="1" t="n">
        <v>46180</v>
      </c>
      <c r="D964" t="inlineStr">
        <is>
          <t>VÄSTERNORRLANDS LÄN</t>
        </is>
      </c>
      <c r="E964" t="inlineStr">
        <is>
          <t>KRAMFORS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19494-2025</t>
        </is>
      </c>
      <c r="B965" s="1" t="n">
        <v>45770.38898148148</v>
      </c>
      <c r="C965" s="1" t="n">
        <v>46180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57972-2023</t>
        </is>
      </c>
      <c r="B966" s="1" t="n">
        <v>45245</v>
      </c>
      <c r="C966" s="1" t="n">
        <v>46180</v>
      </c>
      <c r="D966" t="inlineStr">
        <is>
          <t>VÄSTERNORRLANDS LÄN</t>
        </is>
      </c>
      <c r="E966" t="inlineStr">
        <is>
          <t>KRAMFORS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38623-2022</t>
        </is>
      </c>
      <c r="B967" s="1" t="n">
        <v>44813</v>
      </c>
      <c r="C967" s="1" t="n">
        <v>46180</v>
      </c>
      <c r="D967" t="inlineStr">
        <is>
          <t>VÄSTERNORRLANDS LÄN</t>
        </is>
      </c>
      <c r="E967" t="inlineStr">
        <is>
          <t>KRAMFORS</t>
        </is>
      </c>
      <c r="G967" t="n">
        <v>78.7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4484-2024</t>
        </is>
      </c>
      <c r="B968" s="1" t="n">
        <v>45327</v>
      </c>
      <c r="C968" s="1" t="n">
        <v>46180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36594-2022</t>
        </is>
      </c>
      <c r="B969" s="1" t="n">
        <v>44804.63513888889</v>
      </c>
      <c r="C969" s="1" t="n">
        <v>46180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6061-2024</t>
        </is>
      </c>
      <c r="B970" s="1" t="n">
        <v>45336.80003472222</v>
      </c>
      <c r="C970" s="1" t="n">
        <v>46180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156-2024</t>
        </is>
      </c>
      <c r="B971" s="1" t="n">
        <v>45294</v>
      </c>
      <c r="C971" s="1" t="n">
        <v>46180</v>
      </c>
      <c r="D971" t="inlineStr">
        <is>
          <t>VÄSTERNORRLANDS LÄN</t>
        </is>
      </c>
      <c r="E971" t="inlineStr">
        <is>
          <t>KRAMFORS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4083-2025</t>
        </is>
      </c>
      <c r="B972" s="1" t="n">
        <v>45684.66047453704</v>
      </c>
      <c r="C972" s="1" t="n">
        <v>46180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3448-2025</t>
        </is>
      </c>
      <c r="B973" s="1" t="n">
        <v>45680.47209490741</v>
      </c>
      <c r="C973" s="1" t="n">
        <v>46180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36363-2022</t>
        </is>
      </c>
      <c r="B974" s="1" t="n">
        <v>44803</v>
      </c>
      <c r="C974" s="1" t="n">
        <v>46180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137-2024</t>
        </is>
      </c>
      <c r="B975" s="1" t="n">
        <v>45294</v>
      </c>
      <c r="C975" s="1" t="n">
        <v>46180</v>
      </c>
      <c r="D975" t="inlineStr">
        <is>
          <t>VÄSTERNORRLANDS LÄN</t>
        </is>
      </c>
      <c r="E975" t="inlineStr">
        <is>
          <t>KRAMFORS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32446-2024</t>
        </is>
      </c>
      <c r="B976" s="1" t="n">
        <v>45512</v>
      </c>
      <c r="C976" s="1" t="n">
        <v>46180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158-2024</t>
        </is>
      </c>
      <c r="B977" s="1" t="n">
        <v>45294.49413194445</v>
      </c>
      <c r="C977" s="1" t="n">
        <v>46180</v>
      </c>
      <c r="D977" t="inlineStr">
        <is>
          <t>VÄSTERNORRLANDS LÄN</t>
        </is>
      </c>
      <c r="E977" t="inlineStr">
        <is>
          <t>KRAMFORS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4001-2024</t>
        </is>
      </c>
      <c r="B978" s="1" t="n">
        <v>45323</v>
      </c>
      <c r="C978" s="1" t="n">
        <v>46180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46180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31138-2024</t>
        </is>
      </c>
      <c r="B980" s="1" t="n">
        <v>45502</v>
      </c>
      <c r="C980" s="1" t="n">
        <v>46180</v>
      </c>
      <c r="D980" t="inlineStr">
        <is>
          <t>VÄSTERNORRLANDS LÄN</t>
        </is>
      </c>
      <c r="E980" t="inlineStr">
        <is>
          <t>KRAMFORS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18646-2025</t>
        </is>
      </c>
      <c r="B981" s="1" t="n">
        <v>45763</v>
      </c>
      <c r="C981" s="1" t="n">
        <v>46180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18652-2025</t>
        </is>
      </c>
      <c r="B982" s="1" t="n">
        <v>45763.5746412037</v>
      </c>
      <c r="C982" s="1" t="n">
        <v>46180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10312-2024</t>
        </is>
      </c>
      <c r="B983" s="1" t="n">
        <v>45365</v>
      </c>
      <c r="C983" s="1" t="n">
        <v>46180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10413-2024</t>
        </is>
      </c>
      <c r="B984" s="1" t="n">
        <v>45365</v>
      </c>
      <c r="C984" s="1" t="n">
        <v>46180</v>
      </c>
      <c r="D984" t="inlineStr">
        <is>
          <t>VÄSTERNORRLANDS LÄN</t>
        </is>
      </c>
      <c r="E984" t="inlineStr">
        <is>
          <t>KRAMFORS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35241-2024</t>
        </is>
      </c>
      <c r="B985" s="1" t="n">
        <v>45530.55289351852</v>
      </c>
      <c r="C985" s="1" t="n">
        <v>46180</v>
      </c>
      <c r="D985" t="inlineStr">
        <is>
          <t>VÄSTERNORRLANDS LÄN</t>
        </is>
      </c>
      <c r="E985" t="inlineStr">
        <is>
          <t>KRAMFORS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8711-2025</t>
        </is>
      </c>
      <c r="B986" s="1" t="n">
        <v>45712.49378472222</v>
      </c>
      <c r="C986" s="1" t="n">
        <v>46180</v>
      </c>
      <c r="D986" t="inlineStr">
        <is>
          <t>VÄSTERNORRLANDS LÄN</t>
        </is>
      </c>
      <c r="E986" t="inlineStr">
        <is>
          <t>KRAMFORS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32494-2022</t>
        </is>
      </c>
      <c r="B987" s="1" t="n">
        <v>44782</v>
      </c>
      <c r="C987" s="1" t="n">
        <v>46180</v>
      </c>
      <c r="D987" t="inlineStr">
        <is>
          <t>VÄSTERNORRLANDS LÄN</t>
        </is>
      </c>
      <c r="E987" t="inlineStr">
        <is>
          <t>KRAMFORS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23628-2026</t>
        </is>
      </c>
      <c r="B988" s="1" t="n">
        <v>46163.72597222222</v>
      </c>
      <c r="C988" s="1" t="n">
        <v>46180</v>
      </c>
      <c r="D988" t="inlineStr">
        <is>
          <t>VÄSTERNORRLANDS LÄN</t>
        </is>
      </c>
      <c r="E988" t="inlineStr">
        <is>
          <t>KRAMFORS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60566-2023</t>
        </is>
      </c>
      <c r="B989" s="1" t="n">
        <v>45259</v>
      </c>
      <c r="C989" s="1" t="n">
        <v>46180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37674-2024</t>
        </is>
      </c>
      <c r="B990" s="1" t="n">
        <v>45541</v>
      </c>
      <c r="C990" s="1" t="n">
        <v>46180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38985-2023</t>
        </is>
      </c>
      <c r="B991" s="1" t="n">
        <v>45163</v>
      </c>
      <c r="C991" s="1" t="n">
        <v>46180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Kommuner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14842-2025</t>
        </is>
      </c>
      <c r="B992" s="1" t="n">
        <v>45743.38627314815</v>
      </c>
      <c r="C992" s="1" t="n">
        <v>46180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54360-2024</t>
        </is>
      </c>
      <c r="B993" s="1" t="n">
        <v>45617.41064814815</v>
      </c>
      <c r="C993" s="1" t="n">
        <v>46180</v>
      </c>
      <c r="D993" t="inlineStr">
        <is>
          <t>VÄSTERNORRLANDS LÄN</t>
        </is>
      </c>
      <c r="E993" t="inlineStr">
        <is>
          <t>KRAMFORS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4775-2024</t>
        </is>
      </c>
      <c r="B994" s="1" t="n">
        <v>45328</v>
      </c>
      <c r="C994" s="1" t="n">
        <v>46180</v>
      </c>
      <c r="D994" t="inlineStr">
        <is>
          <t>VÄSTERNORRLANDS LÄN</t>
        </is>
      </c>
      <c r="E994" t="inlineStr">
        <is>
          <t>KRAMFORS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23486-2026</t>
        </is>
      </c>
      <c r="B995" s="1" t="n">
        <v>46163.43034722222</v>
      </c>
      <c r="C995" s="1" t="n">
        <v>46180</v>
      </c>
      <c r="D995" t="inlineStr">
        <is>
          <t>VÄSTERNORRLANDS LÄN</t>
        </is>
      </c>
      <c r="E995" t="inlineStr">
        <is>
          <t>KRAMFORS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63492-2023</t>
        </is>
      </c>
      <c r="B996" s="1" t="n">
        <v>45273</v>
      </c>
      <c r="C996" s="1" t="n">
        <v>46180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17729-2024</t>
        </is>
      </c>
      <c r="B997" s="1" t="n">
        <v>45418.56018518518</v>
      </c>
      <c r="C997" s="1" t="n">
        <v>46180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815-2024</t>
        </is>
      </c>
      <c r="B998" s="1" t="n">
        <v>45300.63804398148</v>
      </c>
      <c r="C998" s="1" t="n">
        <v>46180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1385-2022</t>
        </is>
      </c>
      <c r="B999" s="1" t="n">
        <v>44573.38556712963</v>
      </c>
      <c r="C999" s="1" t="n">
        <v>46180</v>
      </c>
      <c r="D999" t="inlineStr">
        <is>
          <t>VÄSTERNORRLANDS LÄN</t>
        </is>
      </c>
      <c r="E999" t="inlineStr">
        <is>
          <t>KRAMFORS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12957-2025</t>
        </is>
      </c>
      <c r="B1000" s="1" t="n">
        <v>45734.41164351852</v>
      </c>
      <c r="C1000" s="1" t="n">
        <v>46180</v>
      </c>
      <c r="D1000" t="inlineStr">
        <is>
          <t>VÄSTERNORRLANDS LÄN</t>
        </is>
      </c>
      <c r="E1000" t="inlineStr">
        <is>
          <t>KRAMFORS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15314-2024</t>
        </is>
      </c>
      <c r="B1001" s="1" t="n">
        <v>45400</v>
      </c>
      <c r="C1001" s="1" t="n">
        <v>46180</v>
      </c>
      <c r="D1001" t="inlineStr">
        <is>
          <t>VÄSTERNORRLANDS LÄN</t>
        </is>
      </c>
      <c r="E1001" t="inlineStr">
        <is>
          <t>KRAMFORS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53385-2022</t>
        </is>
      </c>
      <c r="B1002" s="1" t="n">
        <v>44879</v>
      </c>
      <c r="C1002" s="1" t="n">
        <v>46180</v>
      </c>
      <c r="D1002" t="inlineStr">
        <is>
          <t>VÄSTERNORRLANDS LÄN</t>
        </is>
      </c>
      <c r="E1002" t="inlineStr">
        <is>
          <t>KRAMFORS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46180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17618-2026</t>
        </is>
      </c>
      <c r="B1004" s="1" t="n">
        <v>46121.46646990741</v>
      </c>
      <c r="C1004" s="1" t="n">
        <v>46180</v>
      </c>
      <c r="D1004" t="inlineStr">
        <is>
          <t>VÄSTERNORRLANDS LÄN</t>
        </is>
      </c>
      <c r="E1004" t="inlineStr">
        <is>
          <t>KRAMFORS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22863-2026</t>
        </is>
      </c>
      <c r="B1005" s="1" t="n">
        <v>46160</v>
      </c>
      <c r="C1005" s="1" t="n">
        <v>46180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3887-2023</t>
        </is>
      </c>
      <c r="B1006" s="1" t="n">
        <v>44951</v>
      </c>
      <c r="C1006" s="1" t="n">
        <v>46180</v>
      </c>
      <c r="D1006" t="inlineStr">
        <is>
          <t>VÄSTERNORRLANDS LÄN</t>
        </is>
      </c>
      <c r="E1006" t="inlineStr">
        <is>
          <t>KRAMFORS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17674-2026</t>
        </is>
      </c>
      <c r="B1007" s="1" t="n">
        <v>46121.59266203704</v>
      </c>
      <c r="C1007" s="1" t="n">
        <v>46180</v>
      </c>
      <c r="D1007" t="inlineStr">
        <is>
          <t>VÄSTERNORRLANDS LÄN</t>
        </is>
      </c>
      <c r="E1007" t="inlineStr">
        <is>
          <t>KRAMFORS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21046-2026</t>
        </is>
      </c>
      <c r="B1008" s="1" t="n">
        <v>46146</v>
      </c>
      <c r="C1008" s="1" t="n">
        <v>46180</v>
      </c>
      <c r="D1008" t="inlineStr">
        <is>
          <t>VÄSTERNORRLANDS LÄN</t>
        </is>
      </c>
      <c r="E1008" t="inlineStr">
        <is>
          <t>KRAMFORS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57203-2021</t>
        </is>
      </c>
      <c r="B1009" s="1" t="n">
        <v>44482</v>
      </c>
      <c r="C1009" s="1" t="n">
        <v>46180</v>
      </c>
      <c r="D1009" t="inlineStr">
        <is>
          <t>VÄSTERNORRLANDS LÄN</t>
        </is>
      </c>
      <c r="E1009" t="inlineStr">
        <is>
          <t>KRAMFORS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41813-2024</t>
        </is>
      </c>
      <c r="B1010" s="1" t="n">
        <v>45561.37765046296</v>
      </c>
      <c r="C1010" s="1" t="n">
        <v>46180</v>
      </c>
      <c r="D1010" t="inlineStr">
        <is>
          <t>VÄSTERNORRLANDS LÄN</t>
        </is>
      </c>
      <c r="E1010" t="inlineStr">
        <is>
          <t>KRAMFORS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17443-2026</t>
        </is>
      </c>
      <c r="B1011" s="1" t="n">
        <v>46120.43607638889</v>
      </c>
      <c r="C1011" s="1" t="n">
        <v>46180</v>
      </c>
      <c r="D1011" t="inlineStr">
        <is>
          <t>VÄSTERNORRLANDS LÄN</t>
        </is>
      </c>
      <c r="E1011" t="inlineStr">
        <is>
          <t>KRAMFORS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17425-2026</t>
        </is>
      </c>
      <c r="B1012" s="1" t="n">
        <v>46120.36557870371</v>
      </c>
      <c r="C1012" s="1" t="n">
        <v>46180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24653-2022</t>
        </is>
      </c>
      <c r="B1013" s="1" t="n">
        <v>44727.61612268518</v>
      </c>
      <c r="C1013" s="1" t="n">
        <v>46180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23744-2026</t>
        </is>
      </c>
      <c r="B1014" s="1" t="n">
        <v>46164.50645833334</v>
      </c>
      <c r="C1014" s="1" t="n">
        <v>46180</v>
      </c>
      <c r="D1014" t="inlineStr">
        <is>
          <t>VÄSTERNORRLANDS LÄN</t>
        </is>
      </c>
      <c r="E1014" t="inlineStr">
        <is>
          <t>KRAMFORS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23652-2026</t>
        </is>
      </c>
      <c r="B1015" s="1" t="n">
        <v>46164.35561342593</v>
      </c>
      <c r="C1015" s="1" t="n">
        <v>46180</v>
      </c>
      <c r="D1015" t="inlineStr">
        <is>
          <t>VÄSTERNORRLANDS LÄN</t>
        </is>
      </c>
      <c r="E1015" t="inlineStr">
        <is>
          <t>KRAMFORS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23688-2026</t>
        </is>
      </c>
      <c r="B1016" s="1" t="n">
        <v>46164.41030092593</v>
      </c>
      <c r="C1016" s="1" t="n">
        <v>46180</v>
      </c>
      <c r="D1016" t="inlineStr">
        <is>
          <t>VÄSTERNORRLANDS LÄN</t>
        </is>
      </c>
      <c r="E1016" t="inlineStr">
        <is>
          <t>KRAMFORS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23749-2026</t>
        </is>
      </c>
      <c r="B1017" s="1" t="n">
        <v>46164.52800925926</v>
      </c>
      <c r="C1017" s="1" t="n">
        <v>46180</v>
      </c>
      <c r="D1017" t="inlineStr">
        <is>
          <t>VÄSTERNORRLANDS LÄN</t>
        </is>
      </c>
      <c r="E1017" t="inlineStr">
        <is>
          <t>KRAMFORS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23655-2026</t>
        </is>
      </c>
      <c r="B1018" s="1" t="n">
        <v>46164.3640625</v>
      </c>
      <c r="C1018" s="1" t="n">
        <v>46180</v>
      </c>
      <c r="D1018" t="inlineStr">
        <is>
          <t>VÄSTERNORRLANDS LÄN</t>
        </is>
      </c>
      <c r="E1018" t="inlineStr">
        <is>
          <t>KRAMFORS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23668-2026</t>
        </is>
      </c>
      <c r="B1019" s="1" t="n">
        <v>46164.38342592592</v>
      </c>
      <c r="C1019" s="1" t="n">
        <v>46180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17726-2026</t>
        </is>
      </c>
      <c r="B1020" s="1" t="n">
        <v>46121</v>
      </c>
      <c r="C1020" s="1" t="n">
        <v>46180</v>
      </c>
      <c r="D1020" t="inlineStr">
        <is>
          <t>VÄSTERNORRLANDS LÄN</t>
        </is>
      </c>
      <c r="E1020" t="inlineStr">
        <is>
          <t>KRAMFORS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23814-2026</t>
        </is>
      </c>
      <c r="B1021" s="1" t="n">
        <v>46164.67923611111</v>
      </c>
      <c r="C1021" s="1" t="n">
        <v>46180</v>
      </c>
      <c r="D1021" t="inlineStr">
        <is>
          <t>VÄSTERNORRLANDS LÄN</t>
        </is>
      </c>
      <c r="E1021" t="inlineStr">
        <is>
          <t>KRAMFORS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33440-2022</t>
        </is>
      </c>
      <c r="B1022" s="1" t="n">
        <v>44788</v>
      </c>
      <c r="C1022" s="1" t="n">
        <v>46180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49095-2022</t>
        </is>
      </c>
      <c r="B1023" s="1" t="n">
        <v>44860.5884375</v>
      </c>
      <c r="C1023" s="1" t="n">
        <v>46180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24378-2026</t>
        </is>
      </c>
      <c r="B1024" s="1" t="n">
        <v>46169.60549768519</v>
      </c>
      <c r="C1024" s="1" t="n">
        <v>46180</v>
      </c>
      <c r="D1024" t="inlineStr">
        <is>
          <t>VÄSTERNORRLANDS LÄN</t>
        </is>
      </c>
      <c r="E1024" t="inlineStr">
        <is>
          <t>KRAMFORS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18820-2026</t>
        </is>
      </c>
      <c r="B1025" s="1" t="n">
        <v>46127</v>
      </c>
      <c r="C1025" s="1" t="n">
        <v>46180</v>
      </c>
      <c r="D1025" t="inlineStr">
        <is>
          <t>VÄSTERNORRLANDS LÄN</t>
        </is>
      </c>
      <c r="E1025" t="inlineStr">
        <is>
          <t>KRAMFORS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16531-2026</t>
        </is>
      </c>
      <c r="B1026" s="1" t="n">
        <v>46112</v>
      </c>
      <c r="C1026" s="1" t="n">
        <v>46180</v>
      </c>
      <c r="D1026" t="inlineStr">
        <is>
          <t>VÄSTERNORRLANDS LÄN</t>
        </is>
      </c>
      <c r="E1026" t="inlineStr">
        <is>
          <t>KRAMFORS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9389-2026</t>
        </is>
      </c>
      <c r="B1027" s="1" t="n">
        <v>46071</v>
      </c>
      <c r="C1027" s="1" t="n">
        <v>46180</v>
      </c>
      <c r="D1027" t="inlineStr">
        <is>
          <t>VÄSTERNORRLANDS LÄN</t>
        </is>
      </c>
      <c r="E1027" t="inlineStr">
        <is>
          <t>KRAMFORS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18451-2026</t>
        </is>
      </c>
      <c r="B1028" s="1" t="n">
        <v>46127.38747685185</v>
      </c>
      <c r="C1028" s="1" t="n">
        <v>46180</v>
      </c>
      <c r="D1028" t="inlineStr">
        <is>
          <t>VÄSTERNORRLANDS LÄN</t>
        </is>
      </c>
      <c r="E1028" t="inlineStr">
        <is>
          <t>KRAMFORS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17876-2024</t>
        </is>
      </c>
      <c r="B1029" s="1" t="n">
        <v>45419.45701388889</v>
      </c>
      <c r="C1029" s="1" t="n">
        <v>46180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23994-2026</t>
        </is>
      </c>
      <c r="B1030" s="1" t="n">
        <v>46167.62482638889</v>
      </c>
      <c r="C1030" s="1" t="n">
        <v>46180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24255-2026</t>
        </is>
      </c>
      <c r="B1031" s="1" t="n">
        <v>46168.99130787037</v>
      </c>
      <c r="C1031" s="1" t="n">
        <v>46180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18439-2026</t>
        </is>
      </c>
      <c r="B1032" s="1" t="n">
        <v>46127.365</v>
      </c>
      <c r="C1032" s="1" t="n">
        <v>46180</v>
      </c>
      <c r="D1032" t="inlineStr">
        <is>
          <t>VÄSTERNORRLANDS LÄN</t>
        </is>
      </c>
      <c r="E1032" t="inlineStr">
        <is>
          <t>KRAMFORS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24961-2026</t>
        </is>
      </c>
      <c r="B1033" s="1" t="n">
        <v>46174.57349537037</v>
      </c>
      <c r="C1033" s="1" t="n">
        <v>46180</v>
      </c>
      <c r="D1033" t="inlineStr">
        <is>
          <t>VÄSTERNORRLANDS LÄN</t>
        </is>
      </c>
      <c r="E1033" t="inlineStr">
        <is>
          <t>KRAMFORS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56863-2023</t>
        </is>
      </c>
      <c r="B1034" s="1" t="n">
        <v>45239</v>
      </c>
      <c r="C1034" s="1" t="n">
        <v>46180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59084-2022</t>
        </is>
      </c>
      <c r="B1035" s="1" t="n">
        <v>44897</v>
      </c>
      <c r="C1035" s="1" t="n">
        <v>46180</v>
      </c>
      <c r="D1035" t="inlineStr">
        <is>
          <t>VÄSTERNORRLANDS LÄN</t>
        </is>
      </c>
      <c r="E1035" t="inlineStr">
        <is>
          <t>KRAMFORS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54318-2023</t>
        </is>
      </c>
      <c r="B1036" s="1" t="n">
        <v>45232</v>
      </c>
      <c r="C1036" s="1" t="n">
        <v>46180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54638-2022</t>
        </is>
      </c>
      <c r="B1037" s="1" t="n">
        <v>44883</v>
      </c>
      <c r="C1037" s="1" t="n">
        <v>46180</v>
      </c>
      <c r="D1037" t="inlineStr">
        <is>
          <t>VÄSTERNORRLANDS LÄN</t>
        </is>
      </c>
      <c r="E1037" t="inlineStr">
        <is>
          <t>KRAMFORS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64901-2023</t>
        </is>
      </c>
      <c r="B1038" s="1" t="n">
        <v>45282.62491898148</v>
      </c>
      <c r="C1038" s="1" t="n">
        <v>46180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36265-2021</t>
        </is>
      </c>
      <c r="B1039" s="1" t="n">
        <v>44387</v>
      </c>
      <c r="C1039" s="1" t="n">
        <v>46180</v>
      </c>
      <c r="D1039" t="inlineStr">
        <is>
          <t>VÄSTERNORRLANDS LÄN</t>
        </is>
      </c>
      <c r="E1039" t="inlineStr">
        <is>
          <t>KRAMFORS</t>
        </is>
      </c>
      <c r="G1039" t="n">
        <v>41.8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46180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46180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18828-2026</t>
        </is>
      </c>
      <c r="B1042" s="1" t="n">
        <v>46128</v>
      </c>
      <c r="C1042" s="1" t="n">
        <v>46180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1683-2022</t>
        </is>
      </c>
      <c r="B1043" s="1" t="n">
        <v>44574</v>
      </c>
      <c r="C1043" s="1" t="n">
        <v>46180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8857-2024</t>
        </is>
      </c>
      <c r="B1044" s="1" t="n">
        <v>45356</v>
      </c>
      <c r="C1044" s="1" t="n">
        <v>46180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17580-2025</t>
        </is>
      </c>
      <c r="B1045" s="1" t="n">
        <v>45757.65666666667</v>
      </c>
      <c r="C1045" s="1" t="n">
        <v>46180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24854-2026</t>
        </is>
      </c>
      <c r="B1046" s="1" t="n">
        <v>46174.38912037037</v>
      </c>
      <c r="C1046" s="1" t="n">
        <v>46180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17041-2023</t>
        </is>
      </c>
      <c r="B1047" s="1" t="n">
        <v>45034</v>
      </c>
      <c r="C1047" s="1" t="n">
        <v>46180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12744-2023</t>
        </is>
      </c>
      <c r="B1048" s="1" t="n">
        <v>45000</v>
      </c>
      <c r="C1048" s="1" t="n">
        <v>46180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31339-2022</t>
        </is>
      </c>
      <c r="B1049" s="1" t="n">
        <v>44774</v>
      </c>
      <c r="C1049" s="1" t="n">
        <v>46180</v>
      </c>
      <c r="D1049" t="inlineStr">
        <is>
          <t>VÄSTERNORRLANDS LÄN</t>
        </is>
      </c>
      <c r="E1049" t="inlineStr">
        <is>
          <t>KRAMFORS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25781-2023</t>
        </is>
      </c>
      <c r="B1050" s="1" t="n">
        <v>45085</v>
      </c>
      <c r="C1050" s="1" t="n">
        <v>46180</v>
      </c>
      <c r="D1050" t="inlineStr">
        <is>
          <t>VÄSTERNORRLANDS LÄN</t>
        </is>
      </c>
      <c r="E1050" t="inlineStr">
        <is>
          <t>KRAMFORS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64753-2023</t>
        </is>
      </c>
      <c r="B1051" s="1" t="n">
        <v>45281.92898148148</v>
      </c>
      <c r="C1051" s="1" t="n">
        <v>46180</v>
      </c>
      <c r="D1051" t="inlineStr">
        <is>
          <t>VÄSTERNORRLANDS LÄN</t>
        </is>
      </c>
      <c r="E1051" t="inlineStr">
        <is>
          <t>KRAMFORS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40698-2022</t>
        </is>
      </c>
      <c r="B1052" s="1" t="n">
        <v>44824</v>
      </c>
      <c r="C1052" s="1" t="n">
        <v>46180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47189-2022</t>
        </is>
      </c>
      <c r="B1053" s="1" t="n">
        <v>44852</v>
      </c>
      <c r="C1053" s="1" t="n">
        <v>46180</v>
      </c>
      <c r="D1053" t="inlineStr">
        <is>
          <t>VÄSTERNORRLANDS LÄN</t>
        </is>
      </c>
      <c r="E1053" t="inlineStr">
        <is>
          <t>KRAMFORS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47192-2022</t>
        </is>
      </c>
      <c r="B1054" s="1" t="n">
        <v>44852</v>
      </c>
      <c r="C1054" s="1" t="n">
        <v>46180</v>
      </c>
      <c r="D1054" t="inlineStr">
        <is>
          <t>VÄSTERNORRLANDS LÄN</t>
        </is>
      </c>
      <c r="E1054" t="inlineStr">
        <is>
          <t>KRAMFORS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3675-2025</t>
        </is>
      </c>
      <c r="B1055" s="1" t="n">
        <v>45681.4403125</v>
      </c>
      <c r="C1055" s="1" t="n">
        <v>46180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43554-2022</t>
        </is>
      </c>
      <c r="B1056" s="1" t="n">
        <v>44834</v>
      </c>
      <c r="C1056" s="1" t="n">
        <v>46180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3465-2025</t>
        </is>
      </c>
      <c r="B1057" s="1" t="n">
        <v>45680.49967592592</v>
      </c>
      <c r="C1057" s="1" t="n">
        <v>46180</v>
      </c>
      <c r="D1057" t="inlineStr">
        <is>
          <t>VÄSTERNORRLANDS LÄN</t>
        </is>
      </c>
      <c r="E1057" t="inlineStr">
        <is>
          <t>KRAMFORS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2385-2025</t>
        </is>
      </c>
      <c r="B1058" s="1" t="n">
        <v>45674</v>
      </c>
      <c r="C1058" s="1" t="n">
        <v>46180</v>
      </c>
      <c r="D1058" t="inlineStr">
        <is>
          <t>VÄSTERNORRLANDS LÄN</t>
        </is>
      </c>
      <c r="E1058" t="inlineStr">
        <is>
          <t>KRAMFORS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28318-2022</t>
        </is>
      </c>
      <c r="B1059" s="1" t="n">
        <v>44747.37167824074</v>
      </c>
      <c r="C1059" s="1" t="n">
        <v>46180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13844-2024</t>
        </is>
      </c>
      <c r="B1060" s="1" t="n">
        <v>45390</v>
      </c>
      <c r="C1060" s="1" t="n">
        <v>46180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518-2025</t>
        </is>
      </c>
      <c r="B1061" s="1" t="n">
        <v>45664.47759259259</v>
      </c>
      <c r="C1061" s="1" t="n">
        <v>46180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2607-2025</t>
        </is>
      </c>
      <c r="B1062" s="1" t="n">
        <v>45674</v>
      </c>
      <c r="C1062" s="1" t="n">
        <v>46180</v>
      </c>
      <c r="D1062" t="inlineStr">
        <is>
          <t>VÄSTERNORRLANDS LÄN</t>
        </is>
      </c>
      <c r="E1062" t="inlineStr">
        <is>
          <t>KRAMFORS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7550-2025</t>
        </is>
      </c>
      <c r="B1063" s="1" t="n">
        <v>45705.57467592593</v>
      </c>
      <c r="C1063" s="1" t="n">
        <v>46180</v>
      </c>
      <c r="D1063" t="inlineStr">
        <is>
          <t>VÄSTERNORRLANDS LÄN</t>
        </is>
      </c>
      <c r="E1063" t="inlineStr">
        <is>
          <t>KRAMFORS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2092-2025</t>
        </is>
      </c>
      <c r="B1064" s="1" t="n">
        <v>45672.59861111111</v>
      </c>
      <c r="C1064" s="1" t="n">
        <v>46180</v>
      </c>
      <c r="D1064" t="inlineStr">
        <is>
          <t>VÄSTERNORRLANDS LÄN</t>
        </is>
      </c>
      <c r="E1064" t="inlineStr">
        <is>
          <t>KRAMFORS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17113-2023</t>
        </is>
      </c>
      <c r="B1065" s="1" t="n">
        <v>45034</v>
      </c>
      <c r="C1065" s="1" t="n">
        <v>46180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41818-2024</t>
        </is>
      </c>
      <c r="B1066" s="1" t="n">
        <v>45561.38613425926</v>
      </c>
      <c r="C1066" s="1" t="n">
        <v>46180</v>
      </c>
      <c r="D1066" t="inlineStr">
        <is>
          <t>VÄSTERNORRLANDS LÄN</t>
        </is>
      </c>
      <c r="E1066" t="inlineStr">
        <is>
          <t>KRAMFORS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33782-2024</t>
        </is>
      </c>
      <c r="B1067" s="1" t="n">
        <v>45520.58608796296</v>
      </c>
      <c r="C1067" s="1" t="n">
        <v>46180</v>
      </c>
      <c r="D1067" t="inlineStr">
        <is>
          <t>VÄSTERNORRLANDS LÄN</t>
        </is>
      </c>
      <c r="E1067" t="inlineStr">
        <is>
          <t>KRAMFORS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6200-2025</t>
        </is>
      </c>
      <c r="B1068" s="1" t="n">
        <v>45698.47840277778</v>
      </c>
      <c r="C1068" s="1" t="n">
        <v>46180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1783-2024</t>
        </is>
      </c>
      <c r="B1069" s="1" t="n">
        <v>45307</v>
      </c>
      <c r="C1069" s="1" t="n">
        <v>46180</v>
      </c>
      <c r="D1069" t="inlineStr">
        <is>
          <t>VÄSTERNORRLANDS LÄN</t>
        </is>
      </c>
      <c r="E1069" t="inlineStr">
        <is>
          <t>KRAMFORS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33647-2021</t>
        </is>
      </c>
      <c r="B1070" s="1" t="n">
        <v>44377</v>
      </c>
      <c r="C1070" s="1" t="n">
        <v>46180</v>
      </c>
      <c r="D1070" t="inlineStr">
        <is>
          <t>VÄSTERNORRLANDS LÄN</t>
        </is>
      </c>
      <c r="E1070" t="inlineStr">
        <is>
          <t>KRAMFORS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237-2024</t>
        </is>
      </c>
      <c r="B1071" s="1" t="n">
        <v>45294</v>
      </c>
      <c r="C1071" s="1" t="n">
        <v>46180</v>
      </c>
      <c r="D1071" t="inlineStr">
        <is>
          <t>VÄSTERNORRLANDS LÄN</t>
        </is>
      </c>
      <c r="E1071" t="inlineStr">
        <is>
          <t>KRAMFORS</t>
        </is>
      </c>
      <c r="G1071" t="n">
        <v>12.3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56401-2023</t>
        </is>
      </c>
      <c r="B1072" s="1" t="n">
        <v>45243</v>
      </c>
      <c r="C1072" s="1" t="n">
        <v>46180</v>
      </c>
      <c r="D1072" t="inlineStr">
        <is>
          <t>VÄSTERNORRLANDS LÄN</t>
        </is>
      </c>
      <c r="E1072" t="inlineStr">
        <is>
          <t>KRAMFORS</t>
        </is>
      </c>
      <c r="G1072" t="n">
        <v>16.4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5150-2023</t>
        </is>
      </c>
      <c r="B1073" s="1" t="n">
        <v>44958</v>
      </c>
      <c r="C1073" s="1" t="n">
        <v>46180</v>
      </c>
      <c r="D1073" t="inlineStr">
        <is>
          <t>VÄSTERNORRLANDS LÄN</t>
        </is>
      </c>
      <c r="E1073" t="inlineStr">
        <is>
          <t>KRAMFORS</t>
        </is>
      </c>
      <c r="G1073" t="n">
        <v>12.8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18710-2026</t>
        </is>
      </c>
      <c r="B1074" s="1" t="n">
        <v>46128</v>
      </c>
      <c r="C1074" s="1" t="n">
        <v>46180</v>
      </c>
      <c r="D1074" t="inlineStr">
        <is>
          <t>VÄSTERNORRLANDS LÄN</t>
        </is>
      </c>
      <c r="E1074" t="inlineStr">
        <is>
          <t>KRAMFORS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16160-2025</t>
        </is>
      </c>
      <c r="B1075" s="1" t="n">
        <v>45750.49572916667</v>
      </c>
      <c r="C1075" s="1" t="n">
        <v>46180</v>
      </c>
      <c r="D1075" t="inlineStr">
        <is>
          <t>VÄSTERNORRLANDS LÄN</t>
        </is>
      </c>
      <c r="E1075" t="inlineStr">
        <is>
          <t>KRAMFORS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602-2025</t>
        </is>
      </c>
      <c r="B1076" s="1" t="n">
        <v>45660</v>
      </c>
      <c r="C1076" s="1" t="n">
        <v>46180</v>
      </c>
      <c r="D1076" t="inlineStr">
        <is>
          <t>VÄSTERNORRLANDS LÄN</t>
        </is>
      </c>
      <c r="E1076" t="inlineStr">
        <is>
          <t>KRAMFORS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1663-2025</t>
        </is>
      </c>
      <c r="B1077" s="1" t="n">
        <v>45670</v>
      </c>
      <c r="C1077" s="1" t="n">
        <v>46180</v>
      </c>
      <c r="D1077" t="inlineStr">
        <is>
          <t>VÄSTERNORRLANDS LÄN</t>
        </is>
      </c>
      <c r="E1077" t="inlineStr">
        <is>
          <t>KRAMFORS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36178-2024</t>
        </is>
      </c>
      <c r="B1078" s="1" t="n">
        <v>45534.40929398148</v>
      </c>
      <c r="C1078" s="1" t="n">
        <v>46180</v>
      </c>
      <c r="D1078" t="inlineStr">
        <is>
          <t>VÄSTERNORRLANDS LÄN</t>
        </is>
      </c>
      <c r="E1078" t="inlineStr">
        <is>
          <t>KRAMFORS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32791-2023</t>
        </is>
      </c>
      <c r="B1079" s="1" t="n">
        <v>45124</v>
      </c>
      <c r="C1079" s="1" t="n">
        <v>46180</v>
      </c>
      <c r="D1079" t="inlineStr">
        <is>
          <t>VÄSTERNORRLANDS LÄN</t>
        </is>
      </c>
      <c r="E1079" t="inlineStr">
        <is>
          <t>KRAMFORS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34200-2024</t>
        </is>
      </c>
      <c r="B1080" s="1" t="n">
        <v>45524.4669212963</v>
      </c>
      <c r="C1080" s="1" t="n">
        <v>46180</v>
      </c>
      <c r="D1080" t="inlineStr">
        <is>
          <t>VÄSTERNORRLANDS LÄN</t>
        </is>
      </c>
      <c r="E1080" t="inlineStr">
        <is>
          <t>KRAMFORS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28355-2023</t>
        </is>
      </c>
      <c r="B1081" s="1" t="n">
        <v>45099</v>
      </c>
      <c r="C1081" s="1" t="n">
        <v>46180</v>
      </c>
      <c r="D1081" t="inlineStr">
        <is>
          <t>VÄSTERNORRLANDS LÄN</t>
        </is>
      </c>
      <c r="E1081" t="inlineStr">
        <is>
          <t>KRAMFORS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24962-2026</t>
        </is>
      </c>
      <c r="B1082" s="1" t="n">
        <v>46174.57354166666</v>
      </c>
      <c r="C1082" s="1" t="n">
        <v>46180</v>
      </c>
      <c r="D1082" t="inlineStr">
        <is>
          <t>VÄSTERNORRLANDS LÄN</t>
        </is>
      </c>
      <c r="E1082" t="inlineStr">
        <is>
          <t>KRAMFORS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51844-2024</t>
        </is>
      </c>
      <c r="B1083" s="1" t="n">
        <v>45607.52409722222</v>
      </c>
      <c r="C1083" s="1" t="n">
        <v>46180</v>
      </c>
      <c r="D1083" t="inlineStr">
        <is>
          <t>VÄSTERNORRLANDS LÄN</t>
        </is>
      </c>
      <c r="E1083" t="inlineStr">
        <is>
          <t>KRAMFORS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54378-2024</t>
        </is>
      </c>
      <c r="B1084" s="1" t="n">
        <v>45617</v>
      </c>
      <c r="C1084" s="1" t="n">
        <v>46180</v>
      </c>
      <c r="D1084" t="inlineStr">
        <is>
          <t>VÄSTERNORRLANDS LÄN</t>
        </is>
      </c>
      <c r="E1084" t="inlineStr">
        <is>
          <t>KRAMFORS</t>
        </is>
      </c>
      <c r="G1084" t="n">
        <v>20.5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548-2025</t>
        </is>
      </c>
      <c r="B1085" s="1" t="n">
        <v>45664.52460648148</v>
      </c>
      <c r="C1085" s="1" t="n">
        <v>46180</v>
      </c>
      <c r="D1085" t="inlineStr">
        <is>
          <t>VÄSTERNORRLANDS LÄN</t>
        </is>
      </c>
      <c r="E1085" t="inlineStr">
        <is>
          <t>KRAMFORS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48176-2023</t>
        </is>
      </c>
      <c r="B1086" s="1" t="n">
        <v>45199</v>
      </c>
      <c r="C1086" s="1" t="n">
        <v>46180</v>
      </c>
      <c r="D1086" t="inlineStr">
        <is>
          <t>VÄSTERNORRLANDS LÄN</t>
        </is>
      </c>
      <c r="E1086" t="inlineStr">
        <is>
          <t>KRAMFORS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58965-2024</t>
        </is>
      </c>
      <c r="B1087" s="1" t="n">
        <v>45636.59234953704</v>
      </c>
      <c r="C1087" s="1" t="n">
        <v>46180</v>
      </c>
      <c r="D1087" t="inlineStr">
        <is>
          <t>VÄSTERNORRLANDS LÄN</t>
        </is>
      </c>
      <c r="E1087" t="inlineStr">
        <is>
          <t>KRAMFORS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63222-2023</t>
        </is>
      </c>
      <c r="B1088" s="1" t="n">
        <v>45273</v>
      </c>
      <c r="C1088" s="1" t="n">
        <v>46180</v>
      </c>
      <c r="D1088" t="inlineStr">
        <is>
          <t>VÄSTERNORRLANDS LÄN</t>
        </is>
      </c>
      <c r="E1088" t="inlineStr">
        <is>
          <t>KRAMFORS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24544-2026</t>
        </is>
      </c>
      <c r="B1089" s="1" t="n">
        <v>46170.56802083334</v>
      </c>
      <c r="C1089" s="1" t="n">
        <v>46180</v>
      </c>
      <c r="D1089" t="inlineStr">
        <is>
          <t>VÄSTERNORRLANDS LÄN</t>
        </is>
      </c>
      <c r="E1089" t="inlineStr">
        <is>
          <t>KRAMFORS</t>
        </is>
      </c>
      <c r="G1089" t="n">
        <v>9.199999999999999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4189-2024</t>
        </is>
      </c>
      <c r="B1090" s="1" t="n">
        <v>45324</v>
      </c>
      <c r="C1090" s="1" t="n">
        <v>46180</v>
      </c>
      <c r="D1090" t="inlineStr">
        <is>
          <t>VÄSTERNORRLANDS LÄN</t>
        </is>
      </c>
      <c r="E1090" t="inlineStr">
        <is>
          <t>KRAMFORS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24848-2026</t>
        </is>
      </c>
      <c r="B1091" s="1" t="n">
        <v>46174.38164351852</v>
      </c>
      <c r="C1091" s="1" t="n">
        <v>46180</v>
      </c>
      <c r="D1091" t="inlineStr">
        <is>
          <t>VÄSTERNORRLANDS LÄN</t>
        </is>
      </c>
      <c r="E1091" t="inlineStr">
        <is>
          <t>KRAMFORS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2150-2025</t>
        </is>
      </c>
      <c r="B1092" s="1" t="n">
        <v>45672.69993055556</v>
      </c>
      <c r="C1092" s="1" t="n">
        <v>46180</v>
      </c>
      <c r="D1092" t="inlineStr">
        <is>
          <t>VÄSTERNORRLANDS LÄN</t>
        </is>
      </c>
      <c r="E1092" t="inlineStr">
        <is>
          <t>KRAMFORS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24960-2026</t>
        </is>
      </c>
      <c r="B1093" s="1" t="n">
        <v>46174.57346064815</v>
      </c>
      <c r="C1093" s="1" t="n">
        <v>46180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45628-2024</t>
        </is>
      </c>
      <c r="B1094" s="1" t="n">
        <v>45579</v>
      </c>
      <c r="C1094" s="1" t="n">
        <v>46180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3447-2025</t>
        </is>
      </c>
      <c r="B1095" s="1" t="n">
        <v>45680.47208333333</v>
      </c>
      <c r="C1095" s="1" t="n">
        <v>46180</v>
      </c>
      <c r="D1095" t="inlineStr">
        <is>
          <t>VÄSTERNORRLANDS LÄN</t>
        </is>
      </c>
      <c r="E1095" t="inlineStr">
        <is>
          <t>KRAMFORS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3454-2025</t>
        </is>
      </c>
      <c r="B1096" s="1" t="n">
        <v>45680.47600694445</v>
      </c>
      <c r="C1096" s="1" t="n">
        <v>46180</v>
      </c>
      <c r="D1096" t="inlineStr">
        <is>
          <t>VÄSTERNORRLANDS LÄN</t>
        </is>
      </c>
      <c r="E1096" t="inlineStr">
        <is>
          <t>KRAMFORS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24945-2026</t>
        </is>
      </c>
      <c r="B1097" s="1" t="n">
        <v>46174.55260416667</v>
      </c>
      <c r="C1097" s="1" t="n">
        <v>46180</v>
      </c>
      <c r="D1097" t="inlineStr">
        <is>
          <t>VÄSTERNORRLANDS LÄN</t>
        </is>
      </c>
      <c r="E1097" t="inlineStr">
        <is>
          <t>KRAMFORS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54972-2023</t>
        </is>
      </c>
      <c r="B1098" s="1" t="n">
        <v>45236.92770833334</v>
      </c>
      <c r="C1098" s="1" t="n">
        <v>46180</v>
      </c>
      <c r="D1098" t="inlineStr">
        <is>
          <t>VÄSTERNORRLANDS LÄN</t>
        </is>
      </c>
      <c r="E1098" t="inlineStr">
        <is>
          <t>KRAMFORS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7986-2025</t>
        </is>
      </c>
      <c r="B1099" s="1" t="n">
        <v>45707.47594907408</v>
      </c>
      <c r="C1099" s="1" t="n">
        <v>46180</v>
      </c>
      <c r="D1099" t="inlineStr">
        <is>
          <t>VÄSTERNORRLANDS LÄN</t>
        </is>
      </c>
      <c r="E1099" t="inlineStr">
        <is>
          <t>KRAMFORS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1745-2022</t>
        </is>
      </c>
      <c r="B1100" s="1" t="n">
        <v>44574</v>
      </c>
      <c r="C1100" s="1" t="n">
        <v>46180</v>
      </c>
      <c r="D1100" t="inlineStr">
        <is>
          <t>VÄSTERNORRLANDS LÄN</t>
        </is>
      </c>
      <c r="E1100" t="inlineStr">
        <is>
          <t>KRAMFORS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22024-2026</t>
        </is>
      </c>
      <c r="B1101" s="1" t="n">
        <v>46153</v>
      </c>
      <c r="C1101" s="1" t="n">
        <v>46180</v>
      </c>
      <c r="D1101" t="inlineStr">
        <is>
          <t>VÄSTERNORRLANDS LÄN</t>
        </is>
      </c>
      <c r="E1101" t="inlineStr">
        <is>
          <t>KRAMFORS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19496-2026</t>
        </is>
      </c>
      <c r="B1102" s="1" t="n">
        <v>46134.32422453703</v>
      </c>
      <c r="C1102" s="1" t="n">
        <v>46180</v>
      </c>
      <c r="D1102" t="inlineStr">
        <is>
          <t>VÄSTERNORRLANDS LÄN</t>
        </is>
      </c>
      <c r="E1102" t="inlineStr">
        <is>
          <t>KRAMFORS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12754-2023</t>
        </is>
      </c>
      <c r="B1103" s="1" t="n">
        <v>45000</v>
      </c>
      <c r="C1103" s="1" t="n">
        <v>46180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25380-2026</t>
        </is>
      </c>
      <c r="B1104" s="1" t="n">
        <v>46176.66355324074</v>
      </c>
      <c r="C1104" s="1" t="n">
        <v>46180</v>
      </c>
      <c r="D1104" t="inlineStr">
        <is>
          <t>VÄSTERNORRLANDS LÄN</t>
        </is>
      </c>
      <c r="E1104" t="inlineStr">
        <is>
          <t>KRAMFORS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36546-2023</t>
        </is>
      </c>
      <c r="B1105" s="1" t="n">
        <v>45153</v>
      </c>
      <c r="C1105" s="1" t="n">
        <v>46180</v>
      </c>
      <c r="D1105" t="inlineStr">
        <is>
          <t>VÄSTERNORRLANDS LÄN</t>
        </is>
      </c>
      <c r="E1105" t="inlineStr">
        <is>
          <t>KRAMFORS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19602-2026</t>
        </is>
      </c>
      <c r="B1106" s="1" t="n">
        <v>46134.48378472222</v>
      </c>
      <c r="C1106" s="1" t="n">
        <v>46180</v>
      </c>
      <c r="D1106" t="inlineStr">
        <is>
          <t>VÄSTERNORRLANDS LÄN</t>
        </is>
      </c>
      <c r="E1106" t="inlineStr">
        <is>
          <t>KRAMFORS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25369-2026</t>
        </is>
      </c>
      <c r="B1107" s="1" t="n">
        <v>46176.63204861111</v>
      </c>
      <c r="C1107" s="1" t="n">
        <v>46180</v>
      </c>
      <c r="D1107" t="inlineStr">
        <is>
          <t>VÄSTERNORRLANDS LÄN</t>
        </is>
      </c>
      <c r="E1107" t="inlineStr">
        <is>
          <t>KRAMFORS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21342-2024</t>
        </is>
      </c>
      <c r="B1108" s="1" t="n">
        <v>45440.92842592593</v>
      </c>
      <c r="C1108" s="1" t="n">
        <v>46180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35172-2024</t>
        </is>
      </c>
      <c r="B1109" s="1" t="n">
        <v>45530</v>
      </c>
      <c r="C1109" s="1" t="n">
        <v>46180</v>
      </c>
      <c r="D1109" t="inlineStr">
        <is>
          <t>VÄSTERNORRLANDS LÄN</t>
        </is>
      </c>
      <c r="E1109" t="inlineStr">
        <is>
          <t>KRAMFORS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62821-2023</t>
        </is>
      </c>
      <c r="B1110" s="1" t="n">
        <v>45271</v>
      </c>
      <c r="C1110" s="1" t="n">
        <v>46180</v>
      </c>
      <c r="D1110" t="inlineStr">
        <is>
          <t>VÄSTERNORRLANDS LÄN</t>
        </is>
      </c>
      <c r="E1110" t="inlineStr">
        <is>
          <t>KRAMFORS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47478-2023</t>
        </is>
      </c>
      <c r="B1111" s="1" t="n">
        <v>45202</v>
      </c>
      <c r="C1111" s="1" t="n">
        <v>46180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22612-2026</t>
        </is>
      </c>
      <c r="B1112" s="1" t="n">
        <v>46155</v>
      </c>
      <c r="C1112" s="1" t="n">
        <v>46180</v>
      </c>
      <c r="D1112" t="inlineStr">
        <is>
          <t>VÄSTERNORRLANDS LÄN</t>
        </is>
      </c>
      <c r="E1112" t="inlineStr">
        <is>
          <t>KRAMFORS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8706-2024</t>
        </is>
      </c>
      <c r="B1113" s="1" t="n">
        <v>45355</v>
      </c>
      <c r="C1113" s="1" t="n">
        <v>46180</v>
      </c>
      <c r="D1113" t="inlineStr">
        <is>
          <t>VÄSTERNORRLANDS LÄN</t>
        </is>
      </c>
      <c r="E1113" t="inlineStr">
        <is>
          <t>KRAMFORS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25533-2026</t>
        </is>
      </c>
      <c r="B1114" s="1" t="n">
        <v>46177.53325231482</v>
      </c>
      <c r="C1114" s="1" t="n">
        <v>46180</v>
      </c>
      <c r="D1114" t="inlineStr">
        <is>
          <t>VÄSTERNORRLANDS LÄN</t>
        </is>
      </c>
      <c r="E1114" t="inlineStr">
        <is>
          <t>KRAMFORS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27836-2024</t>
        </is>
      </c>
      <c r="B1115" s="1" t="n">
        <v>45475</v>
      </c>
      <c r="C1115" s="1" t="n">
        <v>46180</v>
      </c>
      <c r="D1115" t="inlineStr">
        <is>
          <t>VÄSTERNORRLANDS LÄN</t>
        </is>
      </c>
      <c r="E1115" t="inlineStr">
        <is>
          <t>KRAMFORS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12638-2025</t>
        </is>
      </c>
      <c r="B1116" s="1" t="n">
        <v>45733.3852662037</v>
      </c>
      <c r="C1116" s="1" t="n">
        <v>46180</v>
      </c>
      <c r="D1116" t="inlineStr">
        <is>
          <t>VÄSTERNORRLANDS LÄN</t>
        </is>
      </c>
      <c r="E1116" t="inlineStr">
        <is>
          <t>KRAMFORS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63992-2023</t>
        </is>
      </c>
      <c r="B1117" s="1" t="n">
        <v>45278</v>
      </c>
      <c r="C1117" s="1" t="n">
        <v>46180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60829-2024</t>
        </is>
      </c>
      <c r="B1118" s="1" t="n">
        <v>45644</v>
      </c>
      <c r="C1118" s="1" t="n">
        <v>46180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52977-2024</t>
        </is>
      </c>
      <c r="B1119" s="1" t="n">
        <v>45611</v>
      </c>
      <c r="C1119" s="1" t="n">
        <v>46180</v>
      </c>
      <c r="D1119" t="inlineStr">
        <is>
          <t>VÄSTERNORRLANDS LÄN</t>
        </is>
      </c>
      <c r="E1119" t="inlineStr">
        <is>
          <t>KRAMFORS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1438-2024</t>
        </is>
      </c>
      <c r="B1120" s="1" t="n">
        <v>45303</v>
      </c>
      <c r="C1120" s="1" t="n">
        <v>46180</v>
      </c>
      <c r="D1120" t="inlineStr">
        <is>
          <t>VÄSTERNORRLANDS LÄN</t>
        </is>
      </c>
      <c r="E1120" t="inlineStr">
        <is>
          <t>KRAMFORS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61914-2023</t>
        </is>
      </c>
      <c r="B1121" s="1" t="n">
        <v>45265</v>
      </c>
      <c r="C1121" s="1" t="n">
        <v>46180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298-2025</t>
        </is>
      </c>
      <c r="B1122" s="1" t="n">
        <v>45660.54980324074</v>
      </c>
      <c r="C1122" s="1" t="n">
        <v>46180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24406-2025</t>
        </is>
      </c>
      <c r="B1123" s="1" t="n">
        <v>45797.65445601852</v>
      </c>
      <c r="C1123" s="1" t="n">
        <v>46180</v>
      </c>
      <c r="D1123" t="inlineStr">
        <is>
          <t>VÄSTERNORRLANDS LÄN</t>
        </is>
      </c>
      <c r="E1123" t="inlineStr">
        <is>
          <t>KRAMFORS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26197-2025</t>
        </is>
      </c>
      <c r="B1124" s="1" t="n">
        <v>45805.50068287037</v>
      </c>
      <c r="C1124" s="1" t="n">
        <v>46180</v>
      </c>
      <c r="D1124" t="inlineStr">
        <is>
          <t>VÄSTERNORRLANDS LÄN</t>
        </is>
      </c>
      <c r="E1124" t="inlineStr">
        <is>
          <t>KRAMFORS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12020-2025</t>
        </is>
      </c>
      <c r="B1125" s="1" t="n">
        <v>45728</v>
      </c>
      <c r="C1125" s="1" t="n">
        <v>46180</v>
      </c>
      <c r="D1125" t="inlineStr">
        <is>
          <t>VÄSTERNORRLANDS LÄN</t>
        </is>
      </c>
      <c r="E1125" t="inlineStr">
        <is>
          <t>KRAMFORS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59378-2024</t>
        </is>
      </c>
      <c r="B1126" s="1" t="n">
        <v>45638.35197916667</v>
      </c>
      <c r="C1126" s="1" t="n">
        <v>46180</v>
      </c>
      <c r="D1126" t="inlineStr">
        <is>
          <t>VÄSTERNORRLANDS LÄN</t>
        </is>
      </c>
      <c r="E1126" t="inlineStr">
        <is>
          <t>KRAMFORS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16809-2025</t>
        </is>
      </c>
      <c r="B1127" s="1" t="n">
        <v>45754</v>
      </c>
      <c r="C1127" s="1" t="n">
        <v>46180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19835-2024</t>
        </is>
      </c>
      <c r="B1128" s="1" t="n">
        <v>45433.37478009259</v>
      </c>
      <c r="C1128" s="1" t="n">
        <v>46180</v>
      </c>
      <c r="D1128" t="inlineStr">
        <is>
          <t>VÄSTERNORRLANDS LÄN</t>
        </is>
      </c>
      <c r="E1128" t="inlineStr">
        <is>
          <t>KRAMFORS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20693-2025</t>
        </is>
      </c>
      <c r="B1129" s="1" t="n">
        <v>45776.46915509259</v>
      </c>
      <c r="C1129" s="1" t="n">
        <v>46180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20935-2025</t>
        </is>
      </c>
      <c r="B1130" s="1" t="n">
        <v>45777.42762731481</v>
      </c>
      <c r="C1130" s="1" t="n">
        <v>46180</v>
      </c>
      <c r="D1130" t="inlineStr">
        <is>
          <t>VÄSTERNORRLANDS LÄN</t>
        </is>
      </c>
      <c r="E1130" t="inlineStr">
        <is>
          <t>KRAMFORS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19708-2025</t>
        </is>
      </c>
      <c r="B1131" s="1" t="n">
        <v>45771</v>
      </c>
      <c r="C1131" s="1" t="n">
        <v>46180</v>
      </c>
      <c r="D1131" t="inlineStr">
        <is>
          <t>VÄSTERNORRLANDS LÄN</t>
        </is>
      </c>
      <c r="E1131" t="inlineStr">
        <is>
          <t>KRAMFORS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21490-2025</t>
        </is>
      </c>
      <c r="B1132" s="1" t="n">
        <v>45782.59568287037</v>
      </c>
      <c r="C1132" s="1" t="n">
        <v>46180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21533-2025</t>
        </is>
      </c>
      <c r="B1133" s="1" t="n">
        <v>45782.65508101852</v>
      </c>
      <c r="C1133" s="1" t="n">
        <v>46180</v>
      </c>
      <c r="D1133" t="inlineStr">
        <is>
          <t>VÄSTERNORRLANDS LÄN</t>
        </is>
      </c>
      <c r="E1133" t="inlineStr">
        <is>
          <t>KRAMFORS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21645-2025</t>
        </is>
      </c>
      <c r="B1134" s="1" t="n">
        <v>45783</v>
      </c>
      <c r="C1134" s="1" t="n">
        <v>46180</v>
      </c>
      <c r="D1134" t="inlineStr">
        <is>
          <t>VÄSTERNORRLANDS LÄN</t>
        </is>
      </c>
      <c r="E1134" t="inlineStr">
        <is>
          <t>KRAMFORS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21774-2025</t>
        </is>
      </c>
      <c r="B1135" s="1" t="n">
        <v>45783</v>
      </c>
      <c r="C1135" s="1" t="n">
        <v>46180</v>
      </c>
      <c r="D1135" t="inlineStr">
        <is>
          <t>VÄSTERNORRLANDS LÄN</t>
        </is>
      </c>
      <c r="E1135" t="inlineStr">
        <is>
          <t>KRAMFORS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21773-2025</t>
        </is>
      </c>
      <c r="B1136" s="1" t="n">
        <v>45783</v>
      </c>
      <c r="C1136" s="1" t="n">
        <v>46180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21626-2025</t>
        </is>
      </c>
      <c r="B1137" s="1" t="n">
        <v>45783.4165162037</v>
      </c>
      <c r="C1137" s="1" t="n">
        <v>46180</v>
      </c>
      <c r="D1137" t="inlineStr">
        <is>
          <t>VÄSTERNORRLANDS LÄN</t>
        </is>
      </c>
      <c r="E1137" t="inlineStr">
        <is>
          <t>KRAMFORS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1075-2024</t>
        </is>
      </c>
      <c r="B1138" s="1" t="n">
        <v>45301</v>
      </c>
      <c r="C1138" s="1" t="n">
        <v>46180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21772-2025</t>
        </is>
      </c>
      <c r="B1139" s="1" t="n">
        <v>45783</v>
      </c>
      <c r="C1139" s="1" t="n">
        <v>46180</v>
      </c>
      <c r="D1139" t="inlineStr">
        <is>
          <t>VÄSTERNORRLANDS LÄN</t>
        </is>
      </c>
      <c r="E1139" t="inlineStr">
        <is>
          <t>KRAMFORS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39492-2024</t>
        </is>
      </c>
      <c r="B1140" s="1" t="n">
        <v>45551</v>
      </c>
      <c r="C1140" s="1" t="n">
        <v>46180</v>
      </c>
      <c r="D1140" t="inlineStr">
        <is>
          <t>VÄSTERNORRLANDS LÄN</t>
        </is>
      </c>
      <c r="E1140" t="inlineStr">
        <is>
          <t>KRAMFORS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64608-2023</t>
        </is>
      </c>
      <c r="B1141" s="1" t="n">
        <v>45281</v>
      </c>
      <c r="C1141" s="1" t="n">
        <v>46180</v>
      </c>
      <c r="D1141" t="inlineStr">
        <is>
          <t>VÄSTERNORRLANDS LÄN</t>
        </is>
      </c>
      <c r="E1141" t="inlineStr">
        <is>
          <t>KRAMFORS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43435-2022</t>
        </is>
      </c>
      <c r="B1142" s="1" t="n">
        <v>44834</v>
      </c>
      <c r="C1142" s="1" t="n">
        <v>46180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46180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16504-2024</t>
        </is>
      </c>
      <c r="B1144" s="1" t="n">
        <v>45408</v>
      </c>
      <c r="C1144" s="1" t="n">
        <v>46180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28121-2024</t>
        </is>
      </c>
      <c r="B1145" s="1" t="n">
        <v>45476</v>
      </c>
      <c r="C1145" s="1" t="n">
        <v>46180</v>
      </c>
      <c r="D1145" t="inlineStr">
        <is>
          <t>VÄSTERNORRLANDS LÄN</t>
        </is>
      </c>
      <c r="E1145" t="inlineStr">
        <is>
          <t>KRAMFORS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30770-2024</t>
        </is>
      </c>
      <c r="B1146" s="1" t="n">
        <v>45496.93024305555</v>
      </c>
      <c r="C1146" s="1" t="n">
        <v>46180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Kyrkan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40187-2023</t>
        </is>
      </c>
      <c r="B1147" s="1" t="n">
        <v>45169.41689814815</v>
      </c>
      <c r="C1147" s="1" t="n">
        <v>46180</v>
      </c>
      <c r="D1147" t="inlineStr">
        <is>
          <t>VÄSTERNORRLANDS LÄN</t>
        </is>
      </c>
      <c r="E1147" t="inlineStr">
        <is>
          <t>KRAMFORS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22942-2025</t>
        </is>
      </c>
      <c r="B1148" s="1" t="n">
        <v>45790.46957175926</v>
      </c>
      <c r="C1148" s="1" t="n">
        <v>46180</v>
      </c>
      <c r="D1148" t="inlineStr">
        <is>
          <t>VÄSTERNORRLANDS LÄN</t>
        </is>
      </c>
      <c r="E1148" t="inlineStr">
        <is>
          <t>KRAMFORS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30769-2024</t>
        </is>
      </c>
      <c r="B1149" s="1" t="n">
        <v>45496.93018518519</v>
      </c>
      <c r="C1149" s="1" t="n">
        <v>46180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Kyrkan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59065-2024</t>
        </is>
      </c>
      <c r="B1150" s="1" t="n">
        <v>45636.89309027778</v>
      </c>
      <c r="C1150" s="1" t="n">
        <v>46180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36362-2022</t>
        </is>
      </c>
      <c r="B1151" s="1" t="n">
        <v>44803.9271875</v>
      </c>
      <c r="C1151" s="1" t="n">
        <v>46180</v>
      </c>
      <c r="D1151" t="inlineStr">
        <is>
          <t>VÄSTERNORRLANDS LÄN</t>
        </is>
      </c>
      <c r="E1151" t="inlineStr">
        <is>
          <t>KRAMFORS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23577-2025</t>
        </is>
      </c>
      <c r="B1152" s="1" t="n">
        <v>45792.62400462963</v>
      </c>
      <c r="C1152" s="1" t="n">
        <v>46180</v>
      </c>
      <c r="D1152" t="inlineStr">
        <is>
          <t>VÄSTERNORRLANDS LÄN</t>
        </is>
      </c>
      <c r="E1152" t="inlineStr">
        <is>
          <t>KRAMFORS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43010-2024</t>
        </is>
      </c>
      <c r="B1153" s="1" t="n">
        <v>45567.38643518519</v>
      </c>
      <c r="C1153" s="1" t="n">
        <v>46180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54672-2024</t>
        </is>
      </c>
      <c r="B1154" s="1" t="n">
        <v>45618.34255787037</v>
      </c>
      <c r="C1154" s="1" t="n">
        <v>46180</v>
      </c>
      <c r="D1154" t="inlineStr">
        <is>
          <t>VÄSTERNORRLANDS LÄN</t>
        </is>
      </c>
      <c r="E1154" t="inlineStr">
        <is>
          <t>KRAMFORS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55241-2023</t>
        </is>
      </c>
      <c r="B1155" s="1" t="n">
        <v>45231</v>
      </c>
      <c r="C1155" s="1" t="n">
        <v>46180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23256-2025</t>
        </is>
      </c>
      <c r="B1156" s="1" t="n">
        <v>45791.53471064815</v>
      </c>
      <c r="C1156" s="1" t="n">
        <v>46180</v>
      </c>
      <c r="D1156" t="inlineStr">
        <is>
          <t>VÄSTERNORRLANDS LÄN</t>
        </is>
      </c>
      <c r="E1156" t="inlineStr">
        <is>
          <t>KRAMFORS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17574-2024</t>
        </is>
      </c>
      <c r="B1157" s="1" t="n">
        <v>45415</v>
      </c>
      <c r="C1157" s="1" t="n">
        <v>46180</v>
      </c>
      <c r="D1157" t="inlineStr">
        <is>
          <t>VÄSTERNORRLANDS LÄN</t>
        </is>
      </c>
      <c r="E1157" t="inlineStr">
        <is>
          <t>KRAMFORS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17789-2024</t>
        </is>
      </c>
      <c r="B1158" s="1" t="n">
        <v>45418</v>
      </c>
      <c r="C1158" s="1" t="n">
        <v>46180</v>
      </c>
      <c r="D1158" t="inlineStr">
        <is>
          <t>VÄSTERNORRLANDS LÄN</t>
        </is>
      </c>
      <c r="E1158" t="inlineStr">
        <is>
          <t>KRAMFORS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36671-2022</t>
        </is>
      </c>
      <c r="B1159" s="1" t="n">
        <v>44804</v>
      </c>
      <c r="C1159" s="1" t="n">
        <v>46180</v>
      </c>
      <c r="D1159" t="inlineStr">
        <is>
          <t>VÄSTERNORRLANDS LÄN</t>
        </is>
      </c>
      <c r="E1159" t="inlineStr">
        <is>
          <t>KRAMFORS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39622-2024</t>
        </is>
      </c>
      <c r="B1160" s="1" t="n">
        <v>45552</v>
      </c>
      <c r="C1160" s="1" t="n">
        <v>46180</v>
      </c>
      <c r="D1160" t="inlineStr">
        <is>
          <t>VÄSTERNORRLANDS LÄN</t>
        </is>
      </c>
      <c r="E1160" t="inlineStr">
        <is>
          <t>KRAMFORS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50139-2025</t>
        </is>
      </c>
      <c r="B1161" s="1" t="n">
        <v>45943.56555555556</v>
      </c>
      <c r="C1161" s="1" t="n">
        <v>46180</v>
      </c>
      <c r="D1161" t="inlineStr">
        <is>
          <t>VÄSTERNORRLANDS LÄN</t>
        </is>
      </c>
      <c r="E1161" t="inlineStr">
        <is>
          <t>KRAMFORS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709-2026</t>
        </is>
      </c>
      <c r="B1162" s="1" t="n">
        <v>46029</v>
      </c>
      <c r="C1162" s="1" t="n">
        <v>46180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29148-2025</t>
        </is>
      </c>
      <c r="B1163" s="1" t="n">
        <v>45821.6271412037</v>
      </c>
      <c r="C1163" s="1" t="n">
        <v>46180</v>
      </c>
      <c r="D1163" t="inlineStr">
        <is>
          <t>VÄSTERNORRLANDS LÄN</t>
        </is>
      </c>
      <c r="E1163" t="inlineStr">
        <is>
          <t>KRAMFORS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53792-2025</t>
        </is>
      </c>
      <c r="B1164" s="1" t="n">
        <v>45960.72216435185</v>
      </c>
      <c r="C1164" s="1" t="n">
        <v>46180</v>
      </c>
      <c r="D1164" t="inlineStr">
        <is>
          <t>VÄSTERNORRLANDS LÄN</t>
        </is>
      </c>
      <c r="E1164" t="inlineStr">
        <is>
          <t>KRAMFORS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33522-2025</t>
        </is>
      </c>
      <c r="B1165" s="1" t="n">
        <v>45841.54479166667</v>
      </c>
      <c r="C1165" s="1" t="n">
        <v>46180</v>
      </c>
      <c r="D1165" t="inlineStr">
        <is>
          <t>VÄSTERNORRLANDS LÄN</t>
        </is>
      </c>
      <c r="E1165" t="inlineStr">
        <is>
          <t>KRAMFORS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42975-2025</t>
        </is>
      </c>
      <c r="B1166" s="1" t="n">
        <v>45909.42412037037</v>
      </c>
      <c r="C1166" s="1" t="n">
        <v>46180</v>
      </c>
      <c r="D1166" t="inlineStr">
        <is>
          <t>VÄSTERNORRLANDS LÄN</t>
        </is>
      </c>
      <c r="E1166" t="inlineStr">
        <is>
          <t>KRAMFORS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20021-2026</t>
        </is>
      </c>
      <c r="B1167" s="1" t="n">
        <v>46136.52253472222</v>
      </c>
      <c r="C1167" s="1" t="n">
        <v>46180</v>
      </c>
      <c r="D1167" t="inlineStr">
        <is>
          <t>VÄSTERNORRLANDS LÄN</t>
        </is>
      </c>
      <c r="E1167" t="inlineStr">
        <is>
          <t>KRAMFORS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20061-2026</t>
        </is>
      </c>
      <c r="B1168" s="1" t="n">
        <v>46136.5859375</v>
      </c>
      <c r="C1168" s="1" t="n">
        <v>46180</v>
      </c>
      <c r="D1168" t="inlineStr">
        <is>
          <t>VÄSTERNORRLANDS LÄN</t>
        </is>
      </c>
      <c r="E1168" t="inlineStr">
        <is>
          <t>KRAMFORS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60421-2024</t>
        </is>
      </c>
      <c r="B1169" s="1" t="n">
        <v>45643.53630787037</v>
      </c>
      <c r="C1169" s="1" t="n">
        <v>46180</v>
      </c>
      <c r="D1169" t="inlineStr">
        <is>
          <t>VÄSTERNORRLANDS LÄN</t>
        </is>
      </c>
      <c r="E1169" t="inlineStr">
        <is>
          <t>KRAMFORS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24254-2026</t>
        </is>
      </c>
      <c r="B1170" s="1" t="n">
        <v>46168</v>
      </c>
      <c r="C1170" s="1" t="n">
        <v>46180</v>
      </c>
      <c r="D1170" t="inlineStr">
        <is>
          <t>VÄSTERNORRLANDS LÄN</t>
        </is>
      </c>
      <c r="E1170" t="inlineStr">
        <is>
          <t>KRAMFORS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47521-2025</t>
        </is>
      </c>
      <c r="B1171" s="1" t="n">
        <v>45931.32556712963</v>
      </c>
      <c r="C1171" s="1" t="n">
        <v>46180</v>
      </c>
      <c r="D1171" t="inlineStr">
        <is>
          <t>VÄSTERNORRLANDS LÄN</t>
        </is>
      </c>
      <c r="E1171" t="inlineStr">
        <is>
          <t>KRAMFORS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2026-06-07T10:30:12Z</dcterms:created>
  <dcterms:modified xmlns:dcterms="http://purl.org/dc/terms/" xmlns:xsi="http://www.w3.org/2001/XMLSchema-instance" xsi:type="dcterms:W3CDTF">2026-06-07T10:30:13Z</dcterms:modified>
</cp:coreProperties>
</file>