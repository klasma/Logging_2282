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45783</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45783</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45783</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45783</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45783</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45783</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45783</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45783</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45783</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45783</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45783</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45783</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45783</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45783</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45783</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45783</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45783</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45783</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45783</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45783</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45783</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45783</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45783</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45783</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45783</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45783</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45783</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45783</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45783</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45783</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45783</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45783</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45783</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45783</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45783</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45783</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45783</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45783</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45783</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45783</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45783</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45783</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45783</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18692-2025</t>
        </is>
      </c>
      <c r="B82" s="1" t="n">
        <v>45763</v>
      </c>
      <c r="C82" s="1" t="n">
        <v>45783</v>
      </c>
      <c r="D82" t="inlineStr">
        <is>
          <t>VÄSTERNORRLANDS LÄN</t>
        </is>
      </c>
      <c r="E82" t="inlineStr">
        <is>
          <t>KRAMFORS</t>
        </is>
      </c>
      <c r="F82" t="inlineStr">
        <is>
          <t>SCA</t>
        </is>
      </c>
      <c r="G82" t="n">
        <v>13.1</v>
      </c>
      <c r="H82" t="n">
        <v>1</v>
      </c>
      <c r="I82" t="n">
        <v>0</v>
      </c>
      <c r="J82" t="n">
        <v>1</v>
      </c>
      <c r="K82" t="n">
        <v>0</v>
      </c>
      <c r="L82" t="n">
        <v>0</v>
      </c>
      <c r="M82" t="n">
        <v>0</v>
      </c>
      <c r="N82" t="n">
        <v>0</v>
      </c>
      <c r="O82" t="n">
        <v>1</v>
      </c>
      <c r="P82" t="n">
        <v>0</v>
      </c>
      <c r="Q82" t="n">
        <v>1</v>
      </c>
      <c r="R82" s="2" t="inlineStr">
        <is>
          <t>Talltita</t>
        </is>
      </c>
      <c r="S82">
        <f>HYPERLINK("https://klasma.github.io/Logging_222282/artfynd/A 18692-2025 artfynd.xlsx", "A 18692-2025")</f>
        <v/>
      </c>
      <c r="T82">
        <f>HYPERLINK("https://klasma.github.io/Logging_222282/kartor/A 18692-2025 karta.png", "A 18692-2025")</f>
        <v/>
      </c>
      <c r="V82">
        <f>HYPERLINK("https://klasma.github.io/Logging_222282/klagomål/A 18692-2025 FSC-klagomål.docx", "A 18692-2025")</f>
        <v/>
      </c>
      <c r="W82">
        <f>HYPERLINK("https://klasma.github.io/Logging_222282/klagomålsmail/A 18692-2025 FSC-klagomål mail.docx", "A 18692-2025")</f>
        <v/>
      </c>
      <c r="X82">
        <f>HYPERLINK("https://klasma.github.io/Logging_222282/tillsyn/A 18692-2025 tillsynsbegäran.docx", "A 18692-2025")</f>
        <v/>
      </c>
      <c r="Y82">
        <f>HYPERLINK("https://klasma.github.io/Logging_222282/tillsynsmail/A 18692-2025 tillsynsbegäran mail.docx", "A 18692-2025")</f>
        <v/>
      </c>
      <c r="Z82">
        <f>HYPERLINK("https://klasma.github.io/Logging_222282/fåglar/A 18692-2025 prioriterade fågelarter.docx", "A 18692-2025")</f>
        <v/>
      </c>
    </row>
    <row r="83" ht="15" customHeight="1">
      <c r="A83" t="inlineStr">
        <is>
          <t>A 18792-2025</t>
        </is>
      </c>
      <c r="B83" s="1" t="n">
        <v>45764</v>
      </c>
      <c r="C83" s="1" t="n">
        <v>45783</v>
      </c>
      <c r="D83" t="inlineStr">
        <is>
          <t>VÄSTERNORRLANDS LÄN</t>
        </is>
      </c>
      <c r="E83" t="inlineStr">
        <is>
          <t>KRAMFORS</t>
        </is>
      </c>
      <c r="F83" t="inlineStr">
        <is>
          <t>SCA</t>
        </is>
      </c>
      <c r="G83" t="n">
        <v>5.1</v>
      </c>
      <c r="H83" t="n">
        <v>0</v>
      </c>
      <c r="I83" t="n">
        <v>0</v>
      </c>
      <c r="J83" t="n">
        <v>1</v>
      </c>
      <c r="K83" t="n">
        <v>0</v>
      </c>
      <c r="L83" t="n">
        <v>0</v>
      </c>
      <c r="M83" t="n">
        <v>0</v>
      </c>
      <c r="N83" t="n">
        <v>0</v>
      </c>
      <c r="O83" t="n">
        <v>1</v>
      </c>
      <c r="P83" t="n">
        <v>0</v>
      </c>
      <c r="Q83" t="n">
        <v>1</v>
      </c>
      <c r="R83" s="2" t="inlineStr">
        <is>
          <t>Gammelgransskål</t>
        </is>
      </c>
      <c r="S83">
        <f>HYPERLINK("https://klasma.github.io/Logging_222282/artfynd/A 18792-2025 artfynd.xlsx", "A 18792-2025")</f>
        <v/>
      </c>
      <c r="T83">
        <f>HYPERLINK("https://klasma.github.io/Logging_222282/kartor/A 18792-2025 karta.png", "A 18792-2025")</f>
        <v/>
      </c>
      <c r="V83">
        <f>HYPERLINK("https://klasma.github.io/Logging_222282/klagomål/A 18792-2025 FSC-klagomål.docx", "A 18792-2025")</f>
        <v/>
      </c>
      <c r="W83">
        <f>HYPERLINK("https://klasma.github.io/Logging_222282/klagomålsmail/A 18792-2025 FSC-klagomål mail.docx", "A 18792-2025")</f>
        <v/>
      </c>
      <c r="X83">
        <f>HYPERLINK("https://klasma.github.io/Logging_222282/tillsyn/A 18792-2025 tillsynsbegäran.docx", "A 18792-2025")</f>
        <v/>
      </c>
      <c r="Y83">
        <f>HYPERLINK("https://klasma.github.io/Logging_222282/tillsynsmail/A 18792-2025 tillsynsbegäran mail.docx", "A 18792-2025")</f>
        <v/>
      </c>
    </row>
    <row r="84" ht="15" customHeight="1">
      <c r="A84" t="inlineStr">
        <is>
          <t>A 18793-2025</t>
        </is>
      </c>
      <c r="B84" s="1" t="n">
        <v>45764</v>
      </c>
      <c r="C84" s="1" t="n">
        <v>45783</v>
      </c>
      <c r="D84" t="inlineStr">
        <is>
          <t>VÄSTERNORRLANDS LÄN</t>
        </is>
      </c>
      <c r="E84" t="inlineStr">
        <is>
          <t>KRAMFORS</t>
        </is>
      </c>
      <c r="F84" t="inlineStr">
        <is>
          <t>SCA</t>
        </is>
      </c>
      <c r="G84" t="n">
        <v>2.8</v>
      </c>
      <c r="H84" t="n">
        <v>1</v>
      </c>
      <c r="I84" t="n">
        <v>0</v>
      </c>
      <c r="J84" t="n">
        <v>1</v>
      </c>
      <c r="K84" t="n">
        <v>0</v>
      </c>
      <c r="L84" t="n">
        <v>0</v>
      </c>
      <c r="M84" t="n">
        <v>0</v>
      </c>
      <c r="N84" t="n">
        <v>0</v>
      </c>
      <c r="O84" t="n">
        <v>1</v>
      </c>
      <c r="P84" t="n">
        <v>0</v>
      </c>
      <c r="Q84" t="n">
        <v>1</v>
      </c>
      <c r="R84" s="2" t="inlineStr">
        <is>
          <t>Nordfladdermus</t>
        </is>
      </c>
      <c r="S84">
        <f>HYPERLINK("https://klasma.github.io/Logging_222282/artfynd/A 18793-2025 artfynd.xlsx", "A 18793-2025")</f>
        <v/>
      </c>
      <c r="T84">
        <f>HYPERLINK("https://klasma.github.io/Logging_222282/kartor/A 18793-2025 karta.png", "A 18793-2025")</f>
        <v/>
      </c>
      <c r="V84">
        <f>HYPERLINK("https://klasma.github.io/Logging_222282/klagomål/A 18793-2025 FSC-klagomål.docx", "A 18793-2025")</f>
        <v/>
      </c>
      <c r="W84">
        <f>HYPERLINK("https://klasma.github.io/Logging_222282/klagomålsmail/A 18793-2025 FSC-klagomål mail.docx", "A 18793-2025")</f>
        <v/>
      </c>
      <c r="X84">
        <f>HYPERLINK("https://klasma.github.io/Logging_222282/tillsyn/A 18793-2025 tillsynsbegäran.docx", "A 18793-2025")</f>
        <v/>
      </c>
      <c r="Y84">
        <f>HYPERLINK("https://klasma.github.io/Logging_222282/tillsynsmail/A 18793-2025 tillsynsbegäran mail.docx", "A 18793-2025")</f>
        <v/>
      </c>
    </row>
    <row r="85" ht="15" customHeight="1">
      <c r="A85" t="inlineStr">
        <is>
          <t>A 18842-2019</t>
        </is>
      </c>
      <c r="B85" s="1" t="n">
        <v>43563</v>
      </c>
      <c r="C85" s="1" t="n">
        <v>45783</v>
      </c>
      <c r="D85" t="inlineStr">
        <is>
          <t>VÄSTERNORRLANDS LÄN</t>
        </is>
      </c>
      <c r="E85" t="inlineStr">
        <is>
          <t>KRAMFORS</t>
        </is>
      </c>
      <c r="G85" t="n">
        <v>1.2</v>
      </c>
      <c r="H85" t="n">
        <v>0</v>
      </c>
      <c r="I85" t="n">
        <v>0</v>
      </c>
      <c r="J85" t="n">
        <v>0</v>
      </c>
      <c r="K85" t="n">
        <v>0</v>
      </c>
      <c r="L85" t="n">
        <v>0</v>
      </c>
      <c r="M85" t="n">
        <v>0</v>
      </c>
      <c r="N85" t="n">
        <v>0</v>
      </c>
      <c r="O85" t="n">
        <v>0</v>
      </c>
      <c r="P85" t="n">
        <v>0</v>
      </c>
      <c r="Q85" t="n">
        <v>0</v>
      </c>
      <c r="R85" s="2" t="inlineStr"/>
    </row>
    <row r="86" ht="15" customHeight="1">
      <c r="A86" t="inlineStr">
        <is>
          <t>A 19254-2019</t>
        </is>
      </c>
      <c r="B86" s="1" t="n">
        <v>43564</v>
      </c>
      <c r="C86" s="1" t="n">
        <v>45783</v>
      </c>
      <c r="D86" t="inlineStr">
        <is>
          <t>VÄSTERNORRLANDS LÄN</t>
        </is>
      </c>
      <c r="E86" t="inlineStr">
        <is>
          <t>KRAMFORS</t>
        </is>
      </c>
      <c r="G86" t="n">
        <v>4.8</v>
      </c>
      <c r="H86" t="n">
        <v>0</v>
      </c>
      <c r="I86" t="n">
        <v>0</v>
      </c>
      <c r="J86" t="n">
        <v>0</v>
      </c>
      <c r="K86" t="n">
        <v>0</v>
      </c>
      <c r="L86" t="n">
        <v>0</v>
      </c>
      <c r="M86" t="n">
        <v>0</v>
      </c>
      <c r="N86" t="n">
        <v>0</v>
      </c>
      <c r="O86" t="n">
        <v>0</v>
      </c>
      <c r="P86" t="n">
        <v>0</v>
      </c>
      <c r="Q86" t="n">
        <v>0</v>
      </c>
      <c r="R86" s="2" t="inlineStr"/>
    </row>
    <row r="87" ht="15" customHeight="1">
      <c r="A87" t="inlineStr">
        <is>
          <t>A 19341-2019</t>
        </is>
      </c>
      <c r="B87" s="1" t="n">
        <v>43564</v>
      </c>
      <c r="C87" s="1" t="n">
        <v>45783</v>
      </c>
      <c r="D87" t="inlineStr">
        <is>
          <t>VÄSTERNORRLANDS LÄN</t>
        </is>
      </c>
      <c r="E87" t="inlineStr">
        <is>
          <t>KRAMFORS</t>
        </is>
      </c>
      <c r="G87" t="n">
        <v>1.8</v>
      </c>
      <c r="H87" t="n">
        <v>0</v>
      </c>
      <c r="I87" t="n">
        <v>0</v>
      </c>
      <c r="J87" t="n">
        <v>0</v>
      </c>
      <c r="K87" t="n">
        <v>0</v>
      </c>
      <c r="L87" t="n">
        <v>0</v>
      </c>
      <c r="M87" t="n">
        <v>0</v>
      </c>
      <c r="N87" t="n">
        <v>0</v>
      </c>
      <c r="O87" t="n">
        <v>0</v>
      </c>
      <c r="P87" t="n">
        <v>0</v>
      </c>
      <c r="Q87" t="n">
        <v>0</v>
      </c>
      <c r="R87" s="2" t="inlineStr"/>
    </row>
    <row r="88" ht="15" customHeight="1">
      <c r="A88" t="inlineStr">
        <is>
          <t>A 19813-2019</t>
        </is>
      </c>
      <c r="B88" s="1" t="n">
        <v>43567</v>
      </c>
      <c r="C88" s="1" t="n">
        <v>45783</v>
      </c>
      <c r="D88" t="inlineStr">
        <is>
          <t>VÄSTERNORRLANDS LÄN</t>
        </is>
      </c>
      <c r="E88" t="inlineStr">
        <is>
          <t>KRAMFORS</t>
        </is>
      </c>
      <c r="G88" t="n">
        <v>2.1</v>
      </c>
      <c r="H88" t="n">
        <v>0</v>
      </c>
      <c r="I88" t="n">
        <v>0</v>
      </c>
      <c r="J88" t="n">
        <v>0</v>
      </c>
      <c r="K88" t="n">
        <v>0</v>
      </c>
      <c r="L88" t="n">
        <v>0</v>
      </c>
      <c r="M88" t="n">
        <v>0</v>
      </c>
      <c r="N88" t="n">
        <v>0</v>
      </c>
      <c r="O88" t="n">
        <v>0</v>
      </c>
      <c r="P88" t="n">
        <v>0</v>
      </c>
      <c r="Q88" t="n">
        <v>0</v>
      </c>
      <c r="R88" s="2" t="inlineStr"/>
    </row>
    <row r="89" ht="15" customHeight="1">
      <c r="A89" t="inlineStr">
        <is>
          <t>A 20653-2019</t>
        </is>
      </c>
      <c r="B89" s="1" t="n">
        <v>43572</v>
      </c>
      <c r="C89" s="1" t="n">
        <v>45783</v>
      </c>
      <c r="D89" t="inlineStr">
        <is>
          <t>VÄSTERNORRLANDS LÄN</t>
        </is>
      </c>
      <c r="E89" t="inlineStr">
        <is>
          <t>KRAMFORS</t>
        </is>
      </c>
      <c r="G89" t="n">
        <v>3.8</v>
      </c>
      <c r="H89" t="n">
        <v>0</v>
      </c>
      <c r="I89" t="n">
        <v>0</v>
      </c>
      <c r="J89" t="n">
        <v>0</v>
      </c>
      <c r="K89" t="n">
        <v>0</v>
      </c>
      <c r="L89" t="n">
        <v>0</v>
      </c>
      <c r="M89" t="n">
        <v>0</v>
      </c>
      <c r="N89" t="n">
        <v>0</v>
      </c>
      <c r="O89" t="n">
        <v>0</v>
      </c>
      <c r="P89" t="n">
        <v>0</v>
      </c>
      <c r="Q89" t="n">
        <v>0</v>
      </c>
      <c r="R89" s="2" t="inlineStr"/>
    </row>
    <row r="90" ht="15" customHeight="1">
      <c r="A90" t="inlineStr">
        <is>
          <t>A 20893-2019</t>
        </is>
      </c>
      <c r="B90" s="1" t="n">
        <v>43578</v>
      </c>
      <c r="C90" s="1" t="n">
        <v>45783</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21896-2019</t>
        </is>
      </c>
      <c r="B91" s="1" t="n">
        <v>43584</v>
      </c>
      <c r="C91" s="1" t="n">
        <v>45783</v>
      </c>
      <c r="D91" t="inlineStr">
        <is>
          <t>VÄSTERNORRLANDS LÄN</t>
        </is>
      </c>
      <c r="E91" t="inlineStr">
        <is>
          <t>KRAMFORS</t>
        </is>
      </c>
      <c r="G91" t="n">
        <v>4.5</v>
      </c>
      <c r="H91" t="n">
        <v>0</v>
      </c>
      <c r="I91" t="n">
        <v>0</v>
      </c>
      <c r="J91" t="n">
        <v>0</v>
      </c>
      <c r="K91" t="n">
        <v>0</v>
      </c>
      <c r="L91" t="n">
        <v>0</v>
      </c>
      <c r="M91" t="n">
        <v>0</v>
      </c>
      <c r="N91" t="n">
        <v>0</v>
      </c>
      <c r="O91" t="n">
        <v>0</v>
      </c>
      <c r="P91" t="n">
        <v>0</v>
      </c>
      <c r="Q91" t="n">
        <v>0</v>
      </c>
      <c r="R91" s="2" t="inlineStr"/>
    </row>
    <row r="92" ht="15" customHeight="1">
      <c r="A92" t="inlineStr">
        <is>
          <t>A 22022-2019</t>
        </is>
      </c>
      <c r="B92" s="1" t="n">
        <v>43584</v>
      </c>
      <c r="C92" s="1" t="n">
        <v>45783</v>
      </c>
      <c r="D92" t="inlineStr">
        <is>
          <t>VÄSTERNORRLANDS LÄN</t>
        </is>
      </c>
      <c r="E92" t="inlineStr">
        <is>
          <t>KRAMFORS</t>
        </is>
      </c>
      <c r="G92" t="n">
        <v>7.3</v>
      </c>
      <c r="H92" t="n">
        <v>0</v>
      </c>
      <c r="I92" t="n">
        <v>0</v>
      </c>
      <c r="J92" t="n">
        <v>0</v>
      </c>
      <c r="K92" t="n">
        <v>0</v>
      </c>
      <c r="L92" t="n">
        <v>0</v>
      </c>
      <c r="M92" t="n">
        <v>0</v>
      </c>
      <c r="N92" t="n">
        <v>0</v>
      </c>
      <c r="O92" t="n">
        <v>0</v>
      </c>
      <c r="P92" t="n">
        <v>0</v>
      </c>
      <c r="Q92" t="n">
        <v>0</v>
      </c>
      <c r="R92" s="2" t="inlineStr"/>
    </row>
    <row r="93" ht="15" customHeight="1">
      <c r="A93" t="inlineStr">
        <is>
          <t>A 22060-2019</t>
        </is>
      </c>
      <c r="B93" s="1" t="n">
        <v>43584</v>
      </c>
      <c r="C93" s="1" t="n">
        <v>45783</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22020-2019</t>
        </is>
      </c>
      <c r="B94" s="1" t="n">
        <v>43584</v>
      </c>
      <c r="C94" s="1" t="n">
        <v>45783</v>
      </c>
      <c r="D94" t="inlineStr">
        <is>
          <t>VÄSTERNORRLANDS LÄN</t>
        </is>
      </c>
      <c r="E94" t="inlineStr">
        <is>
          <t>KRAMFORS</t>
        </is>
      </c>
      <c r="G94" t="n">
        <v>1.2</v>
      </c>
      <c r="H94" t="n">
        <v>0</v>
      </c>
      <c r="I94" t="n">
        <v>0</v>
      </c>
      <c r="J94" t="n">
        <v>0</v>
      </c>
      <c r="K94" t="n">
        <v>0</v>
      </c>
      <c r="L94" t="n">
        <v>0</v>
      </c>
      <c r="M94" t="n">
        <v>0</v>
      </c>
      <c r="N94" t="n">
        <v>0</v>
      </c>
      <c r="O94" t="n">
        <v>0</v>
      </c>
      <c r="P94" t="n">
        <v>0</v>
      </c>
      <c r="Q94" t="n">
        <v>0</v>
      </c>
      <c r="R94" s="2" t="inlineStr"/>
    </row>
    <row r="95" ht="15" customHeight="1">
      <c r="A95" t="inlineStr">
        <is>
          <t>A 22288-2019</t>
        </is>
      </c>
      <c r="B95" s="1" t="n">
        <v>43585</v>
      </c>
      <c r="C95" s="1" t="n">
        <v>45783</v>
      </c>
      <c r="D95" t="inlineStr">
        <is>
          <t>VÄSTERNORRLANDS LÄN</t>
        </is>
      </c>
      <c r="E95" t="inlineStr">
        <is>
          <t>KRAMFORS</t>
        </is>
      </c>
      <c r="G95" t="n">
        <v>1.5</v>
      </c>
      <c r="H95" t="n">
        <v>0</v>
      </c>
      <c r="I95" t="n">
        <v>0</v>
      </c>
      <c r="J95" t="n">
        <v>0</v>
      </c>
      <c r="K95" t="n">
        <v>0</v>
      </c>
      <c r="L95" t="n">
        <v>0</v>
      </c>
      <c r="M95" t="n">
        <v>0</v>
      </c>
      <c r="N95" t="n">
        <v>0</v>
      </c>
      <c r="O95" t="n">
        <v>0</v>
      </c>
      <c r="P95" t="n">
        <v>0</v>
      </c>
      <c r="Q95" t="n">
        <v>0</v>
      </c>
      <c r="R95" s="2" t="inlineStr"/>
    </row>
    <row r="96" ht="15" customHeight="1">
      <c r="A96" t="inlineStr">
        <is>
          <t>A 22120-2019</t>
        </is>
      </c>
      <c r="B96" s="1" t="n">
        <v>43585</v>
      </c>
      <c r="C96" s="1" t="n">
        <v>45783</v>
      </c>
      <c r="D96" t="inlineStr">
        <is>
          <t>VÄSTERNORRLANDS LÄN</t>
        </is>
      </c>
      <c r="E96" t="inlineStr">
        <is>
          <t>KRAMFORS</t>
        </is>
      </c>
      <c r="G96" t="n">
        <v>9.5</v>
      </c>
      <c r="H96" t="n">
        <v>0</v>
      </c>
      <c r="I96" t="n">
        <v>0</v>
      </c>
      <c r="J96" t="n">
        <v>0</v>
      </c>
      <c r="K96" t="n">
        <v>0</v>
      </c>
      <c r="L96" t="n">
        <v>0</v>
      </c>
      <c r="M96" t="n">
        <v>0</v>
      </c>
      <c r="N96" t="n">
        <v>0</v>
      </c>
      <c r="O96" t="n">
        <v>0</v>
      </c>
      <c r="P96" t="n">
        <v>0</v>
      </c>
      <c r="Q96" t="n">
        <v>0</v>
      </c>
      <c r="R96" s="2" t="inlineStr"/>
    </row>
    <row r="97" ht="15" customHeight="1">
      <c r="A97" t="inlineStr">
        <is>
          <t>A 22373-2019</t>
        </is>
      </c>
      <c r="B97" s="1" t="n">
        <v>43587</v>
      </c>
      <c r="C97" s="1" t="n">
        <v>45783</v>
      </c>
      <c r="D97" t="inlineStr">
        <is>
          <t>VÄSTERNORRLANDS LÄN</t>
        </is>
      </c>
      <c r="E97" t="inlineStr">
        <is>
          <t>KRAMFORS</t>
        </is>
      </c>
      <c r="G97" t="n">
        <v>3.2</v>
      </c>
      <c r="H97" t="n">
        <v>0</v>
      </c>
      <c r="I97" t="n">
        <v>0</v>
      </c>
      <c r="J97" t="n">
        <v>0</v>
      </c>
      <c r="K97" t="n">
        <v>0</v>
      </c>
      <c r="L97" t="n">
        <v>0</v>
      </c>
      <c r="M97" t="n">
        <v>0</v>
      </c>
      <c r="N97" t="n">
        <v>0</v>
      </c>
      <c r="O97" t="n">
        <v>0</v>
      </c>
      <c r="P97" t="n">
        <v>0</v>
      </c>
      <c r="Q97" t="n">
        <v>0</v>
      </c>
      <c r="R97" s="2" t="inlineStr"/>
    </row>
    <row r="98" ht="15" customHeight="1">
      <c r="A98" t="inlineStr">
        <is>
          <t>A 22380-2019</t>
        </is>
      </c>
      <c r="B98" s="1" t="n">
        <v>43587</v>
      </c>
      <c r="C98" s="1" t="n">
        <v>45783</v>
      </c>
      <c r="D98" t="inlineStr">
        <is>
          <t>VÄSTERNORRLANDS LÄN</t>
        </is>
      </c>
      <c r="E98" t="inlineStr">
        <is>
          <t>KRAMFORS</t>
        </is>
      </c>
      <c r="G98" t="n">
        <v>6.5</v>
      </c>
      <c r="H98" t="n">
        <v>0</v>
      </c>
      <c r="I98" t="n">
        <v>0</v>
      </c>
      <c r="J98" t="n">
        <v>0</v>
      </c>
      <c r="K98" t="n">
        <v>0</v>
      </c>
      <c r="L98" t="n">
        <v>0</v>
      </c>
      <c r="M98" t="n">
        <v>0</v>
      </c>
      <c r="N98" t="n">
        <v>0</v>
      </c>
      <c r="O98" t="n">
        <v>0</v>
      </c>
      <c r="P98" t="n">
        <v>0</v>
      </c>
      <c r="Q98" t="n">
        <v>0</v>
      </c>
      <c r="R98" s="2" t="inlineStr"/>
    </row>
    <row r="99" ht="15" customHeight="1">
      <c r="A99" t="inlineStr">
        <is>
          <t>A 23069-2019</t>
        </is>
      </c>
      <c r="B99" s="1" t="n">
        <v>43591</v>
      </c>
      <c r="C99" s="1" t="n">
        <v>45783</v>
      </c>
      <c r="D99" t="inlineStr">
        <is>
          <t>VÄSTERNORRLANDS LÄN</t>
        </is>
      </c>
      <c r="E99" t="inlineStr">
        <is>
          <t>KRAMFORS</t>
        </is>
      </c>
      <c r="G99" t="n">
        <v>9.6</v>
      </c>
      <c r="H99" t="n">
        <v>0</v>
      </c>
      <c r="I99" t="n">
        <v>0</v>
      </c>
      <c r="J99" t="n">
        <v>0</v>
      </c>
      <c r="K99" t="n">
        <v>0</v>
      </c>
      <c r="L99" t="n">
        <v>0</v>
      </c>
      <c r="M99" t="n">
        <v>0</v>
      </c>
      <c r="N99" t="n">
        <v>0</v>
      </c>
      <c r="O99" t="n">
        <v>0</v>
      </c>
      <c r="P99" t="n">
        <v>0</v>
      </c>
      <c r="Q99" t="n">
        <v>0</v>
      </c>
      <c r="R99" s="2" t="inlineStr"/>
    </row>
    <row r="100" ht="15" customHeight="1">
      <c r="A100" t="inlineStr">
        <is>
          <t>A 23296-2019</t>
        </is>
      </c>
      <c r="B100" s="1" t="n">
        <v>43593</v>
      </c>
      <c r="C100" s="1" t="n">
        <v>45783</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23766-2019</t>
        </is>
      </c>
      <c r="B101" s="1" t="n">
        <v>43595</v>
      </c>
      <c r="C101" s="1" t="n">
        <v>45783</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26089-2019</t>
        </is>
      </c>
      <c r="B102" s="1" t="n">
        <v>43605</v>
      </c>
      <c r="C102" s="1" t="n">
        <v>45783</v>
      </c>
      <c r="D102" t="inlineStr">
        <is>
          <t>VÄSTERNORRLANDS LÄN</t>
        </is>
      </c>
      <c r="E102" t="inlineStr">
        <is>
          <t>KRAMFORS</t>
        </is>
      </c>
      <c r="G102" t="n">
        <v>0.7</v>
      </c>
      <c r="H102" t="n">
        <v>0</v>
      </c>
      <c r="I102" t="n">
        <v>0</v>
      </c>
      <c r="J102" t="n">
        <v>0</v>
      </c>
      <c r="K102" t="n">
        <v>0</v>
      </c>
      <c r="L102" t="n">
        <v>0</v>
      </c>
      <c r="M102" t="n">
        <v>0</v>
      </c>
      <c r="N102" t="n">
        <v>0</v>
      </c>
      <c r="O102" t="n">
        <v>0</v>
      </c>
      <c r="P102" t="n">
        <v>0</v>
      </c>
      <c r="Q102" t="n">
        <v>0</v>
      </c>
      <c r="R102" s="2" t="inlineStr"/>
    </row>
    <row r="103" ht="15" customHeight="1">
      <c r="A103" t="inlineStr">
        <is>
          <t>A 25450-2019</t>
        </is>
      </c>
      <c r="B103" s="1" t="n">
        <v>43606</v>
      </c>
      <c r="C103" s="1" t="n">
        <v>45783</v>
      </c>
      <c r="D103" t="inlineStr">
        <is>
          <t>VÄSTERNORRLANDS LÄN</t>
        </is>
      </c>
      <c r="E103" t="inlineStr">
        <is>
          <t>KRAMFORS</t>
        </is>
      </c>
      <c r="G103" t="n">
        <v>0.8</v>
      </c>
      <c r="H103" t="n">
        <v>0</v>
      </c>
      <c r="I103" t="n">
        <v>0</v>
      </c>
      <c r="J103" t="n">
        <v>0</v>
      </c>
      <c r="K103" t="n">
        <v>0</v>
      </c>
      <c r="L103" t="n">
        <v>0</v>
      </c>
      <c r="M103" t="n">
        <v>0</v>
      </c>
      <c r="N103" t="n">
        <v>0</v>
      </c>
      <c r="O103" t="n">
        <v>0</v>
      </c>
      <c r="P103" t="n">
        <v>0</v>
      </c>
      <c r="Q103" t="n">
        <v>0</v>
      </c>
      <c r="R103" s="2" t="inlineStr"/>
    </row>
    <row r="104" ht="15" customHeight="1">
      <c r="A104" t="inlineStr">
        <is>
          <t>A 25995-2019</t>
        </is>
      </c>
      <c r="B104" s="1" t="n">
        <v>43608</v>
      </c>
      <c r="C104" s="1" t="n">
        <v>45783</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25996-2019</t>
        </is>
      </c>
      <c r="B105" s="1" t="n">
        <v>43608</v>
      </c>
      <c r="C105" s="1" t="n">
        <v>45783</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26062-2019</t>
        </is>
      </c>
      <c r="B106" s="1" t="n">
        <v>43609</v>
      </c>
      <c r="C106" s="1" t="n">
        <v>45783</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26300-2019</t>
        </is>
      </c>
      <c r="B107" s="1" t="n">
        <v>43612</v>
      </c>
      <c r="C107" s="1" t="n">
        <v>45783</v>
      </c>
      <c r="D107" t="inlineStr">
        <is>
          <t>VÄSTERNORRLANDS LÄN</t>
        </is>
      </c>
      <c r="E107" t="inlineStr">
        <is>
          <t>KRAMFORS</t>
        </is>
      </c>
      <c r="G107" t="n">
        <v>2.2</v>
      </c>
      <c r="H107" t="n">
        <v>0</v>
      </c>
      <c r="I107" t="n">
        <v>0</v>
      </c>
      <c r="J107" t="n">
        <v>0</v>
      </c>
      <c r="K107" t="n">
        <v>0</v>
      </c>
      <c r="L107" t="n">
        <v>0</v>
      </c>
      <c r="M107" t="n">
        <v>0</v>
      </c>
      <c r="N107" t="n">
        <v>0</v>
      </c>
      <c r="O107" t="n">
        <v>0</v>
      </c>
      <c r="P107" t="n">
        <v>0</v>
      </c>
      <c r="Q107" t="n">
        <v>0</v>
      </c>
      <c r="R107" s="2" t="inlineStr"/>
    </row>
    <row r="108" ht="15" customHeight="1">
      <c r="A108" t="inlineStr">
        <is>
          <t>A 27896-2019</t>
        </is>
      </c>
      <c r="B108" s="1" t="n">
        <v>43620</v>
      </c>
      <c r="C108" s="1" t="n">
        <v>45783</v>
      </c>
      <c r="D108" t="inlineStr">
        <is>
          <t>VÄSTERNORRLANDS LÄN</t>
        </is>
      </c>
      <c r="E108" t="inlineStr">
        <is>
          <t>KRAMFORS</t>
        </is>
      </c>
      <c r="G108" t="n">
        <v>1.9</v>
      </c>
      <c r="H108" t="n">
        <v>0</v>
      </c>
      <c r="I108" t="n">
        <v>0</v>
      </c>
      <c r="J108" t="n">
        <v>0</v>
      </c>
      <c r="K108" t="n">
        <v>0</v>
      </c>
      <c r="L108" t="n">
        <v>0</v>
      </c>
      <c r="M108" t="n">
        <v>0</v>
      </c>
      <c r="N108" t="n">
        <v>0</v>
      </c>
      <c r="O108" t="n">
        <v>0</v>
      </c>
      <c r="P108" t="n">
        <v>0</v>
      </c>
      <c r="Q108" t="n">
        <v>0</v>
      </c>
      <c r="R108" s="2" t="inlineStr"/>
    </row>
    <row r="109" ht="15" customHeight="1">
      <c r="A109" t="inlineStr">
        <is>
          <t>A 27895-2019</t>
        </is>
      </c>
      <c r="B109" s="1" t="n">
        <v>43620</v>
      </c>
      <c r="C109" s="1" t="n">
        <v>45783</v>
      </c>
      <c r="D109" t="inlineStr">
        <is>
          <t>VÄSTERNORRLANDS LÄN</t>
        </is>
      </c>
      <c r="E109" t="inlineStr">
        <is>
          <t>KRAMFORS</t>
        </is>
      </c>
      <c r="G109" t="n">
        <v>1.4</v>
      </c>
      <c r="H109" t="n">
        <v>0</v>
      </c>
      <c r="I109" t="n">
        <v>0</v>
      </c>
      <c r="J109" t="n">
        <v>0</v>
      </c>
      <c r="K109" t="n">
        <v>0</v>
      </c>
      <c r="L109" t="n">
        <v>0</v>
      </c>
      <c r="M109" t="n">
        <v>0</v>
      </c>
      <c r="N109" t="n">
        <v>0</v>
      </c>
      <c r="O109" t="n">
        <v>0</v>
      </c>
      <c r="P109" t="n">
        <v>0</v>
      </c>
      <c r="Q109" t="n">
        <v>0</v>
      </c>
      <c r="R109" s="2" t="inlineStr"/>
    </row>
    <row r="110" ht="15" customHeight="1">
      <c r="A110" t="inlineStr">
        <is>
          <t>A 27972-2019</t>
        </is>
      </c>
      <c r="B110" s="1" t="n">
        <v>43620</v>
      </c>
      <c r="C110" s="1" t="n">
        <v>45783</v>
      </c>
      <c r="D110" t="inlineStr">
        <is>
          <t>VÄSTERNORRLANDS LÄN</t>
        </is>
      </c>
      <c r="E110" t="inlineStr">
        <is>
          <t>KRAMFORS</t>
        </is>
      </c>
      <c r="G110" t="n">
        <v>2.7</v>
      </c>
      <c r="H110" t="n">
        <v>0</v>
      </c>
      <c r="I110" t="n">
        <v>0</v>
      </c>
      <c r="J110" t="n">
        <v>0</v>
      </c>
      <c r="K110" t="n">
        <v>0</v>
      </c>
      <c r="L110" t="n">
        <v>0</v>
      </c>
      <c r="M110" t="n">
        <v>0</v>
      </c>
      <c r="N110" t="n">
        <v>0</v>
      </c>
      <c r="O110" t="n">
        <v>0</v>
      </c>
      <c r="P110" t="n">
        <v>0</v>
      </c>
      <c r="Q110" t="n">
        <v>0</v>
      </c>
      <c r="R110" s="2" t="inlineStr"/>
    </row>
    <row r="111" ht="15" customHeight="1">
      <c r="A111" t="inlineStr">
        <is>
          <t>A 28603-2019</t>
        </is>
      </c>
      <c r="B111" s="1" t="n">
        <v>43626</v>
      </c>
      <c r="C111" s="1" t="n">
        <v>45783</v>
      </c>
      <c r="D111" t="inlineStr">
        <is>
          <t>VÄSTERNORRLANDS LÄN</t>
        </is>
      </c>
      <c r="E111" t="inlineStr">
        <is>
          <t>KRAMFORS</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28602-2019</t>
        </is>
      </c>
      <c r="B112" s="1" t="n">
        <v>43626</v>
      </c>
      <c r="C112" s="1" t="n">
        <v>45783</v>
      </c>
      <c r="D112" t="inlineStr">
        <is>
          <t>VÄSTERNORRLANDS LÄN</t>
        </is>
      </c>
      <c r="E112" t="inlineStr">
        <is>
          <t>KRAMFORS</t>
        </is>
      </c>
      <c r="G112" t="n">
        <v>3.2</v>
      </c>
      <c r="H112" t="n">
        <v>0</v>
      </c>
      <c r="I112" t="n">
        <v>0</v>
      </c>
      <c r="J112" t="n">
        <v>0</v>
      </c>
      <c r="K112" t="n">
        <v>0</v>
      </c>
      <c r="L112" t="n">
        <v>0</v>
      </c>
      <c r="M112" t="n">
        <v>0</v>
      </c>
      <c r="N112" t="n">
        <v>0</v>
      </c>
      <c r="O112" t="n">
        <v>0</v>
      </c>
      <c r="P112" t="n">
        <v>0</v>
      </c>
      <c r="Q112" t="n">
        <v>0</v>
      </c>
      <c r="R112" s="2" t="inlineStr"/>
    </row>
    <row r="113" ht="15" customHeight="1">
      <c r="A113" t="inlineStr">
        <is>
          <t>A 28516-2019</t>
        </is>
      </c>
      <c r="B113" s="1" t="n">
        <v>43626</v>
      </c>
      <c r="C113" s="1" t="n">
        <v>45783</v>
      </c>
      <c r="D113" t="inlineStr">
        <is>
          <t>VÄSTERNORRLANDS LÄN</t>
        </is>
      </c>
      <c r="E113" t="inlineStr">
        <is>
          <t>KRAMFORS</t>
        </is>
      </c>
      <c r="G113" t="n">
        <v>2.5</v>
      </c>
      <c r="H113" t="n">
        <v>0</v>
      </c>
      <c r="I113" t="n">
        <v>0</v>
      </c>
      <c r="J113" t="n">
        <v>0</v>
      </c>
      <c r="K113" t="n">
        <v>0</v>
      </c>
      <c r="L113" t="n">
        <v>0</v>
      </c>
      <c r="M113" t="n">
        <v>0</v>
      </c>
      <c r="N113" t="n">
        <v>0</v>
      </c>
      <c r="O113" t="n">
        <v>0</v>
      </c>
      <c r="P113" t="n">
        <v>0</v>
      </c>
      <c r="Q113" t="n">
        <v>0</v>
      </c>
      <c r="R113" s="2" t="inlineStr"/>
    </row>
    <row r="114" ht="15" customHeight="1">
      <c r="A114" t="inlineStr">
        <is>
          <t>A 28792-2019</t>
        </is>
      </c>
      <c r="B114" s="1" t="n">
        <v>43627</v>
      </c>
      <c r="C114" s="1" t="n">
        <v>45783</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30985-2019</t>
        </is>
      </c>
      <c r="B115" s="1" t="n">
        <v>43640</v>
      </c>
      <c r="C115" s="1" t="n">
        <v>45783</v>
      </c>
      <c r="D115" t="inlineStr">
        <is>
          <t>VÄSTERNORRLANDS LÄN</t>
        </is>
      </c>
      <c r="E115" t="inlineStr">
        <is>
          <t>KRAMFORS</t>
        </is>
      </c>
      <c r="G115" t="n">
        <v>7.1</v>
      </c>
      <c r="H115" t="n">
        <v>0</v>
      </c>
      <c r="I115" t="n">
        <v>0</v>
      </c>
      <c r="J115" t="n">
        <v>0</v>
      </c>
      <c r="K115" t="n">
        <v>0</v>
      </c>
      <c r="L115" t="n">
        <v>0</v>
      </c>
      <c r="M115" t="n">
        <v>0</v>
      </c>
      <c r="N115" t="n">
        <v>0</v>
      </c>
      <c r="O115" t="n">
        <v>0</v>
      </c>
      <c r="P115" t="n">
        <v>0</v>
      </c>
      <c r="Q115" t="n">
        <v>0</v>
      </c>
      <c r="R115" s="2" t="inlineStr"/>
    </row>
    <row r="116" ht="15" customHeight="1">
      <c r="A116" t="inlineStr">
        <is>
          <t>A 32737-2019</t>
        </is>
      </c>
      <c r="B116" s="1" t="n">
        <v>43647</v>
      </c>
      <c r="C116" s="1" t="n">
        <v>45783</v>
      </c>
      <c r="D116" t="inlineStr">
        <is>
          <t>VÄSTERNORRLANDS LÄN</t>
        </is>
      </c>
      <c r="E116" t="inlineStr">
        <is>
          <t>KRAMFORS</t>
        </is>
      </c>
      <c r="G116" t="n">
        <v>1.8</v>
      </c>
      <c r="H116" t="n">
        <v>0</v>
      </c>
      <c r="I116" t="n">
        <v>0</v>
      </c>
      <c r="J116" t="n">
        <v>0</v>
      </c>
      <c r="K116" t="n">
        <v>0</v>
      </c>
      <c r="L116" t="n">
        <v>0</v>
      </c>
      <c r="M116" t="n">
        <v>0</v>
      </c>
      <c r="N116" t="n">
        <v>0</v>
      </c>
      <c r="O116" t="n">
        <v>0</v>
      </c>
      <c r="P116" t="n">
        <v>0</v>
      </c>
      <c r="Q116" t="n">
        <v>0</v>
      </c>
      <c r="R116" s="2" t="inlineStr"/>
    </row>
    <row r="117" ht="15" customHeight="1">
      <c r="A117" t="inlineStr">
        <is>
          <t>A 33965-2019</t>
        </is>
      </c>
      <c r="B117" s="1" t="n">
        <v>43654</v>
      </c>
      <c r="C117" s="1" t="n">
        <v>45783</v>
      </c>
      <c r="D117" t="inlineStr">
        <is>
          <t>VÄSTERNORRLANDS LÄN</t>
        </is>
      </c>
      <c r="E117" t="inlineStr">
        <is>
          <t>KRAMFORS</t>
        </is>
      </c>
      <c r="G117" t="n">
        <v>6.8</v>
      </c>
      <c r="H117" t="n">
        <v>0</v>
      </c>
      <c r="I117" t="n">
        <v>0</v>
      </c>
      <c r="J117" t="n">
        <v>0</v>
      </c>
      <c r="K117" t="n">
        <v>0</v>
      </c>
      <c r="L117" t="n">
        <v>0</v>
      </c>
      <c r="M117" t="n">
        <v>0</v>
      </c>
      <c r="N117" t="n">
        <v>0</v>
      </c>
      <c r="O117" t="n">
        <v>0</v>
      </c>
      <c r="P117" t="n">
        <v>0</v>
      </c>
      <c r="Q117" t="n">
        <v>0</v>
      </c>
      <c r="R117" s="2" t="inlineStr"/>
    </row>
    <row r="118" ht="15" customHeight="1">
      <c r="A118" t="inlineStr">
        <is>
          <t>A 34677-2019</t>
        </is>
      </c>
      <c r="B118" s="1" t="n">
        <v>43657</v>
      </c>
      <c r="C118" s="1" t="n">
        <v>45783</v>
      </c>
      <c r="D118" t="inlineStr">
        <is>
          <t>VÄSTERNORRLANDS LÄN</t>
        </is>
      </c>
      <c r="E118" t="inlineStr">
        <is>
          <t>KRAMFORS</t>
        </is>
      </c>
      <c r="G118" t="n">
        <v>10.1</v>
      </c>
      <c r="H118" t="n">
        <v>0</v>
      </c>
      <c r="I118" t="n">
        <v>0</v>
      </c>
      <c r="J118" t="n">
        <v>0</v>
      </c>
      <c r="K118" t="n">
        <v>0</v>
      </c>
      <c r="L118" t="n">
        <v>0</v>
      </c>
      <c r="M118" t="n">
        <v>0</v>
      </c>
      <c r="N118" t="n">
        <v>0</v>
      </c>
      <c r="O118" t="n">
        <v>0</v>
      </c>
      <c r="P118" t="n">
        <v>0</v>
      </c>
      <c r="Q118" t="n">
        <v>0</v>
      </c>
      <c r="R118" s="2" t="inlineStr"/>
    </row>
    <row r="119" ht="15" customHeight="1">
      <c r="A119" t="inlineStr">
        <is>
          <t>A 37986-2019</t>
        </is>
      </c>
      <c r="B119" s="1" t="n">
        <v>43682</v>
      </c>
      <c r="C119" s="1" t="n">
        <v>45783</v>
      </c>
      <c r="D119" t="inlineStr">
        <is>
          <t>VÄSTERNORRLANDS LÄN</t>
        </is>
      </c>
      <c r="E119" t="inlineStr">
        <is>
          <t>KRAMFORS</t>
        </is>
      </c>
      <c r="G119" t="n">
        <v>0.4</v>
      </c>
      <c r="H119" t="n">
        <v>0</v>
      </c>
      <c r="I119" t="n">
        <v>0</v>
      </c>
      <c r="J119" t="n">
        <v>0</v>
      </c>
      <c r="K119" t="n">
        <v>0</v>
      </c>
      <c r="L119" t="n">
        <v>0</v>
      </c>
      <c r="M119" t="n">
        <v>0</v>
      </c>
      <c r="N119" t="n">
        <v>0</v>
      </c>
      <c r="O119" t="n">
        <v>0</v>
      </c>
      <c r="P119" t="n">
        <v>0</v>
      </c>
      <c r="Q119" t="n">
        <v>0</v>
      </c>
      <c r="R119" s="2" t="inlineStr"/>
    </row>
    <row r="120" ht="15" customHeight="1">
      <c r="A120" t="inlineStr">
        <is>
          <t>A 37914-2019</t>
        </is>
      </c>
      <c r="B120" s="1" t="n">
        <v>43683</v>
      </c>
      <c r="C120" s="1" t="n">
        <v>45783</v>
      </c>
      <c r="D120" t="inlineStr">
        <is>
          <t>VÄSTERNORRLANDS LÄN</t>
        </is>
      </c>
      <c r="E120" t="inlineStr">
        <is>
          <t>KRAMFORS</t>
        </is>
      </c>
      <c r="G120" t="n">
        <v>3.8</v>
      </c>
      <c r="H120" t="n">
        <v>0</v>
      </c>
      <c r="I120" t="n">
        <v>0</v>
      </c>
      <c r="J120" t="n">
        <v>0</v>
      </c>
      <c r="K120" t="n">
        <v>0</v>
      </c>
      <c r="L120" t="n">
        <v>0</v>
      </c>
      <c r="M120" t="n">
        <v>0</v>
      </c>
      <c r="N120" t="n">
        <v>0</v>
      </c>
      <c r="O120" t="n">
        <v>0</v>
      </c>
      <c r="P120" t="n">
        <v>0</v>
      </c>
      <c r="Q120" t="n">
        <v>0</v>
      </c>
      <c r="R120" s="2" t="inlineStr"/>
    </row>
    <row r="121" ht="15" customHeight="1">
      <c r="A121" t="inlineStr">
        <is>
          <t>A 39395-2019</t>
        </is>
      </c>
      <c r="B121" s="1" t="n">
        <v>43690</v>
      </c>
      <c r="C121" s="1" t="n">
        <v>45783</v>
      </c>
      <c r="D121" t="inlineStr">
        <is>
          <t>VÄSTERNORRLANDS LÄN</t>
        </is>
      </c>
      <c r="E121" t="inlineStr">
        <is>
          <t>KRAMFORS</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40481-2019</t>
        </is>
      </c>
      <c r="B122" s="1" t="n">
        <v>43696</v>
      </c>
      <c r="C122" s="1" t="n">
        <v>45783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40516-2019</t>
        </is>
      </c>
      <c r="B123" s="1" t="n">
        <v>43696</v>
      </c>
      <c r="C123" s="1" t="n">
        <v>45783</v>
      </c>
      <c r="D123" t="inlineStr">
        <is>
          <t>VÄSTERNORRLANDS LÄN</t>
        </is>
      </c>
      <c r="E123" t="inlineStr">
        <is>
          <t>KRAMFORS</t>
        </is>
      </c>
      <c r="G123" t="n">
        <v>16.7</v>
      </c>
      <c r="H123" t="n">
        <v>0</v>
      </c>
      <c r="I123" t="n">
        <v>0</v>
      </c>
      <c r="J123" t="n">
        <v>0</v>
      </c>
      <c r="K123" t="n">
        <v>0</v>
      </c>
      <c r="L123" t="n">
        <v>0</v>
      </c>
      <c r="M123" t="n">
        <v>0</v>
      </c>
      <c r="N123" t="n">
        <v>0</v>
      </c>
      <c r="O123" t="n">
        <v>0</v>
      </c>
      <c r="P123" t="n">
        <v>0</v>
      </c>
      <c r="Q123" t="n">
        <v>0</v>
      </c>
      <c r="R123" s="2" t="inlineStr"/>
    </row>
    <row r="124" ht="15" customHeight="1">
      <c r="A124" t="inlineStr">
        <is>
          <t>A 40480-2019</t>
        </is>
      </c>
      <c r="B124" s="1" t="n">
        <v>43696</v>
      </c>
      <c r="C124" s="1" t="n">
        <v>45783</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43201-2019</t>
        </is>
      </c>
      <c r="B125" s="1" t="n">
        <v>43705</v>
      </c>
      <c r="C125" s="1" t="n">
        <v>45783</v>
      </c>
      <c r="D125" t="inlineStr">
        <is>
          <t>VÄSTERNORRLANDS LÄN</t>
        </is>
      </c>
      <c r="E125" t="inlineStr">
        <is>
          <t>KRAMFORS</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44328-2019</t>
        </is>
      </c>
      <c r="B126" s="1" t="n">
        <v>43710</v>
      </c>
      <c r="C126" s="1" t="n">
        <v>45783</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44317-2019</t>
        </is>
      </c>
      <c r="B127" s="1" t="n">
        <v>43710</v>
      </c>
      <c r="C127" s="1" t="n">
        <v>45783</v>
      </c>
      <c r="D127" t="inlineStr">
        <is>
          <t>VÄSTERNORRLANDS LÄN</t>
        </is>
      </c>
      <c r="E127" t="inlineStr">
        <is>
          <t>KRAMFORS</t>
        </is>
      </c>
      <c r="G127" t="n">
        <v>5.5</v>
      </c>
      <c r="H127" t="n">
        <v>0</v>
      </c>
      <c r="I127" t="n">
        <v>0</v>
      </c>
      <c r="J127" t="n">
        <v>0</v>
      </c>
      <c r="K127" t="n">
        <v>0</v>
      </c>
      <c r="L127" t="n">
        <v>0</v>
      </c>
      <c r="M127" t="n">
        <v>0</v>
      </c>
      <c r="N127" t="n">
        <v>0</v>
      </c>
      <c r="O127" t="n">
        <v>0</v>
      </c>
      <c r="P127" t="n">
        <v>0</v>
      </c>
      <c r="Q127" t="n">
        <v>0</v>
      </c>
      <c r="R127" s="2" t="inlineStr"/>
    </row>
    <row r="128" ht="15" customHeight="1">
      <c r="A128" t="inlineStr">
        <is>
          <t>A 44772-2019</t>
        </is>
      </c>
      <c r="B128" s="1" t="n">
        <v>43712</v>
      </c>
      <c r="C128" s="1" t="n">
        <v>45783</v>
      </c>
      <c r="D128" t="inlineStr">
        <is>
          <t>VÄSTERNORRLANDS LÄN</t>
        </is>
      </c>
      <c r="E128" t="inlineStr">
        <is>
          <t>KRAMFORS</t>
        </is>
      </c>
      <c r="G128" t="n">
        <v>1.9</v>
      </c>
      <c r="H128" t="n">
        <v>0</v>
      </c>
      <c r="I128" t="n">
        <v>0</v>
      </c>
      <c r="J128" t="n">
        <v>0</v>
      </c>
      <c r="K128" t="n">
        <v>0</v>
      </c>
      <c r="L128" t="n">
        <v>0</v>
      </c>
      <c r="M128" t="n">
        <v>0</v>
      </c>
      <c r="N128" t="n">
        <v>0</v>
      </c>
      <c r="O128" t="n">
        <v>0</v>
      </c>
      <c r="P128" t="n">
        <v>0</v>
      </c>
      <c r="Q128" t="n">
        <v>0</v>
      </c>
      <c r="R128" s="2" t="inlineStr"/>
    </row>
    <row r="129" ht="15" customHeight="1">
      <c r="A129" t="inlineStr">
        <is>
          <t>A 46583-2019</t>
        </is>
      </c>
      <c r="B129" s="1" t="n">
        <v>43717</v>
      </c>
      <c r="C129" s="1" t="n">
        <v>45783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46527-2019</t>
        </is>
      </c>
      <c r="B130" s="1" t="n">
        <v>43717</v>
      </c>
      <c r="C130" s="1" t="n">
        <v>45783</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47832-2019</t>
        </is>
      </c>
      <c r="B131" s="1" t="n">
        <v>43724</v>
      </c>
      <c r="C131" s="1" t="n">
        <v>45783</v>
      </c>
      <c r="D131" t="inlineStr">
        <is>
          <t>VÄSTERNORRLANDS LÄN</t>
        </is>
      </c>
      <c r="E131" t="inlineStr">
        <is>
          <t>KRAMFORS</t>
        </is>
      </c>
      <c r="G131" t="n">
        <v>4.5</v>
      </c>
      <c r="H131" t="n">
        <v>0</v>
      </c>
      <c r="I131" t="n">
        <v>0</v>
      </c>
      <c r="J131" t="n">
        <v>0</v>
      </c>
      <c r="K131" t="n">
        <v>0</v>
      </c>
      <c r="L131" t="n">
        <v>0</v>
      </c>
      <c r="M131" t="n">
        <v>0</v>
      </c>
      <c r="N131" t="n">
        <v>0</v>
      </c>
      <c r="O131" t="n">
        <v>0</v>
      </c>
      <c r="P131" t="n">
        <v>0</v>
      </c>
      <c r="Q131" t="n">
        <v>0</v>
      </c>
      <c r="R131" s="2" t="inlineStr"/>
    </row>
    <row r="132" ht="15" customHeight="1">
      <c r="A132" t="inlineStr">
        <is>
          <t>A 49137-2019</t>
        </is>
      </c>
      <c r="B132" s="1" t="n">
        <v>43727</v>
      </c>
      <c r="C132" s="1" t="n">
        <v>45783</v>
      </c>
      <c r="D132" t="inlineStr">
        <is>
          <t>VÄSTERNORRLANDS LÄN</t>
        </is>
      </c>
      <c r="E132" t="inlineStr">
        <is>
          <t>KRAMFORS</t>
        </is>
      </c>
      <c r="G132" t="n">
        <v>14.2</v>
      </c>
      <c r="H132" t="n">
        <v>0</v>
      </c>
      <c r="I132" t="n">
        <v>0</v>
      </c>
      <c r="J132" t="n">
        <v>0</v>
      </c>
      <c r="K132" t="n">
        <v>0</v>
      </c>
      <c r="L132" t="n">
        <v>0</v>
      </c>
      <c r="M132" t="n">
        <v>0</v>
      </c>
      <c r="N132" t="n">
        <v>0</v>
      </c>
      <c r="O132" t="n">
        <v>0</v>
      </c>
      <c r="P132" t="n">
        <v>0</v>
      </c>
      <c r="Q132" t="n">
        <v>0</v>
      </c>
      <c r="R132" s="2" t="inlineStr"/>
    </row>
    <row r="133" ht="15" customHeight="1">
      <c r="A133" t="inlineStr">
        <is>
          <t>A 49188-2019</t>
        </is>
      </c>
      <c r="B133" s="1" t="n">
        <v>43728</v>
      </c>
      <c r="C133" s="1" t="n">
        <v>45783</v>
      </c>
      <c r="D133" t="inlineStr">
        <is>
          <t>VÄSTERNORRLANDS LÄN</t>
        </is>
      </c>
      <c r="E133" t="inlineStr">
        <is>
          <t>KRAMFORS</t>
        </is>
      </c>
      <c r="F133" t="inlineStr">
        <is>
          <t>Kommuner</t>
        </is>
      </c>
      <c r="G133" t="n">
        <v>4.2</v>
      </c>
      <c r="H133" t="n">
        <v>0</v>
      </c>
      <c r="I133" t="n">
        <v>0</v>
      </c>
      <c r="J133" t="n">
        <v>0</v>
      </c>
      <c r="K133" t="n">
        <v>0</v>
      </c>
      <c r="L133" t="n">
        <v>0</v>
      </c>
      <c r="M133" t="n">
        <v>0</v>
      </c>
      <c r="N133" t="n">
        <v>0</v>
      </c>
      <c r="O133" t="n">
        <v>0</v>
      </c>
      <c r="P133" t="n">
        <v>0</v>
      </c>
      <c r="Q133" t="n">
        <v>0</v>
      </c>
      <c r="R133" s="2" t="inlineStr"/>
    </row>
    <row r="134" ht="15" customHeight="1">
      <c r="A134" t="inlineStr">
        <is>
          <t>A 49490-2019</t>
        </is>
      </c>
      <c r="B134" s="1" t="n">
        <v>43732</v>
      </c>
      <c r="C134" s="1" t="n">
        <v>45783</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51890-2019</t>
        </is>
      </c>
      <c r="B135" s="1" t="n">
        <v>43734</v>
      </c>
      <c r="C135" s="1" t="n">
        <v>45783</v>
      </c>
      <c r="D135" t="inlineStr">
        <is>
          <t>VÄSTERNORRLANDS LÄN</t>
        </is>
      </c>
      <c r="E135" t="inlineStr">
        <is>
          <t>KRAMFORS</t>
        </is>
      </c>
      <c r="F135" t="inlineStr">
        <is>
          <t>Kommuner</t>
        </is>
      </c>
      <c r="G135" t="n">
        <v>6.1</v>
      </c>
      <c r="H135" t="n">
        <v>0</v>
      </c>
      <c r="I135" t="n">
        <v>0</v>
      </c>
      <c r="J135" t="n">
        <v>0</v>
      </c>
      <c r="K135" t="n">
        <v>0</v>
      </c>
      <c r="L135" t="n">
        <v>0</v>
      </c>
      <c r="M135" t="n">
        <v>0</v>
      </c>
      <c r="N135" t="n">
        <v>0</v>
      </c>
      <c r="O135" t="n">
        <v>0</v>
      </c>
      <c r="P135" t="n">
        <v>0</v>
      </c>
      <c r="Q135" t="n">
        <v>0</v>
      </c>
      <c r="R135" s="2" t="inlineStr"/>
    </row>
    <row r="136" ht="15" customHeight="1">
      <c r="A136" t="inlineStr">
        <is>
          <t>A 51323-2019</t>
        </is>
      </c>
      <c r="B136" s="1" t="n">
        <v>43740</v>
      </c>
      <c r="C136" s="1" t="n">
        <v>45783</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51305-2019</t>
        </is>
      </c>
      <c r="B137" s="1" t="n">
        <v>43739</v>
      </c>
      <c r="C137" s="1" t="n">
        <v>45783</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51057-2019</t>
        </is>
      </c>
      <c r="B138" s="1" t="n">
        <v>43739</v>
      </c>
      <c r="C138" s="1" t="n">
        <v>45783</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51035-2019</t>
        </is>
      </c>
      <c r="B139" s="1" t="n">
        <v>43739</v>
      </c>
      <c r="C139" s="1" t="n">
        <v>45783</v>
      </c>
      <c r="D139" t="inlineStr">
        <is>
          <t>VÄSTERNORRLANDS LÄN</t>
        </is>
      </c>
      <c r="E139" t="inlineStr">
        <is>
          <t>KRAMFORS</t>
        </is>
      </c>
      <c r="G139" t="n">
        <v>6.5</v>
      </c>
      <c r="H139" t="n">
        <v>0</v>
      </c>
      <c r="I139" t="n">
        <v>0</v>
      </c>
      <c r="J139" t="n">
        <v>0</v>
      </c>
      <c r="K139" t="n">
        <v>0</v>
      </c>
      <c r="L139" t="n">
        <v>0</v>
      </c>
      <c r="M139" t="n">
        <v>0</v>
      </c>
      <c r="N139" t="n">
        <v>0</v>
      </c>
      <c r="O139" t="n">
        <v>0</v>
      </c>
      <c r="P139" t="n">
        <v>0</v>
      </c>
      <c r="Q139" t="n">
        <v>0</v>
      </c>
      <c r="R139" s="2" t="inlineStr"/>
    </row>
    <row r="140" ht="15" customHeight="1">
      <c r="A140" t="inlineStr">
        <is>
          <t>A 53167-2019</t>
        </is>
      </c>
      <c r="B140" s="1" t="n">
        <v>43747</v>
      </c>
      <c r="C140" s="1" t="n">
        <v>45783</v>
      </c>
      <c r="D140" t="inlineStr">
        <is>
          <t>VÄSTERNORRLANDS LÄN</t>
        </is>
      </c>
      <c r="E140" t="inlineStr">
        <is>
          <t>KRAMFORS</t>
        </is>
      </c>
      <c r="G140" t="n">
        <v>2.9</v>
      </c>
      <c r="H140" t="n">
        <v>0</v>
      </c>
      <c r="I140" t="n">
        <v>0</v>
      </c>
      <c r="J140" t="n">
        <v>0</v>
      </c>
      <c r="K140" t="n">
        <v>0</v>
      </c>
      <c r="L140" t="n">
        <v>0</v>
      </c>
      <c r="M140" t="n">
        <v>0</v>
      </c>
      <c r="N140" t="n">
        <v>0</v>
      </c>
      <c r="O140" t="n">
        <v>0</v>
      </c>
      <c r="P140" t="n">
        <v>0</v>
      </c>
      <c r="Q140" t="n">
        <v>0</v>
      </c>
      <c r="R140" s="2" t="inlineStr"/>
    </row>
    <row r="141" ht="15" customHeight="1">
      <c r="A141" t="inlineStr">
        <is>
          <t>A 56486-2019</t>
        </is>
      </c>
      <c r="B141" s="1" t="n">
        <v>43762</v>
      </c>
      <c r="C141" s="1" t="n">
        <v>45783</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56544-2019</t>
        </is>
      </c>
      <c r="B142" s="1" t="n">
        <v>43763</v>
      </c>
      <c r="C142" s="1" t="n">
        <v>45783</v>
      </c>
      <c r="D142" t="inlineStr">
        <is>
          <t>VÄSTERNORRLANDS LÄN</t>
        </is>
      </c>
      <c r="E142" t="inlineStr">
        <is>
          <t>KRAMFORS</t>
        </is>
      </c>
      <c r="G142" t="n">
        <v>31.4</v>
      </c>
      <c r="H142" t="n">
        <v>0</v>
      </c>
      <c r="I142" t="n">
        <v>0</v>
      </c>
      <c r="J142" t="n">
        <v>0</v>
      </c>
      <c r="K142" t="n">
        <v>0</v>
      </c>
      <c r="L142" t="n">
        <v>0</v>
      </c>
      <c r="M142" t="n">
        <v>0</v>
      </c>
      <c r="N142" t="n">
        <v>0</v>
      </c>
      <c r="O142" t="n">
        <v>0</v>
      </c>
      <c r="P142" t="n">
        <v>0</v>
      </c>
      <c r="Q142" t="n">
        <v>0</v>
      </c>
      <c r="R142" s="2" t="inlineStr"/>
    </row>
    <row r="143" ht="15" customHeight="1">
      <c r="A143" t="inlineStr">
        <is>
          <t>A 56988-2019</t>
        </is>
      </c>
      <c r="B143" s="1" t="n">
        <v>43766</v>
      </c>
      <c r="C143" s="1" t="n">
        <v>45783</v>
      </c>
      <c r="D143" t="inlineStr">
        <is>
          <t>VÄSTERNORRLANDS LÄN</t>
        </is>
      </c>
      <c r="E143" t="inlineStr">
        <is>
          <t>KRAMFORS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57859-2019</t>
        </is>
      </c>
      <c r="B144" s="1" t="n">
        <v>43768</v>
      </c>
      <c r="C144" s="1" t="n">
        <v>45783</v>
      </c>
      <c r="D144" t="inlineStr">
        <is>
          <t>VÄSTERNORRLANDS LÄN</t>
        </is>
      </c>
      <c r="E144" t="inlineStr">
        <is>
          <t>KRAMFORS</t>
        </is>
      </c>
      <c r="F144" t="inlineStr">
        <is>
          <t>Kommuner</t>
        </is>
      </c>
      <c r="G144" t="n">
        <v>3.9</v>
      </c>
      <c r="H144" t="n">
        <v>0</v>
      </c>
      <c r="I144" t="n">
        <v>0</v>
      </c>
      <c r="J144" t="n">
        <v>0</v>
      </c>
      <c r="K144" t="n">
        <v>0</v>
      </c>
      <c r="L144" t="n">
        <v>0</v>
      </c>
      <c r="M144" t="n">
        <v>0</v>
      </c>
      <c r="N144" t="n">
        <v>0</v>
      </c>
      <c r="O144" t="n">
        <v>0</v>
      </c>
      <c r="P144" t="n">
        <v>0</v>
      </c>
      <c r="Q144" t="n">
        <v>0</v>
      </c>
      <c r="R144" s="2" t="inlineStr"/>
    </row>
    <row r="145" ht="15" customHeight="1">
      <c r="A145" t="inlineStr">
        <is>
          <t>A 58834-2019</t>
        </is>
      </c>
      <c r="B145" s="1" t="n">
        <v>43768</v>
      </c>
      <c r="C145" s="1" t="n">
        <v>45783</v>
      </c>
      <c r="D145" t="inlineStr">
        <is>
          <t>VÄSTERNORRLANDS LÄN</t>
        </is>
      </c>
      <c r="E145" t="inlineStr">
        <is>
          <t>KRAMFORS</t>
        </is>
      </c>
      <c r="G145" t="n">
        <v>7.7</v>
      </c>
      <c r="H145" t="n">
        <v>0</v>
      </c>
      <c r="I145" t="n">
        <v>0</v>
      </c>
      <c r="J145" t="n">
        <v>0</v>
      </c>
      <c r="K145" t="n">
        <v>0</v>
      </c>
      <c r="L145" t="n">
        <v>0</v>
      </c>
      <c r="M145" t="n">
        <v>0</v>
      </c>
      <c r="N145" t="n">
        <v>0</v>
      </c>
      <c r="O145" t="n">
        <v>0</v>
      </c>
      <c r="P145" t="n">
        <v>0</v>
      </c>
      <c r="Q145" t="n">
        <v>0</v>
      </c>
      <c r="R145" s="2" t="inlineStr"/>
    </row>
    <row r="146" ht="15" customHeight="1">
      <c r="A146" t="inlineStr">
        <is>
          <t>A 58841-2019</t>
        </is>
      </c>
      <c r="B146" s="1" t="n">
        <v>43768</v>
      </c>
      <c r="C146" s="1" t="n">
        <v>45783</v>
      </c>
      <c r="D146" t="inlineStr">
        <is>
          <t>VÄSTERNORRLANDS LÄN</t>
        </is>
      </c>
      <c r="E146" t="inlineStr">
        <is>
          <t>KRAMFORS</t>
        </is>
      </c>
      <c r="G146" t="n">
        <v>3.2</v>
      </c>
      <c r="H146" t="n">
        <v>0</v>
      </c>
      <c r="I146" t="n">
        <v>0</v>
      </c>
      <c r="J146" t="n">
        <v>0</v>
      </c>
      <c r="K146" t="n">
        <v>0</v>
      </c>
      <c r="L146" t="n">
        <v>0</v>
      </c>
      <c r="M146" t="n">
        <v>0</v>
      </c>
      <c r="N146" t="n">
        <v>0</v>
      </c>
      <c r="O146" t="n">
        <v>0</v>
      </c>
      <c r="P146" t="n">
        <v>0</v>
      </c>
      <c r="Q146" t="n">
        <v>0</v>
      </c>
      <c r="R146" s="2" t="inlineStr"/>
    </row>
    <row r="147" ht="15" customHeight="1">
      <c r="A147" t="inlineStr">
        <is>
          <t>A 58768-2019</t>
        </is>
      </c>
      <c r="B147" s="1" t="n">
        <v>43773</v>
      </c>
      <c r="C147" s="1" t="n">
        <v>45783</v>
      </c>
      <c r="D147" t="inlineStr">
        <is>
          <t>VÄSTERNORRLANDS LÄN</t>
        </is>
      </c>
      <c r="E147" t="inlineStr">
        <is>
          <t>KRAMFORS</t>
        </is>
      </c>
      <c r="G147" t="n">
        <v>5.3</v>
      </c>
      <c r="H147" t="n">
        <v>0</v>
      </c>
      <c r="I147" t="n">
        <v>0</v>
      </c>
      <c r="J147" t="n">
        <v>0</v>
      </c>
      <c r="K147" t="n">
        <v>0</v>
      </c>
      <c r="L147" t="n">
        <v>0</v>
      </c>
      <c r="M147" t="n">
        <v>0</v>
      </c>
      <c r="N147" t="n">
        <v>0</v>
      </c>
      <c r="O147" t="n">
        <v>0</v>
      </c>
      <c r="P147" t="n">
        <v>0</v>
      </c>
      <c r="Q147" t="n">
        <v>0</v>
      </c>
      <c r="R147" s="2" t="inlineStr"/>
    </row>
    <row r="148" ht="15" customHeight="1">
      <c r="A148" t="inlineStr">
        <is>
          <t>A 58769-2019</t>
        </is>
      </c>
      <c r="B148" s="1" t="n">
        <v>43773</v>
      </c>
      <c r="C148" s="1" t="n">
        <v>45783</v>
      </c>
      <c r="D148" t="inlineStr">
        <is>
          <t>VÄSTERNORRLANDS LÄN</t>
        </is>
      </c>
      <c r="E148" t="inlineStr">
        <is>
          <t>KRAMFORS</t>
        </is>
      </c>
      <c r="G148" t="n">
        <v>1.3</v>
      </c>
      <c r="H148" t="n">
        <v>0</v>
      </c>
      <c r="I148" t="n">
        <v>0</v>
      </c>
      <c r="J148" t="n">
        <v>0</v>
      </c>
      <c r="K148" t="n">
        <v>0</v>
      </c>
      <c r="L148" t="n">
        <v>0</v>
      </c>
      <c r="M148" t="n">
        <v>0</v>
      </c>
      <c r="N148" t="n">
        <v>0</v>
      </c>
      <c r="O148" t="n">
        <v>0</v>
      </c>
      <c r="P148" t="n">
        <v>0</v>
      </c>
      <c r="Q148" t="n">
        <v>0</v>
      </c>
      <c r="R148" s="2" t="inlineStr"/>
    </row>
    <row r="149" ht="15" customHeight="1">
      <c r="A149" t="inlineStr">
        <is>
          <t>A 58847-2019</t>
        </is>
      </c>
      <c r="B149" s="1" t="n">
        <v>43774</v>
      </c>
      <c r="C149" s="1" t="n">
        <v>45783</v>
      </c>
      <c r="D149" t="inlineStr">
        <is>
          <t>VÄSTERNORRLANDS LÄN</t>
        </is>
      </c>
      <c r="E149" t="inlineStr">
        <is>
          <t>KRAMFORS</t>
        </is>
      </c>
      <c r="G149" t="n">
        <v>1</v>
      </c>
      <c r="H149" t="n">
        <v>0</v>
      </c>
      <c r="I149" t="n">
        <v>0</v>
      </c>
      <c r="J149" t="n">
        <v>0</v>
      </c>
      <c r="K149" t="n">
        <v>0</v>
      </c>
      <c r="L149" t="n">
        <v>0</v>
      </c>
      <c r="M149" t="n">
        <v>0</v>
      </c>
      <c r="N149" t="n">
        <v>0</v>
      </c>
      <c r="O149" t="n">
        <v>0</v>
      </c>
      <c r="P149" t="n">
        <v>0</v>
      </c>
      <c r="Q149" t="n">
        <v>0</v>
      </c>
      <c r="R149" s="2" t="inlineStr"/>
    </row>
    <row r="150" ht="15" customHeight="1">
      <c r="A150" t="inlineStr">
        <is>
          <t>A 59686-2019</t>
        </is>
      </c>
      <c r="B150" s="1" t="n">
        <v>43774</v>
      </c>
      <c r="C150" s="1" t="n">
        <v>45783</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58852-2019</t>
        </is>
      </c>
      <c r="B151" s="1" t="n">
        <v>43774</v>
      </c>
      <c r="C151" s="1" t="n">
        <v>45783</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62178-2019</t>
        </is>
      </c>
      <c r="B152" s="1" t="n">
        <v>43787</v>
      </c>
      <c r="C152" s="1" t="n">
        <v>45783</v>
      </c>
      <c r="D152" t="inlineStr">
        <is>
          <t>VÄSTERNORRLANDS LÄN</t>
        </is>
      </c>
      <c r="E152" t="inlineStr">
        <is>
          <t>KRAMFORS</t>
        </is>
      </c>
      <c r="G152" t="n">
        <v>1.7</v>
      </c>
      <c r="H152" t="n">
        <v>0</v>
      </c>
      <c r="I152" t="n">
        <v>0</v>
      </c>
      <c r="J152" t="n">
        <v>0</v>
      </c>
      <c r="K152" t="n">
        <v>0</v>
      </c>
      <c r="L152" t="n">
        <v>0</v>
      </c>
      <c r="M152" t="n">
        <v>0</v>
      </c>
      <c r="N152" t="n">
        <v>0</v>
      </c>
      <c r="O152" t="n">
        <v>0</v>
      </c>
      <c r="P152" t="n">
        <v>0</v>
      </c>
      <c r="Q152" t="n">
        <v>0</v>
      </c>
      <c r="R152" s="2" t="inlineStr"/>
    </row>
    <row r="153" ht="15" customHeight="1">
      <c r="A153" t="inlineStr">
        <is>
          <t>A 62180-2019</t>
        </is>
      </c>
      <c r="B153" s="1" t="n">
        <v>43787</v>
      </c>
      <c r="C153" s="1" t="n">
        <v>45783</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63612-2019</t>
        </is>
      </c>
      <c r="B154" s="1" t="n">
        <v>43789</v>
      </c>
      <c r="C154" s="1" t="n">
        <v>45783</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64217-2019</t>
        </is>
      </c>
      <c r="B155" s="1" t="n">
        <v>43797</v>
      </c>
      <c r="C155" s="1" t="n">
        <v>45783</v>
      </c>
      <c r="D155" t="inlineStr">
        <is>
          <t>VÄSTERNORRLANDS LÄN</t>
        </is>
      </c>
      <c r="E155" t="inlineStr">
        <is>
          <t>KRAMFORS</t>
        </is>
      </c>
      <c r="G155" t="n">
        <v>2.2</v>
      </c>
      <c r="H155" t="n">
        <v>0</v>
      </c>
      <c r="I155" t="n">
        <v>0</v>
      </c>
      <c r="J155" t="n">
        <v>0</v>
      </c>
      <c r="K155" t="n">
        <v>0</v>
      </c>
      <c r="L155" t="n">
        <v>0</v>
      </c>
      <c r="M155" t="n">
        <v>0</v>
      </c>
      <c r="N155" t="n">
        <v>0</v>
      </c>
      <c r="O155" t="n">
        <v>0</v>
      </c>
      <c r="P155" t="n">
        <v>0</v>
      </c>
      <c r="Q155" t="n">
        <v>0</v>
      </c>
      <c r="R155" s="2" t="inlineStr"/>
    </row>
    <row r="156" ht="15" customHeight="1">
      <c r="A156" t="inlineStr">
        <is>
          <t>A 65354-2019</t>
        </is>
      </c>
      <c r="B156" s="1" t="n">
        <v>43803</v>
      </c>
      <c r="C156" s="1" t="n">
        <v>45783</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66975-2019</t>
        </is>
      </c>
      <c r="B157" s="1" t="n">
        <v>43810</v>
      </c>
      <c r="C157" s="1" t="n">
        <v>45783</v>
      </c>
      <c r="D157" t="inlineStr">
        <is>
          <t>VÄSTERNORRLANDS LÄN</t>
        </is>
      </c>
      <c r="E157" t="inlineStr">
        <is>
          <t>KRAMFORS</t>
        </is>
      </c>
      <c r="G157" t="n">
        <v>4</v>
      </c>
      <c r="H157" t="n">
        <v>0</v>
      </c>
      <c r="I157" t="n">
        <v>0</v>
      </c>
      <c r="J157" t="n">
        <v>0</v>
      </c>
      <c r="K157" t="n">
        <v>0</v>
      </c>
      <c r="L157" t="n">
        <v>0</v>
      </c>
      <c r="M157" t="n">
        <v>0</v>
      </c>
      <c r="N157" t="n">
        <v>0</v>
      </c>
      <c r="O157" t="n">
        <v>0</v>
      </c>
      <c r="P157" t="n">
        <v>0</v>
      </c>
      <c r="Q157" t="n">
        <v>0</v>
      </c>
      <c r="R157" s="2" t="inlineStr"/>
    </row>
    <row r="158" ht="15" customHeight="1">
      <c r="A158" t="inlineStr">
        <is>
          <t>A 67272-2019</t>
        </is>
      </c>
      <c r="B158" s="1" t="n">
        <v>43812</v>
      </c>
      <c r="C158" s="1" t="n">
        <v>45783</v>
      </c>
      <c r="D158" t="inlineStr">
        <is>
          <t>VÄSTERNORRLANDS LÄN</t>
        </is>
      </c>
      <c r="E158" t="inlineStr">
        <is>
          <t>KRAMFORS</t>
        </is>
      </c>
      <c r="G158" t="n">
        <v>1.2</v>
      </c>
      <c r="H158" t="n">
        <v>0</v>
      </c>
      <c r="I158" t="n">
        <v>0</v>
      </c>
      <c r="J158" t="n">
        <v>0</v>
      </c>
      <c r="K158" t="n">
        <v>0</v>
      </c>
      <c r="L158" t="n">
        <v>0</v>
      </c>
      <c r="M158" t="n">
        <v>0</v>
      </c>
      <c r="N158" t="n">
        <v>0</v>
      </c>
      <c r="O158" t="n">
        <v>0</v>
      </c>
      <c r="P158" t="n">
        <v>0</v>
      </c>
      <c r="Q158" t="n">
        <v>0</v>
      </c>
      <c r="R158" s="2" t="inlineStr"/>
    </row>
    <row r="159" ht="15" customHeight="1">
      <c r="A159" t="inlineStr">
        <is>
          <t>A 67366-2019</t>
        </is>
      </c>
      <c r="B159" s="1" t="n">
        <v>43812</v>
      </c>
      <c r="C159" s="1" t="n">
        <v>45783</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67278-2019</t>
        </is>
      </c>
      <c r="B160" s="1" t="n">
        <v>43812</v>
      </c>
      <c r="C160" s="1" t="n">
        <v>45783</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67813-2019</t>
        </is>
      </c>
      <c r="B161" s="1" t="n">
        <v>43815</v>
      </c>
      <c r="C161" s="1" t="n">
        <v>45783</v>
      </c>
      <c r="D161" t="inlineStr">
        <is>
          <t>VÄSTERNORRLANDS LÄN</t>
        </is>
      </c>
      <c r="E161" t="inlineStr">
        <is>
          <t>KRAMFORS</t>
        </is>
      </c>
      <c r="F161" t="inlineStr">
        <is>
          <t>SCA</t>
        </is>
      </c>
      <c r="G161" t="n">
        <v>24.1</v>
      </c>
      <c r="H161" t="n">
        <v>0</v>
      </c>
      <c r="I161" t="n">
        <v>0</v>
      </c>
      <c r="J161" t="n">
        <v>0</v>
      </c>
      <c r="K161" t="n">
        <v>0</v>
      </c>
      <c r="L161" t="n">
        <v>0</v>
      </c>
      <c r="M161" t="n">
        <v>0</v>
      </c>
      <c r="N161" t="n">
        <v>0</v>
      </c>
      <c r="O161" t="n">
        <v>0</v>
      </c>
      <c r="P161" t="n">
        <v>0</v>
      </c>
      <c r="Q161" t="n">
        <v>0</v>
      </c>
      <c r="R161" s="2" t="inlineStr"/>
    </row>
    <row r="162" ht="15" customHeight="1">
      <c r="A162" t="inlineStr">
        <is>
          <t>A 975-2020</t>
        </is>
      </c>
      <c r="B162" s="1" t="n">
        <v>43819</v>
      </c>
      <c r="C162" s="1" t="n">
        <v>45783</v>
      </c>
      <c r="D162" t="inlineStr">
        <is>
          <t>VÄSTERNORRLANDS LÄN</t>
        </is>
      </c>
      <c r="E162" t="inlineStr">
        <is>
          <t>KRAMFORS</t>
        </is>
      </c>
      <c r="G162" t="n">
        <v>6.8</v>
      </c>
      <c r="H162" t="n">
        <v>0</v>
      </c>
      <c r="I162" t="n">
        <v>0</v>
      </c>
      <c r="J162" t="n">
        <v>0</v>
      </c>
      <c r="K162" t="n">
        <v>0</v>
      </c>
      <c r="L162" t="n">
        <v>0</v>
      </c>
      <c r="M162" t="n">
        <v>0</v>
      </c>
      <c r="N162" t="n">
        <v>0</v>
      </c>
      <c r="O162" t="n">
        <v>0</v>
      </c>
      <c r="P162" t="n">
        <v>0</v>
      </c>
      <c r="Q162" t="n">
        <v>0</v>
      </c>
      <c r="R162" s="2" t="inlineStr"/>
    </row>
    <row r="163" ht="15" customHeight="1">
      <c r="A163" t="inlineStr">
        <is>
          <t>A 68845-2019</t>
        </is>
      </c>
      <c r="B163" s="1" t="n">
        <v>43819</v>
      </c>
      <c r="C163" s="1" t="n">
        <v>45783</v>
      </c>
      <c r="D163" t="inlineStr">
        <is>
          <t>VÄSTERNORRLANDS LÄN</t>
        </is>
      </c>
      <c r="E163" t="inlineStr">
        <is>
          <t>KRAMFORS</t>
        </is>
      </c>
      <c r="G163" t="n">
        <v>2.3</v>
      </c>
      <c r="H163" t="n">
        <v>0</v>
      </c>
      <c r="I163" t="n">
        <v>0</v>
      </c>
      <c r="J163" t="n">
        <v>0</v>
      </c>
      <c r="K163" t="n">
        <v>0</v>
      </c>
      <c r="L163" t="n">
        <v>0</v>
      </c>
      <c r="M163" t="n">
        <v>0</v>
      </c>
      <c r="N163" t="n">
        <v>0</v>
      </c>
      <c r="O163" t="n">
        <v>0</v>
      </c>
      <c r="P163" t="n">
        <v>0</v>
      </c>
      <c r="Q163" t="n">
        <v>0</v>
      </c>
      <c r="R163" s="2" t="inlineStr"/>
    </row>
    <row r="164" ht="15" customHeight="1">
      <c r="A164" t="inlineStr">
        <is>
          <t>A 1982-2020</t>
        </is>
      </c>
      <c r="B164" s="1" t="n">
        <v>43845</v>
      </c>
      <c r="C164" s="1" t="n">
        <v>45783</v>
      </c>
      <c r="D164" t="inlineStr">
        <is>
          <t>VÄSTERNORRLANDS LÄN</t>
        </is>
      </c>
      <c r="E164" t="inlineStr">
        <is>
          <t>KRAMFORS</t>
        </is>
      </c>
      <c r="G164" t="n">
        <v>3.3</v>
      </c>
      <c r="H164" t="n">
        <v>0</v>
      </c>
      <c r="I164" t="n">
        <v>0</v>
      </c>
      <c r="J164" t="n">
        <v>0</v>
      </c>
      <c r="K164" t="n">
        <v>0</v>
      </c>
      <c r="L164" t="n">
        <v>0</v>
      </c>
      <c r="M164" t="n">
        <v>0</v>
      </c>
      <c r="N164" t="n">
        <v>0</v>
      </c>
      <c r="O164" t="n">
        <v>0</v>
      </c>
      <c r="P164" t="n">
        <v>0</v>
      </c>
      <c r="Q164" t="n">
        <v>0</v>
      </c>
      <c r="R164" s="2" t="inlineStr"/>
    </row>
    <row r="165" ht="15" customHeight="1">
      <c r="A165" t="inlineStr">
        <is>
          <t>A 2361-2020</t>
        </is>
      </c>
      <c r="B165" s="1" t="n">
        <v>43846</v>
      </c>
      <c r="C165" s="1" t="n">
        <v>45783</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2794-2020</t>
        </is>
      </c>
      <c r="B166" s="1" t="n">
        <v>43850</v>
      </c>
      <c r="C166" s="1" t="n">
        <v>45783</v>
      </c>
      <c r="D166" t="inlineStr">
        <is>
          <t>VÄSTERNORRLANDS LÄN</t>
        </is>
      </c>
      <c r="E166" t="inlineStr">
        <is>
          <t>KRAMFORS</t>
        </is>
      </c>
      <c r="G166" t="n">
        <v>2.4</v>
      </c>
      <c r="H166" t="n">
        <v>0</v>
      </c>
      <c r="I166" t="n">
        <v>0</v>
      </c>
      <c r="J166" t="n">
        <v>0</v>
      </c>
      <c r="K166" t="n">
        <v>0</v>
      </c>
      <c r="L166" t="n">
        <v>0</v>
      </c>
      <c r="M166" t="n">
        <v>0</v>
      </c>
      <c r="N166" t="n">
        <v>0</v>
      </c>
      <c r="O166" t="n">
        <v>0</v>
      </c>
      <c r="P166" t="n">
        <v>0</v>
      </c>
      <c r="Q166" t="n">
        <v>0</v>
      </c>
      <c r="R166" s="2" t="inlineStr"/>
    </row>
    <row r="167" ht="15" customHeight="1">
      <c r="A167" t="inlineStr">
        <is>
          <t>A 2793-2020</t>
        </is>
      </c>
      <c r="B167" s="1" t="n">
        <v>43850</v>
      </c>
      <c r="C167" s="1" t="n">
        <v>45783</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3496-2020</t>
        </is>
      </c>
      <c r="B168" s="1" t="n">
        <v>43852</v>
      </c>
      <c r="C168" s="1" t="n">
        <v>45783</v>
      </c>
      <c r="D168" t="inlineStr">
        <is>
          <t>VÄSTERNORRLANDS LÄN</t>
        </is>
      </c>
      <c r="E168" t="inlineStr">
        <is>
          <t>KRAMFORS</t>
        </is>
      </c>
      <c r="G168" t="n">
        <v>0.8</v>
      </c>
      <c r="H168" t="n">
        <v>0</v>
      </c>
      <c r="I168" t="n">
        <v>0</v>
      </c>
      <c r="J168" t="n">
        <v>0</v>
      </c>
      <c r="K168" t="n">
        <v>0</v>
      </c>
      <c r="L168" t="n">
        <v>0</v>
      </c>
      <c r="M168" t="n">
        <v>0</v>
      </c>
      <c r="N168" t="n">
        <v>0</v>
      </c>
      <c r="O168" t="n">
        <v>0</v>
      </c>
      <c r="P168" t="n">
        <v>0</v>
      </c>
      <c r="Q168" t="n">
        <v>0</v>
      </c>
      <c r="R168" s="2" t="inlineStr"/>
    </row>
    <row r="169" ht="15" customHeight="1">
      <c r="A169" t="inlineStr">
        <is>
          <t>A 3490-2020</t>
        </is>
      </c>
      <c r="B169" s="1" t="n">
        <v>43852</v>
      </c>
      <c r="C169" s="1" t="n">
        <v>45783</v>
      </c>
      <c r="D169" t="inlineStr">
        <is>
          <t>VÄSTERNORRLANDS LÄN</t>
        </is>
      </c>
      <c r="E169" t="inlineStr">
        <is>
          <t>KRAMFORS</t>
        </is>
      </c>
      <c r="G169" t="n">
        <v>2.9</v>
      </c>
      <c r="H169" t="n">
        <v>0</v>
      </c>
      <c r="I169" t="n">
        <v>0</v>
      </c>
      <c r="J169" t="n">
        <v>0</v>
      </c>
      <c r="K169" t="n">
        <v>0</v>
      </c>
      <c r="L169" t="n">
        <v>0</v>
      </c>
      <c r="M169" t="n">
        <v>0</v>
      </c>
      <c r="N169" t="n">
        <v>0</v>
      </c>
      <c r="O169" t="n">
        <v>0</v>
      </c>
      <c r="P169" t="n">
        <v>0</v>
      </c>
      <c r="Q169" t="n">
        <v>0</v>
      </c>
      <c r="R169" s="2" t="inlineStr"/>
    </row>
    <row r="170" ht="15" customHeight="1">
      <c r="A170" t="inlineStr">
        <is>
          <t>A 5707-2020</t>
        </is>
      </c>
      <c r="B170" s="1" t="n">
        <v>43861</v>
      </c>
      <c r="C170" s="1" t="n">
        <v>45783</v>
      </c>
      <c r="D170" t="inlineStr">
        <is>
          <t>VÄSTERNORRLANDS LÄN</t>
        </is>
      </c>
      <c r="E170" t="inlineStr">
        <is>
          <t>KRAMFORS</t>
        </is>
      </c>
      <c r="G170" t="n">
        <v>3.9</v>
      </c>
      <c r="H170" t="n">
        <v>0</v>
      </c>
      <c r="I170" t="n">
        <v>0</v>
      </c>
      <c r="J170" t="n">
        <v>0</v>
      </c>
      <c r="K170" t="n">
        <v>0</v>
      </c>
      <c r="L170" t="n">
        <v>0</v>
      </c>
      <c r="M170" t="n">
        <v>0</v>
      </c>
      <c r="N170" t="n">
        <v>0</v>
      </c>
      <c r="O170" t="n">
        <v>0</v>
      </c>
      <c r="P170" t="n">
        <v>0</v>
      </c>
      <c r="Q170" t="n">
        <v>0</v>
      </c>
      <c r="R170" s="2" t="inlineStr"/>
    </row>
    <row r="171" ht="15" customHeight="1">
      <c r="A171" t="inlineStr">
        <is>
          <t>A 6269-2020</t>
        </is>
      </c>
      <c r="B171" s="1" t="n">
        <v>43866</v>
      </c>
      <c r="C171" s="1" t="n">
        <v>45783</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8130-2020</t>
        </is>
      </c>
      <c r="B172" s="1" t="n">
        <v>43867</v>
      </c>
      <c r="C172" s="1" t="n">
        <v>45783</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7175-2020</t>
        </is>
      </c>
      <c r="B173" s="1" t="n">
        <v>43868</v>
      </c>
      <c r="C173" s="1" t="n">
        <v>45783</v>
      </c>
      <c r="D173" t="inlineStr">
        <is>
          <t>VÄSTERNORRLANDS LÄN</t>
        </is>
      </c>
      <c r="E173" t="inlineStr">
        <is>
          <t>KRAMFORS</t>
        </is>
      </c>
      <c r="G173" t="n">
        <v>3.5</v>
      </c>
      <c r="H173" t="n">
        <v>0</v>
      </c>
      <c r="I173" t="n">
        <v>0</v>
      </c>
      <c r="J173" t="n">
        <v>0</v>
      </c>
      <c r="K173" t="n">
        <v>0</v>
      </c>
      <c r="L173" t="n">
        <v>0</v>
      </c>
      <c r="M173" t="n">
        <v>0</v>
      </c>
      <c r="N173" t="n">
        <v>0</v>
      </c>
      <c r="O173" t="n">
        <v>0</v>
      </c>
      <c r="P173" t="n">
        <v>0</v>
      </c>
      <c r="Q173" t="n">
        <v>0</v>
      </c>
      <c r="R173" s="2" t="inlineStr"/>
    </row>
    <row r="174" ht="15" customHeight="1">
      <c r="A174" t="inlineStr">
        <is>
          <t>A 8487-2020</t>
        </is>
      </c>
      <c r="B174" s="1" t="n">
        <v>43874</v>
      </c>
      <c r="C174" s="1" t="n">
        <v>45783</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8486-2020</t>
        </is>
      </c>
      <c r="B175" s="1" t="n">
        <v>43875</v>
      </c>
      <c r="C175" s="1" t="n">
        <v>45783</v>
      </c>
      <c r="D175" t="inlineStr">
        <is>
          <t>VÄSTERNORRLANDS LÄN</t>
        </is>
      </c>
      <c r="E175" t="inlineStr">
        <is>
          <t>KRAMFORS</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8524-2020</t>
        </is>
      </c>
      <c r="B176" s="1" t="n">
        <v>43875</v>
      </c>
      <c r="C176" s="1" t="n">
        <v>45783</v>
      </c>
      <c r="D176" t="inlineStr">
        <is>
          <t>VÄSTERNORRLANDS LÄN</t>
        </is>
      </c>
      <c r="E176" t="inlineStr">
        <is>
          <t>KRAMFORS</t>
        </is>
      </c>
      <c r="F176" t="inlineStr">
        <is>
          <t>Kommuner</t>
        </is>
      </c>
      <c r="G176" t="n">
        <v>0.7</v>
      </c>
      <c r="H176" t="n">
        <v>0</v>
      </c>
      <c r="I176" t="n">
        <v>0</v>
      </c>
      <c r="J176" t="n">
        <v>0</v>
      </c>
      <c r="K176" t="n">
        <v>0</v>
      </c>
      <c r="L176" t="n">
        <v>0</v>
      </c>
      <c r="M176" t="n">
        <v>0</v>
      </c>
      <c r="N176" t="n">
        <v>0</v>
      </c>
      <c r="O176" t="n">
        <v>0</v>
      </c>
      <c r="P176" t="n">
        <v>0</v>
      </c>
      <c r="Q176" t="n">
        <v>0</v>
      </c>
      <c r="R176" s="2" t="inlineStr"/>
    </row>
    <row r="177" ht="15" customHeight="1">
      <c r="A177" t="inlineStr">
        <is>
          <t>A 8479-2020</t>
        </is>
      </c>
      <c r="B177" s="1" t="n">
        <v>43875</v>
      </c>
      <c r="C177" s="1" t="n">
        <v>45783</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8525-2020</t>
        </is>
      </c>
      <c r="B178" s="1" t="n">
        <v>43875</v>
      </c>
      <c r="C178" s="1" t="n">
        <v>45783</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9836-2020</t>
        </is>
      </c>
      <c r="B179" s="1" t="n">
        <v>43881</v>
      </c>
      <c r="C179" s="1" t="n">
        <v>45783</v>
      </c>
      <c r="D179" t="inlineStr">
        <is>
          <t>VÄSTERNORRLANDS LÄN</t>
        </is>
      </c>
      <c r="E179" t="inlineStr">
        <is>
          <t>KRAMFORS</t>
        </is>
      </c>
      <c r="G179" t="n">
        <v>3.2</v>
      </c>
      <c r="H179" t="n">
        <v>0</v>
      </c>
      <c r="I179" t="n">
        <v>0</v>
      </c>
      <c r="J179" t="n">
        <v>0</v>
      </c>
      <c r="K179" t="n">
        <v>0</v>
      </c>
      <c r="L179" t="n">
        <v>0</v>
      </c>
      <c r="M179" t="n">
        <v>0</v>
      </c>
      <c r="N179" t="n">
        <v>0</v>
      </c>
      <c r="O179" t="n">
        <v>0</v>
      </c>
      <c r="P179" t="n">
        <v>0</v>
      </c>
      <c r="Q179" t="n">
        <v>0</v>
      </c>
      <c r="R179" s="2" t="inlineStr"/>
    </row>
    <row r="180" ht="15" customHeight="1">
      <c r="A180" t="inlineStr">
        <is>
          <t>A 12464-2020</t>
        </is>
      </c>
      <c r="B180" s="1" t="n">
        <v>43892</v>
      </c>
      <c r="C180" s="1" t="n">
        <v>45783</v>
      </c>
      <c r="D180" t="inlineStr">
        <is>
          <t>VÄSTERNORRLANDS LÄN</t>
        </is>
      </c>
      <c r="E180" t="inlineStr">
        <is>
          <t>KRAMFORS</t>
        </is>
      </c>
      <c r="G180" t="n">
        <v>1.7</v>
      </c>
      <c r="H180" t="n">
        <v>0</v>
      </c>
      <c r="I180" t="n">
        <v>0</v>
      </c>
      <c r="J180" t="n">
        <v>0</v>
      </c>
      <c r="K180" t="n">
        <v>0</v>
      </c>
      <c r="L180" t="n">
        <v>0</v>
      </c>
      <c r="M180" t="n">
        <v>0</v>
      </c>
      <c r="N180" t="n">
        <v>0</v>
      </c>
      <c r="O180" t="n">
        <v>0</v>
      </c>
      <c r="P180" t="n">
        <v>0</v>
      </c>
      <c r="Q180" t="n">
        <v>0</v>
      </c>
      <c r="R180" s="2" t="inlineStr"/>
    </row>
    <row r="181" ht="15" customHeight="1">
      <c r="A181" t="inlineStr">
        <is>
          <t>A 14092-2020</t>
        </is>
      </c>
      <c r="B181" s="1" t="n">
        <v>43899</v>
      </c>
      <c r="C181" s="1" t="n">
        <v>45783</v>
      </c>
      <c r="D181" t="inlineStr">
        <is>
          <t>VÄSTERNORRLANDS LÄN</t>
        </is>
      </c>
      <c r="E181" t="inlineStr">
        <is>
          <t>KRAMFORS</t>
        </is>
      </c>
      <c r="G181" t="n">
        <v>1.3</v>
      </c>
      <c r="H181" t="n">
        <v>0</v>
      </c>
      <c r="I181" t="n">
        <v>0</v>
      </c>
      <c r="J181" t="n">
        <v>0</v>
      </c>
      <c r="K181" t="n">
        <v>0</v>
      </c>
      <c r="L181" t="n">
        <v>0</v>
      </c>
      <c r="M181" t="n">
        <v>0</v>
      </c>
      <c r="N181" t="n">
        <v>0</v>
      </c>
      <c r="O181" t="n">
        <v>0</v>
      </c>
      <c r="P181" t="n">
        <v>0</v>
      </c>
      <c r="Q181" t="n">
        <v>0</v>
      </c>
      <c r="R181" s="2" t="inlineStr"/>
    </row>
    <row r="182" ht="15" customHeight="1">
      <c r="A182" t="inlineStr">
        <is>
          <t>A 14086-2020</t>
        </is>
      </c>
      <c r="B182" s="1" t="n">
        <v>43899</v>
      </c>
      <c r="C182" s="1" t="n">
        <v>45783</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14861-2020</t>
        </is>
      </c>
      <c r="B183" s="1" t="n">
        <v>43909</v>
      </c>
      <c r="C183" s="1" t="n">
        <v>45783</v>
      </c>
      <c r="D183" t="inlineStr">
        <is>
          <t>VÄSTERNORRLANDS LÄN</t>
        </is>
      </c>
      <c r="E183" t="inlineStr">
        <is>
          <t>KRAMFORS</t>
        </is>
      </c>
      <c r="G183" t="n">
        <v>0.6</v>
      </c>
      <c r="H183" t="n">
        <v>0</v>
      </c>
      <c r="I183" t="n">
        <v>0</v>
      </c>
      <c r="J183" t="n">
        <v>0</v>
      </c>
      <c r="K183" t="n">
        <v>0</v>
      </c>
      <c r="L183" t="n">
        <v>0</v>
      </c>
      <c r="M183" t="n">
        <v>0</v>
      </c>
      <c r="N183" t="n">
        <v>0</v>
      </c>
      <c r="O183" t="n">
        <v>0</v>
      </c>
      <c r="P183" t="n">
        <v>0</v>
      </c>
      <c r="Q183" t="n">
        <v>0</v>
      </c>
      <c r="R183" s="2" t="inlineStr"/>
    </row>
    <row r="184" ht="15" customHeight="1">
      <c r="A184" t="inlineStr">
        <is>
          <t>A 16160-2020</t>
        </is>
      </c>
      <c r="B184" s="1" t="n">
        <v>43916</v>
      </c>
      <c r="C184" s="1" t="n">
        <v>45783</v>
      </c>
      <c r="D184" t="inlineStr">
        <is>
          <t>VÄSTERNORRLANDS LÄN</t>
        </is>
      </c>
      <c r="E184" t="inlineStr">
        <is>
          <t>KRAMFORS</t>
        </is>
      </c>
      <c r="G184" t="n">
        <v>2.1</v>
      </c>
      <c r="H184" t="n">
        <v>0</v>
      </c>
      <c r="I184" t="n">
        <v>0</v>
      </c>
      <c r="J184" t="n">
        <v>0</v>
      </c>
      <c r="K184" t="n">
        <v>0</v>
      </c>
      <c r="L184" t="n">
        <v>0</v>
      </c>
      <c r="M184" t="n">
        <v>0</v>
      </c>
      <c r="N184" t="n">
        <v>0</v>
      </c>
      <c r="O184" t="n">
        <v>0</v>
      </c>
      <c r="P184" t="n">
        <v>0</v>
      </c>
      <c r="Q184" t="n">
        <v>0</v>
      </c>
      <c r="R184" s="2" t="inlineStr"/>
    </row>
    <row r="185" ht="15" customHeight="1">
      <c r="A185" t="inlineStr">
        <is>
          <t>A 19000-2020</t>
        </is>
      </c>
      <c r="B185" s="1" t="n">
        <v>43935</v>
      </c>
      <c r="C185" s="1" t="n">
        <v>45783</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19164-2020</t>
        </is>
      </c>
      <c r="B186" s="1" t="n">
        <v>43936</v>
      </c>
      <c r="C186" s="1" t="n">
        <v>45783</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19708-2020</t>
        </is>
      </c>
      <c r="B187" s="1" t="n">
        <v>43937</v>
      </c>
      <c r="C187" s="1" t="n">
        <v>45783</v>
      </c>
      <c r="D187" t="inlineStr">
        <is>
          <t>VÄSTERNORRLANDS LÄN</t>
        </is>
      </c>
      <c r="E187" t="inlineStr">
        <is>
          <t>KRAMFORS</t>
        </is>
      </c>
      <c r="F187" t="inlineStr">
        <is>
          <t>Kyrkan</t>
        </is>
      </c>
      <c r="G187" t="n">
        <v>6.4</v>
      </c>
      <c r="H187" t="n">
        <v>0</v>
      </c>
      <c r="I187" t="n">
        <v>0</v>
      </c>
      <c r="J187" t="n">
        <v>0</v>
      </c>
      <c r="K187" t="n">
        <v>0</v>
      </c>
      <c r="L187" t="n">
        <v>0</v>
      </c>
      <c r="M187" t="n">
        <v>0</v>
      </c>
      <c r="N187" t="n">
        <v>0</v>
      </c>
      <c r="O187" t="n">
        <v>0</v>
      </c>
      <c r="P187" t="n">
        <v>0</v>
      </c>
      <c r="Q187" t="n">
        <v>0</v>
      </c>
      <c r="R187" s="2" t="inlineStr"/>
    </row>
    <row r="188" ht="15" customHeight="1">
      <c r="A188" t="inlineStr">
        <is>
          <t>A 21021-2020</t>
        </is>
      </c>
      <c r="B188" s="1" t="n">
        <v>43950</v>
      </c>
      <c r="C188" s="1" t="n">
        <v>45783</v>
      </c>
      <c r="D188" t="inlineStr">
        <is>
          <t>VÄSTERNORRLANDS LÄN</t>
        </is>
      </c>
      <c r="E188" t="inlineStr">
        <is>
          <t>KRAMFORS</t>
        </is>
      </c>
      <c r="F188" t="inlineStr">
        <is>
          <t>SCA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22369-2020</t>
        </is>
      </c>
      <c r="B189" s="1" t="n">
        <v>43957</v>
      </c>
      <c r="C189" s="1" t="n">
        <v>45783</v>
      </c>
      <c r="D189" t="inlineStr">
        <is>
          <t>VÄSTERNORRLANDS LÄN</t>
        </is>
      </c>
      <c r="E189" t="inlineStr">
        <is>
          <t>KRAMFORS</t>
        </is>
      </c>
      <c r="G189" t="n">
        <v>1.5</v>
      </c>
      <c r="H189" t="n">
        <v>0</v>
      </c>
      <c r="I189" t="n">
        <v>0</v>
      </c>
      <c r="J189" t="n">
        <v>0</v>
      </c>
      <c r="K189" t="n">
        <v>0</v>
      </c>
      <c r="L189" t="n">
        <v>0</v>
      </c>
      <c r="M189" t="n">
        <v>0</v>
      </c>
      <c r="N189" t="n">
        <v>0</v>
      </c>
      <c r="O189" t="n">
        <v>0</v>
      </c>
      <c r="P189" t="n">
        <v>0</v>
      </c>
      <c r="Q189" t="n">
        <v>0</v>
      </c>
      <c r="R189" s="2" t="inlineStr"/>
    </row>
    <row r="190" ht="15" customHeight="1">
      <c r="A190" t="inlineStr">
        <is>
          <t>A 22698-2020</t>
        </is>
      </c>
      <c r="B190" s="1" t="n">
        <v>43963</v>
      </c>
      <c r="C190" s="1" t="n">
        <v>45783</v>
      </c>
      <c r="D190" t="inlineStr">
        <is>
          <t>VÄSTERNORRLANDS LÄN</t>
        </is>
      </c>
      <c r="E190" t="inlineStr">
        <is>
          <t>KRAMFORS</t>
        </is>
      </c>
      <c r="F190" t="inlineStr">
        <is>
          <t>SCA</t>
        </is>
      </c>
      <c r="G190" t="n">
        <v>8.5</v>
      </c>
      <c r="H190" t="n">
        <v>0</v>
      </c>
      <c r="I190" t="n">
        <v>0</v>
      </c>
      <c r="J190" t="n">
        <v>0</v>
      </c>
      <c r="K190" t="n">
        <v>0</v>
      </c>
      <c r="L190" t="n">
        <v>0</v>
      </c>
      <c r="M190" t="n">
        <v>0</v>
      </c>
      <c r="N190" t="n">
        <v>0</v>
      </c>
      <c r="O190" t="n">
        <v>0</v>
      </c>
      <c r="P190" t="n">
        <v>0</v>
      </c>
      <c r="Q190" t="n">
        <v>0</v>
      </c>
      <c r="R190" s="2" t="inlineStr"/>
    </row>
    <row r="191" ht="15" customHeight="1">
      <c r="A191" t="inlineStr">
        <is>
          <t>A 22829-2020</t>
        </is>
      </c>
      <c r="B191" s="1" t="n">
        <v>43964</v>
      </c>
      <c r="C191" s="1" t="n">
        <v>45783</v>
      </c>
      <c r="D191" t="inlineStr">
        <is>
          <t>VÄSTERNORRLANDS LÄN</t>
        </is>
      </c>
      <c r="E191" t="inlineStr">
        <is>
          <t>KRAMFORS</t>
        </is>
      </c>
      <c r="G191" t="n">
        <v>1.1</v>
      </c>
      <c r="H191" t="n">
        <v>0</v>
      </c>
      <c r="I191" t="n">
        <v>0</v>
      </c>
      <c r="J191" t="n">
        <v>0</v>
      </c>
      <c r="K191" t="n">
        <v>0</v>
      </c>
      <c r="L191" t="n">
        <v>0</v>
      </c>
      <c r="M191" t="n">
        <v>0</v>
      </c>
      <c r="N191" t="n">
        <v>0</v>
      </c>
      <c r="O191" t="n">
        <v>0</v>
      </c>
      <c r="P191" t="n">
        <v>0</v>
      </c>
      <c r="Q191" t="n">
        <v>0</v>
      </c>
      <c r="R191" s="2" t="inlineStr"/>
    </row>
    <row r="192" ht="15" customHeight="1">
      <c r="A192" t="inlineStr">
        <is>
          <t>A 22841-2020</t>
        </is>
      </c>
      <c r="B192" s="1" t="n">
        <v>43964</v>
      </c>
      <c r="C192" s="1" t="n">
        <v>45783</v>
      </c>
      <c r="D192" t="inlineStr">
        <is>
          <t>VÄSTERNORRLANDS LÄN</t>
        </is>
      </c>
      <c r="E192" t="inlineStr">
        <is>
          <t>KRAMFORS</t>
        </is>
      </c>
      <c r="G192" t="n">
        <v>0.9</v>
      </c>
      <c r="H192" t="n">
        <v>0</v>
      </c>
      <c r="I192" t="n">
        <v>0</v>
      </c>
      <c r="J192" t="n">
        <v>0</v>
      </c>
      <c r="K192" t="n">
        <v>0</v>
      </c>
      <c r="L192" t="n">
        <v>0</v>
      </c>
      <c r="M192" t="n">
        <v>0</v>
      </c>
      <c r="N192" t="n">
        <v>0</v>
      </c>
      <c r="O192" t="n">
        <v>0</v>
      </c>
      <c r="P192" t="n">
        <v>0</v>
      </c>
      <c r="Q192" t="n">
        <v>0</v>
      </c>
      <c r="R192" s="2" t="inlineStr"/>
    </row>
    <row r="193" ht="15" customHeight="1">
      <c r="A193" t="inlineStr">
        <is>
          <t>A 23752-2020</t>
        </is>
      </c>
      <c r="B193" s="1" t="n">
        <v>43969</v>
      </c>
      <c r="C193" s="1" t="n">
        <v>45783</v>
      </c>
      <c r="D193" t="inlineStr">
        <is>
          <t>VÄSTERNORRLANDS LÄN</t>
        </is>
      </c>
      <c r="E193" t="inlineStr">
        <is>
          <t>KRAMFORS</t>
        </is>
      </c>
      <c r="G193" t="n">
        <v>4.1</v>
      </c>
      <c r="H193" t="n">
        <v>0</v>
      </c>
      <c r="I193" t="n">
        <v>0</v>
      </c>
      <c r="J193" t="n">
        <v>0</v>
      </c>
      <c r="K193" t="n">
        <v>0</v>
      </c>
      <c r="L193" t="n">
        <v>0</v>
      </c>
      <c r="M193" t="n">
        <v>0</v>
      </c>
      <c r="N193" t="n">
        <v>0</v>
      </c>
      <c r="O193" t="n">
        <v>0</v>
      </c>
      <c r="P193" t="n">
        <v>0</v>
      </c>
      <c r="Q193" t="n">
        <v>0</v>
      </c>
      <c r="R193" s="2" t="inlineStr"/>
    </row>
    <row r="194" ht="15" customHeight="1">
      <c r="A194" t="inlineStr">
        <is>
          <t>A 24665-2020</t>
        </is>
      </c>
      <c r="B194" s="1" t="n">
        <v>43977</v>
      </c>
      <c r="C194" s="1" t="n">
        <v>45783</v>
      </c>
      <c r="D194" t="inlineStr">
        <is>
          <t>VÄSTERNORRLANDS LÄN</t>
        </is>
      </c>
      <c r="E194" t="inlineStr">
        <is>
          <t>KRAMFORS</t>
        </is>
      </c>
      <c r="G194" t="n">
        <v>2.3</v>
      </c>
      <c r="H194" t="n">
        <v>0</v>
      </c>
      <c r="I194" t="n">
        <v>0</v>
      </c>
      <c r="J194" t="n">
        <v>0</v>
      </c>
      <c r="K194" t="n">
        <v>0</v>
      </c>
      <c r="L194" t="n">
        <v>0</v>
      </c>
      <c r="M194" t="n">
        <v>0</v>
      </c>
      <c r="N194" t="n">
        <v>0</v>
      </c>
      <c r="O194" t="n">
        <v>0</v>
      </c>
      <c r="P194" t="n">
        <v>0</v>
      </c>
      <c r="Q194" t="n">
        <v>0</v>
      </c>
      <c r="R194" s="2" t="inlineStr"/>
    </row>
    <row r="195" ht="15" customHeight="1">
      <c r="A195" t="inlineStr">
        <is>
          <t>A 25290-2020</t>
        </is>
      </c>
      <c r="B195" s="1" t="n">
        <v>43979</v>
      </c>
      <c r="C195" s="1" t="n">
        <v>45783</v>
      </c>
      <c r="D195" t="inlineStr">
        <is>
          <t>VÄSTERNORRLANDS LÄN</t>
        </is>
      </c>
      <c r="E195" t="inlineStr">
        <is>
          <t>KRAMFORS</t>
        </is>
      </c>
      <c r="G195" t="n">
        <v>1.2</v>
      </c>
      <c r="H195" t="n">
        <v>0</v>
      </c>
      <c r="I195" t="n">
        <v>0</v>
      </c>
      <c r="J195" t="n">
        <v>0</v>
      </c>
      <c r="K195" t="n">
        <v>0</v>
      </c>
      <c r="L195" t="n">
        <v>0</v>
      </c>
      <c r="M195" t="n">
        <v>0</v>
      </c>
      <c r="N195" t="n">
        <v>0</v>
      </c>
      <c r="O195" t="n">
        <v>0</v>
      </c>
      <c r="P195" t="n">
        <v>0</v>
      </c>
      <c r="Q195" t="n">
        <v>0</v>
      </c>
      <c r="R195" s="2" t="inlineStr"/>
    </row>
    <row r="196" ht="15" customHeight="1">
      <c r="A196" t="inlineStr">
        <is>
          <t>A 25659-2020</t>
        </is>
      </c>
      <c r="B196" s="1" t="n">
        <v>43983</v>
      </c>
      <c r="C196" s="1" t="n">
        <v>45783</v>
      </c>
      <c r="D196" t="inlineStr">
        <is>
          <t>VÄSTERNORRLANDS LÄN</t>
        </is>
      </c>
      <c r="E196" t="inlineStr">
        <is>
          <t>KRAMFORS</t>
        </is>
      </c>
      <c r="G196" t="n">
        <v>2.6</v>
      </c>
      <c r="H196" t="n">
        <v>0</v>
      </c>
      <c r="I196" t="n">
        <v>0</v>
      </c>
      <c r="J196" t="n">
        <v>0</v>
      </c>
      <c r="K196" t="n">
        <v>0</v>
      </c>
      <c r="L196" t="n">
        <v>0</v>
      </c>
      <c r="M196" t="n">
        <v>0</v>
      </c>
      <c r="N196" t="n">
        <v>0</v>
      </c>
      <c r="O196" t="n">
        <v>0</v>
      </c>
      <c r="P196" t="n">
        <v>0</v>
      </c>
      <c r="Q196" t="n">
        <v>0</v>
      </c>
      <c r="R196" s="2" t="inlineStr"/>
    </row>
    <row r="197" ht="15" customHeight="1">
      <c r="A197" t="inlineStr">
        <is>
          <t>A 26976-2020</t>
        </is>
      </c>
      <c r="B197" s="1" t="n">
        <v>43990</v>
      </c>
      <c r="C197" s="1" t="n">
        <v>45783</v>
      </c>
      <c r="D197" t="inlineStr">
        <is>
          <t>VÄSTERNORRLANDS LÄN</t>
        </is>
      </c>
      <c r="E197" t="inlineStr">
        <is>
          <t>KRAMFORS</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27454-2020</t>
        </is>
      </c>
      <c r="B198" s="1" t="n">
        <v>43992</v>
      </c>
      <c r="C198" s="1" t="n">
        <v>45783</v>
      </c>
      <c r="D198" t="inlineStr">
        <is>
          <t>VÄSTERNORRLANDS LÄN</t>
        </is>
      </c>
      <c r="E198" t="inlineStr">
        <is>
          <t>KRAMFORS</t>
        </is>
      </c>
      <c r="G198" t="n">
        <v>1.9</v>
      </c>
      <c r="H198" t="n">
        <v>0</v>
      </c>
      <c r="I198" t="n">
        <v>0</v>
      </c>
      <c r="J198" t="n">
        <v>0</v>
      </c>
      <c r="K198" t="n">
        <v>0</v>
      </c>
      <c r="L198" t="n">
        <v>0</v>
      </c>
      <c r="M198" t="n">
        <v>0</v>
      </c>
      <c r="N198" t="n">
        <v>0</v>
      </c>
      <c r="O198" t="n">
        <v>0</v>
      </c>
      <c r="P198" t="n">
        <v>0</v>
      </c>
      <c r="Q198" t="n">
        <v>0</v>
      </c>
      <c r="R198" s="2" t="inlineStr"/>
    </row>
    <row r="199" ht="15" customHeight="1">
      <c r="A199" t="inlineStr">
        <is>
          <t>A 27886-2020</t>
        </is>
      </c>
      <c r="B199" s="1" t="n">
        <v>43994</v>
      </c>
      <c r="C199" s="1" t="n">
        <v>45783</v>
      </c>
      <c r="D199" t="inlineStr">
        <is>
          <t>VÄSTERNORRLANDS LÄN</t>
        </is>
      </c>
      <c r="E199" t="inlineStr">
        <is>
          <t>KRAMFORS</t>
        </is>
      </c>
      <c r="G199" t="n">
        <v>4.8</v>
      </c>
      <c r="H199" t="n">
        <v>0</v>
      </c>
      <c r="I199" t="n">
        <v>0</v>
      </c>
      <c r="J199" t="n">
        <v>0</v>
      </c>
      <c r="K199" t="n">
        <v>0</v>
      </c>
      <c r="L199" t="n">
        <v>0</v>
      </c>
      <c r="M199" t="n">
        <v>0</v>
      </c>
      <c r="N199" t="n">
        <v>0</v>
      </c>
      <c r="O199" t="n">
        <v>0</v>
      </c>
      <c r="P199" t="n">
        <v>0</v>
      </c>
      <c r="Q199" t="n">
        <v>0</v>
      </c>
      <c r="R199" s="2" t="inlineStr"/>
    </row>
    <row r="200" ht="15" customHeight="1">
      <c r="A200" t="inlineStr">
        <is>
          <t>A 28195-2020</t>
        </is>
      </c>
      <c r="B200" s="1" t="n">
        <v>43998</v>
      </c>
      <c r="C200" s="1" t="n">
        <v>45783</v>
      </c>
      <c r="D200" t="inlineStr">
        <is>
          <t>VÄSTERNORRLANDS LÄN</t>
        </is>
      </c>
      <c r="E200" t="inlineStr">
        <is>
          <t>KRAMFORS</t>
        </is>
      </c>
      <c r="G200" t="n">
        <v>5</v>
      </c>
      <c r="H200" t="n">
        <v>0</v>
      </c>
      <c r="I200" t="n">
        <v>0</v>
      </c>
      <c r="J200" t="n">
        <v>0</v>
      </c>
      <c r="K200" t="n">
        <v>0</v>
      </c>
      <c r="L200" t="n">
        <v>0</v>
      </c>
      <c r="M200" t="n">
        <v>0</v>
      </c>
      <c r="N200" t="n">
        <v>0</v>
      </c>
      <c r="O200" t="n">
        <v>0</v>
      </c>
      <c r="P200" t="n">
        <v>0</v>
      </c>
      <c r="Q200" t="n">
        <v>0</v>
      </c>
      <c r="R200" s="2" t="inlineStr"/>
    </row>
    <row r="201" ht="15" customHeight="1">
      <c r="A201" t="inlineStr">
        <is>
          <t>A 27951-2020</t>
        </is>
      </c>
      <c r="B201" s="1" t="n">
        <v>43997</v>
      </c>
      <c r="C201" s="1" t="n">
        <v>45783</v>
      </c>
      <c r="D201" t="inlineStr">
        <is>
          <t>VÄSTERNORRLANDS LÄN</t>
        </is>
      </c>
      <c r="E201" t="inlineStr">
        <is>
          <t>KRAMFORS</t>
        </is>
      </c>
      <c r="G201" t="n">
        <v>18.7</v>
      </c>
      <c r="H201" t="n">
        <v>0</v>
      </c>
      <c r="I201" t="n">
        <v>0</v>
      </c>
      <c r="J201" t="n">
        <v>0</v>
      </c>
      <c r="K201" t="n">
        <v>0</v>
      </c>
      <c r="L201" t="n">
        <v>0</v>
      </c>
      <c r="M201" t="n">
        <v>0</v>
      </c>
      <c r="N201" t="n">
        <v>0</v>
      </c>
      <c r="O201" t="n">
        <v>0</v>
      </c>
      <c r="P201" t="n">
        <v>0</v>
      </c>
      <c r="Q201" t="n">
        <v>0</v>
      </c>
      <c r="R201" s="2" t="inlineStr"/>
    </row>
    <row r="202" ht="15" customHeight="1">
      <c r="A202" t="inlineStr">
        <is>
          <t>A 28532-2020</t>
        </is>
      </c>
      <c r="B202" s="1" t="n">
        <v>43999</v>
      </c>
      <c r="C202" s="1" t="n">
        <v>45783</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29070-2020</t>
        </is>
      </c>
      <c r="B203" s="1" t="n">
        <v>44001</v>
      </c>
      <c r="C203" s="1" t="n">
        <v>45783</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29507-2020</t>
        </is>
      </c>
      <c r="B204" s="1" t="n">
        <v>44004</v>
      </c>
      <c r="C204" s="1" t="n">
        <v>45783</v>
      </c>
      <c r="D204" t="inlineStr">
        <is>
          <t>VÄSTERNORRLANDS LÄN</t>
        </is>
      </c>
      <c r="E204" t="inlineStr">
        <is>
          <t>KRAMFORS</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29815-2020</t>
        </is>
      </c>
      <c r="B205" s="1" t="n">
        <v>44005</v>
      </c>
      <c r="C205" s="1" t="n">
        <v>45783</v>
      </c>
      <c r="D205" t="inlineStr">
        <is>
          <t>VÄSTERNORRLANDS LÄN</t>
        </is>
      </c>
      <c r="E205" t="inlineStr">
        <is>
          <t>KRAMFORS</t>
        </is>
      </c>
      <c r="G205" t="n">
        <v>3.3</v>
      </c>
      <c r="H205" t="n">
        <v>0</v>
      </c>
      <c r="I205" t="n">
        <v>0</v>
      </c>
      <c r="J205" t="n">
        <v>0</v>
      </c>
      <c r="K205" t="n">
        <v>0</v>
      </c>
      <c r="L205" t="n">
        <v>0</v>
      </c>
      <c r="M205" t="n">
        <v>0</v>
      </c>
      <c r="N205" t="n">
        <v>0</v>
      </c>
      <c r="O205" t="n">
        <v>0</v>
      </c>
      <c r="P205" t="n">
        <v>0</v>
      </c>
      <c r="Q205" t="n">
        <v>0</v>
      </c>
      <c r="R205" s="2" t="inlineStr"/>
    </row>
    <row r="206" ht="15" customHeight="1">
      <c r="A206" t="inlineStr">
        <is>
          <t>A 30158-2020</t>
        </is>
      </c>
      <c r="B206" s="1" t="n">
        <v>44005</v>
      </c>
      <c r="C206" s="1" t="n">
        <v>45783</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30159-2020</t>
        </is>
      </c>
      <c r="B207" s="1" t="n">
        <v>44005</v>
      </c>
      <c r="C207" s="1" t="n">
        <v>45783</v>
      </c>
      <c r="D207" t="inlineStr">
        <is>
          <t>VÄSTERNORRLANDS LÄN</t>
        </is>
      </c>
      <c r="E207" t="inlineStr">
        <is>
          <t>KRAMFORS</t>
        </is>
      </c>
      <c r="G207" t="n">
        <v>1</v>
      </c>
      <c r="H207" t="n">
        <v>0</v>
      </c>
      <c r="I207" t="n">
        <v>0</v>
      </c>
      <c r="J207" t="n">
        <v>0</v>
      </c>
      <c r="K207" t="n">
        <v>0</v>
      </c>
      <c r="L207" t="n">
        <v>0</v>
      </c>
      <c r="M207" t="n">
        <v>0</v>
      </c>
      <c r="N207" t="n">
        <v>0</v>
      </c>
      <c r="O207" t="n">
        <v>0</v>
      </c>
      <c r="P207" t="n">
        <v>0</v>
      </c>
      <c r="Q207" t="n">
        <v>0</v>
      </c>
      <c r="R207" s="2" t="inlineStr"/>
    </row>
    <row r="208" ht="15" customHeight="1">
      <c r="A208" t="inlineStr">
        <is>
          <t>A 30162-2020</t>
        </is>
      </c>
      <c r="B208" s="1" t="n">
        <v>44005</v>
      </c>
      <c r="C208" s="1" t="n">
        <v>45783</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31293-2020</t>
        </is>
      </c>
      <c r="B209" s="1" t="n">
        <v>44012</v>
      </c>
      <c r="C209" s="1" t="n">
        <v>45783</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31294-2020</t>
        </is>
      </c>
      <c r="B210" s="1" t="n">
        <v>44012</v>
      </c>
      <c r="C210" s="1" t="n">
        <v>45783</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32115-2020</t>
        </is>
      </c>
      <c r="B211" s="1" t="n">
        <v>44014</v>
      </c>
      <c r="C211" s="1" t="n">
        <v>45783</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32866-2020</t>
        </is>
      </c>
      <c r="B212" s="1" t="n">
        <v>44018</v>
      </c>
      <c r="C212" s="1" t="n">
        <v>45783</v>
      </c>
      <c r="D212" t="inlineStr">
        <is>
          <t>VÄSTERNORRLANDS LÄN</t>
        </is>
      </c>
      <c r="E212" t="inlineStr">
        <is>
          <t>KRAMFORS</t>
        </is>
      </c>
      <c r="G212" t="n">
        <v>4.6</v>
      </c>
      <c r="H212" t="n">
        <v>0</v>
      </c>
      <c r="I212" t="n">
        <v>0</v>
      </c>
      <c r="J212" t="n">
        <v>0</v>
      </c>
      <c r="K212" t="n">
        <v>0</v>
      </c>
      <c r="L212" t="n">
        <v>0</v>
      </c>
      <c r="M212" t="n">
        <v>0</v>
      </c>
      <c r="N212" t="n">
        <v>0</v>
      </c>
      <c r="O212" t="n">
        <v>0</v>
      </c>
      <c r="P212" t="n">
        <v>0</v>
      </c>
      <c r="Q212" t="n">
        <v>0</v>
      </c>
      <c r="R212" s="2" t="inlineStr"/>
    </row>
    <row r="213" ht="15" customHeight="1">
      <c r="A213" t="inlineStr">
        <is>
          <t>A 32852-2020</t>
        </is>
      </c>
      <c r="B213" s="1" t="n">
        <v>44018</v>
      </c>
      <c r="C213" s="1" t="n">
        <v>45783</v>
      </c>
      <c r="D213" t="inlineStr">
        <is>
          <t>VÄSTERNORRLANDS LÄN</t>
        </is>
      </c>
      <c r="E213" t="inlineStr">
        <is>
          <t>KRAMFORS</t>
        </is>
      </c>
      <c r="G213" t="n">
        <v>1.3</v>
      </c>
      <c r="H213" t="n">
        <v>0</v>
      </c>
      <c r="I213" t="n">
        <v>0</v>
      </c>
      <c r="J213" t="n">
        <v>0</v>
      </c>
      <c r="K213" t="n">
        <v>0</v>
      </c>
      <c r="L213" t="n">
        <v>0</v>
      </c>
      <c r="M213" t="n">
        <v>0</v>
      </c>
      <c r="N213" t="n">
        <v>0</v>
      </c>
      <c r="O213" t="n">
        <v>0</v>
      </c>
      <c r="P213" t="n">
        <v>0</v>
      </c>
      <c r="Q213" t="n">
        <v>0</v>
      </c>
      <c r="R213" s="2" t="inlineStr"/>
    </row>
    <row r="214" ht="15" customHeight="1">
      <c r="A214" t="inlineStr">
        <is>
          <t>A 32772-2020</t>
        </is>
      </c>
      <c r="B214" s="1" t="n">
        <v>44019</v>
      </c>
      <c r="C214" s="1" t="n">
        <v>45783</v>
      </c>
      <c r="D214" t="inlineStr">
        <is>
          <t>VÄSTERNORRLANDS LÄN</t>
        </is>
      </c>
      <c r="E214" t="inlineStr">
        <is>
          <t>KRAMFORS</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32774-2020</t>
        </is>
      </c>
      <c r="B215" s="1" t="n">
        <v>44019</v>
      </c>
      <c r="C215" s="1" t="n">
        <v>45783</v>
      </c>
      <c r="D215" t="inlineStr">
        <is>
          <t>VÄSTERNORRLANDS LÄN</t>
        </is>
      </c>
      <c r="E215" t="inlineStr">
        <is>
          <t>KRAMFORS</t>
        </is>
      </c>
      <c r="G215" t="n">
        <v>4.2</v>
      </c>
      <c r="H215" t="n">
        <v>0</v>
      </c>
      <c r="I215" t="n">
        <v>0</v>
      </c>
      <c r="J215" t="n">
        <v>0</v>
      </c>
      <c r="K215" t="n">
        <v>0</v>
      </c>
      <c r="L215" t="n">
        <v>0</v>
      </c>
      <c r="M215" t="n">
        <v>0</v>
      </c>
      <c r="N215" t="n">
        <v>0</v>
      </c>
      <c r="O215" t="n">
        <v>0</v>
      </c>
      <c r="P215" t="n">
        <v>0</v>
      </c>
      <c r="Q215" t="n">
        <v>0</v>
      </c>
      <c r="R215" s="2" t="inlineStr"/>
    </row>
    <row r="216" ht="15" customHeight="1">
      <c r="A216" t="inlineStr">
        <is>
          <t>A 33929-2020</t>
        </is>
      </c>
      <c r="B216" s="1" t="n">
        <v>44027</v>
      </c>
      <c r="C216" s="1" t="n">
        <v>45783</v>
      </c>
      <c r="D216" t="inlineStr">
        <is>
          <t>VÄSTERNORRLANDS LÄN</t>
        </is>
      </c>
      <c r="E216" t="inlineStr">
        <is>
          <t>KRAMFORS</t>
        </is>
      </c>
      <c r="G216" t="n">
        <v>2.7</v>
      </c>
      <c r="H216" t="n">
        <v>0</v>
      </c>
      <c r="I216" t="n">
        <v>0</v>
      </c>
      <c r="J216" t="n">
        <v>0</v>
      </c>
      <c r="K216" t="n">
        <v>0</v>
      </c>
      <c r="L216" t="n">
        <v>0</v>
      </c>
      <c r="M216" t="n">
        <v>0</v>
      </c>
      <c r="N216" t="n">
        <v>0</v>
      </c>
      <c r="O216" t="n">
        <v>0</v>
      </c>
      <c r="P216" t="n">
        <v>0</v>
      </c>
      <c r="Q216" t="n">
        <v>0</v>
      </c>
      <c r="R216" s="2" t="inlineStr"/>
    </row>
    <row r="217" ht="15" customHeight="1">
      <c r="A217" t="inlineStr">
        <is>
          <t>A 34352-2020</t>
        </is>
      </c>
      <c r="B217" s="1" t="n">
        <v>44028</v>
      </c>
      <c r="C217" s="1" t="n">
        <v>45783</v>
      </c>
      <c r="D217" t="inlineStr">
        <is>
          <t>VÄSTERNORRLANDS LÄN</t>
        </is>
      </c>
      <c r="E217" t="inlineStr">
        <is>
          <t>KRAMFORS</t>
        </is>
      </c>
      <c r="G217" t="n">
        <v>1.6</v>
      </c>
      <c r="H217" t="n">
        <v>0</v>
      </c>
      <c r="I217" t="n">
        <v>0</v>
      </c>
      <c r="J217" t="n">
        <v>0</v>
      </c>
      <c r="K217" t="n">
        <v>0</v>
      </c>
      <c r="L217" t="n">
        <v>0</v>
      </c>
      <c r="M217" t="n">
        <v>0</v>
      </c>
      <c r="N217" t="n">
        <v>0</v>
      </c>
      <c r="O217" t="n">
        <v>0</v>
      </c>
      <c r="P217" t="n">
        <v>0</v>
      </c>
      <c r="Q217" t="n">
        <v>0</v>
      </c>
      <c r="R217" s="2" t="inlineStr"/>
    </row>
    <row r="218" ht="15" customHeight="1">
      <c r="A218" t="inlineStr">
        <is>
          <t>A 35527-2020</t>
        </is>
      </c>
      <c r="B218" s="1" t="n">
        <v>44043</v>
      </c>
      <c r="C218" s="1" t="n">
        <v>45783</v>
      </c>
      <c r="D218" t="inlineStr">
        <is>
          <t>VÄSTERNORRLANDS LÄN</t>
        </is>
      </c>
      <c r="E218" t="inlineStr">
        <is>
          <t>KRAMFORS</t>
        </is>
      </c>
      <c r="G218" t="n">
        <v>0.7</v>
      </c>
      <c r="H218" t="n">
        <v>0</v>
      </c>
      <c r="I218" t="n">
        <v>0</v>
      </c>
      <c r="J218" t="n">
        <v>0</v>
      </c>
      <c r="K218" t="n">
        <v>0</v>
      </c>
      <c r="L218" t="n">
        <v>0</v>
      </c>
      <c r="M218" t="n">
        <v>0</v>
      </c>
      <c r="N218" t="n">
        <v>0</v>
      </c>
      <c r="O218" t="n">
        <v>0</v>
      </c>
      <c r="P218" t="n">
        <v>0</v>
      </c>
      <c r="Q218" t="n">
        <v>0</v>
      </c>
      <c r="R218" s="2" t="inlineStr"/>
    </row>
    <row r="219" ht="15" customHeight="1">
      <c r="A219" t="inlineStr">
        <is>
          <t>A 35526-2020</t>
        </is>
      </c>
      <c r="B219" s="1" t="n">
        <v>44043</v>
      </c>
      <c r="C219" s="1" t="n">
        <v>45783</v>
      </c>
      <c r="D219" t="inlineStr">
        <is>
          <t>VÄSTERNORRLANDS LÄN</t>
        </is>
      </c>
      <c r="E219" t="inlineStr">
        <is>
          <t>KRAMFORS</t>
        </is>
      </c>
      <c r="G219" t="n">
        <v>0.9</v>
      </c>
      <c r="H219" t="n">
        <v>0</v>
      </c>
      <c r="I219" t="n">
        <v>0</v>
      </c>
      <c r="J219" t="n">
        <v>0</v>
      </c>
      <c r="K219" t="n">
        <v>0</v>
      </c>
      <c r="L219" t="n">
        <v>0</v>
      </c>
      <c r="M219" t="n">
        <v>0</v>
      </c>
      <c r="N219" t="n">
        <v>0</v>
      </c>
      <c r="O219" t="n">
        <v>0</v>
      </c>
      <c r="P219" t="n">
        <v>0</v>
      </c>
      <c r="Q219" t="n">
        <v>0</v>
      </c>
      <c r="R219" s="2" t="inlineStr"/>
    </row>
    <row r="220" ht="15" customHeight="1">
      <c r="A220" t="inlineStr">
        <is>
          <t>A 35720-2020</t>
        </is>
      </c>
      <c r="B220" s="1" t="n">
        <v>44046</v>
      </c>
      <c r="C220" s="1" t="n">
        <v>45783</v>
      </c>
      <c r="D220" t="inlineStr">
        <is>
          <t>VÄSTERNORRLANDS LÄN</t>
        </is>
      </c>
      <c r="E220" t="inlineStr">
        <is>
          <t>KRAMFORS</t>
        </is>
      </c>
      <c r="G220" t="n">
        <v>3.1</v>
      </c>
      <c r="H220" t="n">
        <v>0</v>
      </c>
      <c r="I220" t="n">
        <v>0</v>
      </c>
      <c r="J220" t="n">
        <v>0</v>
      </c>
      <c r="K220" t="n">
        <v>0</v>
      </c>
      <c r="L220" t="n">
        <v>0</v>
      </c>
      <c r="M220" t="n">
        <v>0</v>
      </c>
      <c r="N220" t="n">
        <v>0</v>
      </c>
      <c r="O220" t="n">
        <v>0</v>
      </c>
      <c r="P220" t="n">
        <v>0</v>
      </c>
      <c r="Q220" t="n">
        <v>0</v>
      </c>
      <c r="R220" s="2" t="inlineStr"/>
    </row>
    <row r="221" ht="15" customHeight="1">
      <c r="A221" t="inlineStr">
        <is>
          <t>A 36013-2020</t>
        </is>
      </c>
      <c r="B221" s="1" t="n">
        <v>44047</v>
      </c>
      <c r="C221" s="1" t="n">
        <v>45783</v>
      </c>
      <c r="D221" t="inlineStr">
        <is>
          <t>VÄSTERNORRLANDS LÄN</t>
        </is>
      </c>
      <c r="E221" t="inlineStr">
        <is>
          <t>KRAMFORS</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37188-2020</t>
        </is>
      </c>
      <c r="B222" s="1" t="n">
        <v>44054</v>
      </c>
      <c r="C222" s="1" t="n">
        <v>45783</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37228-2020</t>
        </is>
      </c>
      <c r="B223" s="1" t="n">
        <v>44054</v>
      </c>
      <c r="C223" s="1" t="n">
        <v>45783</v>
      </c>
      <c r="D223" t="inlineStr">
        <is>
          <t>VÄSTERNORRLANDS LÄN</t>
        </is>
      </c>
      <c r="E223" t="inlineStr">
        <is>
          <t>KRAMFORS</t>
        </is>
      </c>
      <c r="F223" t="inlineStr">
        <is>
          <t>SCA</t>
        </is>
      </c>
      <c r="G223" t="n">
        <v>26.3</v>
      </c>
      <c r="H223" t="n">
        <v>0</v>
      </c>
      <c r="I223" t="n">
        <v>0</v>
      </c>
      <c r="J223" t="n">
        <v>0</v>
      </c>
      <c r="K223" t="n">
        <v>0</v>
      </c>
      <c r="L223" t="n">
        <v>0</v>
      </c>
      <c r="M223" t="n">
        <v>0</v>
      </c>
      <c r="N223" t="n">
        <v>0</v>
      </c>
      <c r="O223" t="n">
        <v>0</v>
      </c>
      <c r="P223" t="n">
        <v>0</v>
      </c>
      <c r="Q223" t="n">
        <v>0</v>
      </c>
      <c r="R223" s="2" t="inlineStr"/>
    </row>
    <row r="224" ht="15" customHeight="1">
      <c r="A224" t="inlineStr">
        <is>
          <t>A 37903-2020</t>
        </is>
      </c>
      <c r="B224" s="1" t="n">
        <v>44057</v>
      </c>
      <c r="C224" s="1" t="n">
        <v>45783</v>
      </c>
      <c r="D224" t="inlineStr">
        <is>
          <t>VÄSTERNORRLANDS LÄN</t>
        </is>
      </c>
      <c r="E224" t="inlineStr">
        <is>
          <t>KRAMFORS</t>
        </is>
      </c>
      <c r="G224" t="n">
        <v>0.3</v>
      </c>
      <c r="H224" t="n">
        <v>0</v>
      </c>
      <c r="I224" t="n">
        <v>0</v>
      </c>
      <c r="J224" t="n">
        <v>0</v>
      </c>
      <c r="K224" t="n">
        <v>0</v>
      </c>
      <c r="L224" t="n">
        <v>0</v>
      </c>
      <c r="M224" t="n">
        <v>0</v>
      </c>
      <c r="N224" t="n">
        <v>0</v>
      </c>
      <c r="O224" t="n">
        <v>0</v>
      </c>
      <c r="P224" t="n">
        <v>0</v>
      </c>
      <c r="Q224" t="n">
        <v>0</v>
      </c>
      <c r="R224" s="2" t="inlineStr"/>
    </row>
    <row r="225" ht="15" customHeight="1">
      <c r="A225" t="inlineStr">
        <is>
          <t>A 37904-2020</t>
        </is>
      </c>
      <c r="B225" s="1" t="n">
        <v>44057</v>
      </c>
      <c r="C225" s="1" t="n">
        <v>45783</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37905-2020</t>
        </is>
      </c>
      <c r="B226" s="1" t="n">
        <v>44057</v>
      </c>
      <c r="C226" s="1" t="n">
        <v>45783</v>
      </c>
      <c r="D226" t="inlineStr">
        <is>
          <t>VÄSTERNORRLANDS LÄN</t>
        </is>
      </c>
      <c r="E226" t="inlineStr">
        <is>
          <t>KRAMFORS</t>
        </is>
      </c>
      <c r="G226" t="n">
        <v>0.2</v>
      </c>
      <c r="H226" t="n">
        <v>0</v>
      </c>
      <c r="I226" t="n">
        <v>0</v>
      </c>
      <c r="J226" t="n">
        <v>0</v>
      </c>
      <c r="K226" t="n">
        <v>0</v>
      </c>
      <c r="L226" t="n">
        <v>0</v>
      </c>
      <c r="M226" t="n">
        <v>0</v>
      </c>
      <c r="N226" t="n">
        <v>0</v>
      </c>
      <c r="O226" t="n">
        <v>0</v>
      </c>
      <c r="P226" t="n">
        <v>0</v>
      </c>
      <c r="Q226" t="n">
        <v>0</v>
      </c>
      <c r="R226" s="2" t="inlineStr"/>
    </row>
    <row r="227" ht="15" customHeight="1">
      <c r="A227" t="inlineStr">
        <is>
          <t>A 38469-2020</t>
        </is>
      </c>
      <c r="B227" s="1" t="n">
        <v>44060</v>
      </c>
      <c r="C227" s="1" t="n">
        <v>45783</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41066-2020</t>
        </is>
      </c>
      <c r="B228" s="1" t="n">
        <v>44071</v>
      </c>
      <c r="C228" s="1" t="n">
        <v>45783</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45025-2020</t>
        </is>
      </c>
      <c r="B229" s="1" t="n">
        <v>44088</v>
      </c>
      <c r="C229" s="1" t="n">
        <v>45783</v>
      </c>
      <c r="D229" t="inlineStr">
        <is>
          <t>VÄSTERNORRLANDS LÄN</t>
        </is>
      </c>
      <c r="E229" t="inlineStr">
        <is>
          <t>KRAMFORS</t>
        </is>
      </c>
      <c r="G229" t="n">
        <v>1.5</v>
      </c>
      <c r="H229" t="n">
        <v>0</v>
      </c>
      <c r="I229" t="n">
        <v>0</v>
      </c>
      <c r="J229" t="n">
        <v>0</v>
      </c>
      <c r="K229" t="n">
        <v>0</v>
      </c>
      <c r="L229" t="n">
        <v>0</v>
      </c>
      <c r="M229" t="n">
        <v>0</v>
      </c>
      <c r="N229" t="n">
        <v>0</v>
      </c>
      <c r="O229" t="n">
        <v>0</v>
      </c>
      <c r="P229" t="n">
        <v>0</v>
      </c>
      <c r="Q229" t="n">
        <v>0</v>
      </c>
      <c r="R229" s="2" t="inlineStr"/>
    </row>
    <row r="230" ht="15" customHeight="1">
      <c r="A230" t="inlineStr">
        <is>
          <t>A 45545-2020</t>
        </is>
      </c>
      <c r="B230" s="1" t="n">
        <v>44089</v>
      </c>
      <c r="C230" s="1" t="n">
        <v>45783</v>
      </c>
      <c r="D230" t="inlineStr">
        <is>
          <t>VÄSTERNORRLANDS LÄN</t>
        </is>
      </c>
      <c r="E230" t="inlineStr">
        <is>
          <t>KRAMFORS</t>
        </is>
      </c>
      <c r="G230" t="n">
        <v>5.9</v>
      </c>
      <c r="H230" t="n">
        <v>0</v>
      </c>
      <c r="I230" t="n">
        <v>0</v>
      </c>
      <c r="J230" t="n">
        <v>0</v>
      </c>
      <c r="K230" t="n">
        <v>0</v>
      </c>
      <c r="L230" t="n">
        <v>0</v>
      </c>
      <c r="M230" t="n">
        <v>0</v>
      </c>
      <c r="N230" t="n">
        <v>0</v>
      </c>
      <c r="O230" t="n">
        <v>0</v>
      </c>
      <c r="P230" t="n">
        <v>0</v>
      </c>
      <c r="Q230" t="n">
        <v>0</v>
      </c>
      <c r="R230" s="2" t="inlineStr"/>
    </row>
    <row r="231" ht="15" customHeight="1">
      <c r="A231" t="inlineStr">
        <is>
          <t>A 45544-2020</t>
        </is>
      </c>
      <c r="B231" s="1" t="n">
        <v>44090</v>
      </c>
      <c r="C231" s="1" t="n">
        <v>45783</v>
      </c>
      <c r="D231" t="inlineStr">
        <is>
          <t>VÄSTERNORRLANDS LÄN</t>
        </is>
      </c>
      <c r="E231" t="inlineStr">
        <is>
          <t>KRAMFORS</t>
        </is>
      </c>
      <c r="G231" t="n">
        <v>0.8</v>
      </c>
      <c r="H231" t="n">
        <v>0</v>
      </c>
      <c r="I231" t="n">
        <v>0</v>
      </c>
      <c r="J231" t="n">
        <v>0</v>
      </c>
      <c r="K231" t="n">
        <v>0</v>
      </c>
      <c r="L231" t="n">
        <v>0</v>
      </c>
      <c r="M231" t="n">
        <v>0</v>
      </c>
      <c r="N231" t="n">
        <v>0</v>
      </c>
      <c r="O231" t="n">
        <v>0</v>
      </c>
      <c r="P231" t="n">
        <v>0</v>
      </c>
      <c r="Q231" t="n">
        <v>0</v>
      </c>
      <c r="R231" s="2" t="inlineStr"/>
    </row>
    <row r="232" ht="15" customHeight="1">
      <c r="A232" t="inlineStr">
        <is>
          <t>A 46672-2020</t>
        </is>
      </c>
      <c r="B232" s="1" t="n">
        <v>44089</v>
      </c>
      <c r="C232" s="1" t="n">
        <v>45783</v>
      </c>
      <c r="D232" t="inlineStr">
        <is>
          <t>VÄSTERNORRLANDS LÄN</t>
        </is>
      </c>
      <c r="E232" t="inlineStr">
        <is>
          <t>KRAMFORS</t>
        </is>
      </c>
      <c r="G232" t="n">
        <v>1.7</v>
      </c>
      <c r="H232" t="n">
        <v>0</v>
      </c>
      <c r="I232" t="n">
        <v>0</v>
      </c>
      <c r="J232" t="n">
        <v>0</v>
      </c>
      <c r="K232" t="n">
        <v>0</v>
      </c>
      <c r="L232" t="n">
        <v>0</v>
      </c>
      <c r="M232" t="n">
        <v>0</v>
      </c>
      <c r="N232" t="n">
        <v>0</v>
      </c>
      <c r="O232" t="n">
        <v>0</v>
      </c>
      <c r="P232" t="n">
        <v>0</v>
      </c>
      <c r="Q232" t="n">
        <v>0</v>
      </c>
      <c r="R232" s="2" t="inlineStr"/>
    </row>
    <row r="233" ht="15" customHeight="1">
      <c r="A233" t="inlineStr">
        <is>
          <t>A 45649-2020</t>
        </is>
      </c>
      <c r="B233" s="1" t="n">
        <v>44090</v>
      </c>
      <c r="C233" s="1" t="n">
        <v>45783</v>
      </c>
      <c r="D233" t="inlineStr">
        <is>
          <t>VÄSTERNORRLANDS LÄN</t>
        </is>
      </c>
      <c r="E233" t="inlineStr">
        <is>
          <t>KRAMFORS</t>
        </is>
      </c>
      <c r="G233" t="n">
        <v>1.8</v>
      </c>
      <c r="H233" t="n">
        <v>0</v>
      </c>
      <c r="I233" t="n">
        <v>0</v>
      </c>
      <c r="J233" t="n">
        <v>0</v>
      </c>
      <c r="K233" t="n">
        <v>0</v>
      </c>
      <c r="L233" t="n">
        <v>0</v>
      </c>
      <c r="M233" t="n">
        <v>0</v>
      </c>
      <c r="N233" t="n">
        <v>0</v>
      </c>
      <c r="O233" t="n">
        <v>0</v>
      </c>
      <c r="P233" t="n">
        <v>0</v>
      </c>
      <c r="Q233" t="n">
        <v>0</v>
      </c>
      <c r="R233" s="2" t="inlineStr"/>
    </row>
    <row r="234" ht="15" customHeight="1">
      <c r="A234" t="inlineStr">
        <is>
          <t>A 46048-2020</t>
        </is>
      </c>
      <c r="B234" s="1" t="n">
        <v>44091</v>
      </c>
      <c r="C234" s="1" t="n">
        <v>45783</v>
      </c>
      <c r="D234" t="inlineStr">
        <is>
          <t>VÄSTERNORRLANDS LÄN</t>
        </is>
      </c>
      <c r="E234" t="inlineStr">
        <is>
          <t>KRAMFORS</t>
        </is>
      </c>
      <c r="G234" t="n">
        <v>2.3</v>
      </c>
      <c r="H234" t="n">
        <v>0</v>
      </c>
      <c r="I234" t="n">
        <v>0</v>
      </c>
      <c r="J234" t="n">
        <v>0</v>
      </c>
      <c r="K234" t="n">
        <v>0</v>
      </c>
      <c r="L234" t="n">
        <v>0</v>
      </c>
      <c r="M234" t="n">
        <v>0</v>
      </c>
      <c r="N234" t="n">
        <v>0</v>
      </c>
      <c r="O234" t="n">
        <v>0</v>
      </c>
      <c r="P234" t="n">
        <v>0</v>
      </c>
      <c r="Q234" t="n">
        <v>0</v>
      </c>
      <c r="R234" s="2" t="inlineStr"/>
    </row>
    <row r="235" ht="15" customHeight="1">
      <c r="A235" t="inlineStr">
        <is>
          <t>A 47351-2020</t>
        </is>
      </c>
      <c r="B235" s="1" t="n">
        <v>44095</v>
      </c>
      <c r="C235" s="1" t="n">
        <v>45783</v>
      </c>
      <c r="D235" t="inlineStr">
        <is>
          <t>VÄSTERNORRLANDS LÄN</t>
        </is>
      </c>
      <c r="E235" t="inlineStr">
        <is>
          <t>KRAMFORS</t>
        </is>
      </c>
      <c r="G235" t="n">
        <v>2</v>
      </c>
      <c r="H235" t="n">
        <v>0</v>
      </c>
      <c r="I235" t="n">
        <v>0</v>
      </c>
      <c r="J235" t="n">
        <v>0</v>
      </c>
      <c r="K235" t="n">
        <v>0</v>
      </c>
      <c r="L235" t="n">
        <v>0</v>
      </c>
      <c r="M235" t="n">
        <v>0</v>
      </c>
      <c r="N235" t="n">
        <v>0</v>
      </c>
      <c r="O235" t="n">
        <v>0</v>
      </c>
      <c r="P235" t="n">
        <v>0</v>
      </c>
      <c r="Q235" t="n">
        <v>0</v>
      </c>
      <c r="R235" s="2" t="inlineStr"/>
    </row>
    <row r="236" ht="15" customHeight="1">
      <c r="A236" t="inlineStr">
        <is>
          <t>A 47875-2020</t>
        </is>
      </c>
      <c r="B236" s="1" t="n">
        <v>44096</v>
      </c>
      <c r="C236" s="1" t="n">
        <v>45783</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47874-2020</t>
        </is>
      </c>
      <c r="B237" s="1" t="n">
        <v>44096</v>
      </c>
      <c r="C237" s="1" t="n">
        <v>45783</v>
      </c>
      <c r="D237" t="inlineStr">
        <is>
          <t>VÄSTERNORRLANDS LÄN</t>
        </is>
      </c>
      <c r="E237" t="inlineStr">
        <is>
          <t>KRAMFORS</t>
        </is>
      </c>
      <c r="G237" t="n">
        <v>6.6</v>
      </c>
      <c r="H237" t="n">
        <v>0</v>
      </c>
      <c r="I237" t="n">
        <v>0</v>
      </c>
      <c r="J237" t="n">
        <v>0</v>
      </c>
      <c r="K237" t="n">
        <v>0</v>
      </c>
      <c r="L237" t="n">
        <v>0</v>
      </c>
      <c r="M237" t="n">
        <v>0</v>
      </c>
      <c r="N237" t="n">
        <v>0</v>
      </c>
      <c r="O237" t="n">
        <v>0</v>
      </c>
      <c r="P237" t="n">
        <v>0</v>
      </c>
      <c r="Q237" t="n">
        <v>0</v>
      </c>
      <c r="R237" s="2" t="inlineStr"/>
    </row>
    <row r="238" ht="15" customHeight="1">
      <c r="A238" t="inlineStr">
        <is>
          <t>A 50281-2020</t>
        </is>
      </c>
      <c r="B238" s="1" t="n">
        <v>44109</v>
      </c>
      <c r="C238" s="1" t="n">
        <v>45783</v>
      </c>
      <c r="D238" t="inlineStr">
        <is>
          <t>VÄSTERNORRLANDS LÄN</t>
        </is>
      </c>
      <c r="E238" t="inlineStr">
        <is>
          <t>KRAMFORS</t>
        </is>
      </c>
      <c r="G238" t="n">
        <v>5.5</v>
      </c>
      <c r="H238" t="n">
        <v>0</v>
      </c>
      <c r="I238" t="n">
        <v>0</v>
      </c>
      <c r="J238" t="n">
        <v>0</v>
      </c>
      <c r="K238" t="n">
        <v>0</v>
      </c>
      <c r="L238" t="n">
        <v>0</v>
      </c>
      <c r="M238" t="n">
        <v>0</v>
      </c>
      <c r="N238" t="n">
        <v>0</v>
      </c>
      <c r="O238" t="n">
        <v>0</v>
      </c>
      <c r="P238" t="n">
        <v>0</v>
      </c>
      <c r="Q238" t="n">
        <v>0</v>
      </c>
      <c r="R238" s="2" t="inlineStr"/>
    </row>
    <row r="239" ht="15" customHeight="1">
      <c r="A239" t="inlineStr">
        <is>
          <t>A 50248-2020</t>
        </is>
      </c>
      <c r="B239" s="1" t="n">
        <v>44109</v>
      </c>
      <c r="C239" s="1" t="n">
        <v>45783</v>
      </c>
      <c r="D239" t="inlineStr">
        <is>
          <t>VÄSTERNORRLANDS LÄN</t>
        </is>
      </c>
      <c r="E239" t="inlineStr">
        <is>
          <t>KRAMFORS</t>
        </is>
      </c>
      <c r="F239" t="inlineStr">
        <is>
          <t>Kommuner</t>
        </is>
      </c>
      <c r="G239" t="n">
        <v>2.3</v>
      </c>
      <c r="H239" t="n">
        <v>0</v>
      </c>
      <c r="I239" t="n">
        <v>0</v>
      </c>
      <c r="J239" t="n">
        <v>0</v>
      </c>
      <c r="K239" t="n">
        <v>0</v>
      </c>
      <c r="L239" t="n">
        <v>0</v>
      </c>
      <c r="M239" t="n">
        <v>0</v>
      </c>
      <c r="N239" t="n">
        <v>0</v>
      </c>
      <c r="O239" t="n">
        <v>0</v>
      </c>
      <c r="P239" t="n">
        <v>0</v>
      </c>
      <c r="Q239" t="n">
        <v>0</v>
      </c>
      <c r="R239" s="2" t="inlineStr"/>
    </row>
    <row r="240" ht="15" customHeight="1">
      <c r="A240" t="inlineStr">
        <is>
          <t>A 50280-2020</t>
        </is>
      </c>
      <c r="B240" s="1" t="n">
        <v>44109</v>
      </c>
      <c r="C240" s="1" t="n">
        <v>45783</v>
      </c>
      <c r="D240" t="inlineStr">
        <is>
          <t>VÄSTERNORRLANDS LÄN</t>
        </is>
      </c>
      <c r="E240" t="inlineStr">
        <is>
          <t>KRAMFORS</t>
        </is>
      </c>
      <c r="G240" t="n">
        <v>5.6</v>
      </c>
      <c r="H240" t="n">
        <v>0</v>
      </c>
      <c r="I240" t="n">
        <v>0</v>
      </c>
      <c r="J240" t="n">
        <v>0</v>
      </c>
      <c r="K240" t="n">
        <v>0</v>
      </c>
      <c r="L240" t="n">
        <v>0</v>
      </c>
      <c r="M240" t="n">
        <v>0</v>
      </c>
      <c r="N240" t="n">
        <v>0</v>
      </c>
      <c r="O240" t="n">
        <v>0</v>
      </c>
      <c r="P240" t="n">
        <v>0</v>
      </c>
      <c r="Q240" t="n">
        <v>0</v>
      </c>
      <c r="R240" s="2" t="inlineStr"/>
    </row>
    <row r="241" ht="15" customHeight="1">
      <c r="A241" t="inlineStr">
        <is>
          <t>A 51947-2020</t>
        </is>
      </c>
      <c r="B241" s="1" t="n">
        <v>44109</v>
      </c>
      <c r="C241" s="1" t="n">
        <v>45783</v>
      </c>
      <c r="D241" t="inlineStr">
        <is>
          <t>VÄSTERNORRLANDS LÄN</t>
        </is>
      </c>
      <c r="E241" t="inlineStr">
        <is>
          <t>KRAMFORS</t>
        </is>
      </c>
      <c r="G241" t="n">
        <v>1.7</v>
      </c>
      <c r="H241" t="n">
        <v>0</v>
      </c>
      <c r="I241" t="n">
        <v>0</v>
      </c>
      <c r="J241" t="n">
        <v>0</v>
      </c>
      <c r="K241" t="n">
        <v>0</v>
      </c>
      <c r="L241" t="n">
        <v>0</v>
      </c>
      <c r="M241" t="n">
        <v>0</v>
      </c>
      <c r="N241" t="n">
        <v>0</v>
      </c>
      <c r="O241" t="n">
        <v>0</v>
      </c>
      <c r="P241" t="n">
        <v>0</v>
      </c>
      <c r="Q241" t="n">
        <v>0</v>
      </c>
      <c r="R241" s="2" t="inlineStr"/>
    </row>
    <row r="242" ht="15" customHeight="1">
      <c r="A242" t="inlineStr">
        <is>
          <t>A 51926-2020</t>
        </is>
      </c>
      <c r="B242" s="1" t="n">
        <v>44109</v>
      </c>
      <c r="C242" s="1" t="n">
        <v>45783</v>
      </c>
      <c r="D242" t="inlineStr">
        <is>
          <t>VÄSTERNORRLANDS LÄN</t>
        </is>
      </c>
      <c r="E242" t="inlineStr">
        <is>
          <t>KRAMFORS</t>
        </is>
      </c>
      <c r="G242" t="n">
        <v>4.1</v>
      </c>
      <c r="H242" t="n">
        <v>0</v>
      </c>
      <c r="I242" t="n">
        <v>0</v>
      </c>
      <c r="J242" t="n">
        <v>0</v>
      </c>
      <c r="K242" t="n">
        <v>0</v>
      </c>
      <c r="L242" t="n">
        <v>0</v>
      </c>
      <c r="M242" t="n">
        <v>0</v>
      </c>
      <c r="N242" t="n">
        <v>0</v>
      </c>
      <c r="O242" t="n">
        <v>0</v>
      </c>
      <c r="P242" t="n">
        <v>0</v>
      </c>
      <c r="Q242" t="n">
        <v>0</v>
      </c>
      <c r="R242" s="2" t="inlineStr"/>
    </row>
    <row r="243" ht="15" customHeight="1">
      <c r="A243" t="inlineStr">
        <is>
          <t>A 52951-2020</t>
        </is>
      </c>
      <c r="B243" s="1" t="n">
        <v>44119</v>
      </c>
      <c r="C243" s="1" t="n">
        <v>45783</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52959-2020</t>
        </is>
      </c>
      <c r="B244" s="1" t="n">
        <v>44119</v>
      </c>
      <c r="C244" s="1" t="n">
        <v>45783</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54188-2020</t>
        </is>
      </c>
      <c r="B245" s="1" t="n">
        <v>44125</v>
      </c>
      <c r="C245" s="1" t="n">
        <v>45783</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54189-2020</t>
        </is>
      </c>
      <c r="B246" s="1" t="n">
        <v>44125</v>
      </c>
      <c r="C246" s="1" t="n">
        <v>45783</v>
      </c>
      <c r="D246" t="inlineStr">
        <is>
          <t>VÄSTERNORRLANDS LÄN</t>
        </is>
      </c>
      <c r="E246" t="inlineStr">
        <is>
          <t>KRAMFORS</t>
        </is>
      </c>
      <c r="G246" t="n">
        <v>0.8</v>
      </c>
      <c r="H246" t="n">
        <v>0</v>
      </c>
      <c r="I246" t="n">
        <v>0</v>
      </c>
      <c r="J246" t="n">
        <v>0</v>
      </c>
      <c r="K246" t="n">
        <v>0</v>
      </c>
      <c r="L246" t="n">
        <v>0</v>
      </c>
      <c r="M246" t="n">
        <v>0</v>
      </c>
      <c r="N246" t="n">
        <v>0</v>
      </c>
      <c r="O246" t="n">
        <v>0</v>
      </c>
      <c r="P246" t="n">
        <v>0</v>
      </c>
      <c r="Q246" t="n">
        <v>0</v>
      </c>
      <c r="R246" s="2" t="inlineStr"/>
    </row>
    <row r="247" ht="15" customHeight="1">
      <c r="A247" t="inlineStr">
        <is>
          <t>A 55828-2020</t>
        </is>
      </c>
      <c r="B247" s="1" t="n">
        <v>44132</v>
      </c>
      <c r="C247" s="1" t="n">
        <v>45783</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55832-2020</t>
        </is>
      </c>
      <c r="B248" s="1" t="n">
        <v>44132</v>
      </c>
      <c r="C248" s="1" t="n">
        <v>45783</v>
      </c>
      <c r="D248" t="inlineStr">
        <is>
          <t>VÄSTERNORRLANDS LÄN</t>
        </is>
      </c>
      <c r="E248" t="inlineStr">
        <is>
          <t>KRAMFORS</t>
        </is>
      </c>
      <c r="G248" t="n">
        <v>0.3</v>
      </c>
      <c r="H248" t="n">
        <v>0</v>
      </c>
      <c r="I248" t="n">
        <v>0</v>
      </c>
      <c r="J248" t="n">
        <v>0</v>
      </c>
      <c r="K248" t="n">
        <v>0</v>
      </c>
      <c r="L248" t="n">
        <v>0</v>
      </c>
      <c r="M248" t="n">
        <v>0</v>
      </c>
      <c r="N248" t="n">
        <v>0</v>
      </c>
      <c r="O248" t="n">
        <v>0</v>
      </c>
      <c r="P248" t="n">
        <v>0</v>
      </c>
      <c r="Q248" t="n">
        <v>0</v>
      </c>
      <c r="R248" s="2" t="inlineStr"/>
    </row>
    <row r="249" ht="15" customHeight="1">
      <c r="A249" t="inlineStr">
        <is>
          <t>A 56558-2020</t>
        </is>
      </c>
      <c r="B249" s="1" t="n">
        <v>44137</v>
      </c>
      <c r="C249" s="1" t="n">
        <v>45783</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59044-2020</t>
        </is>
      </c>
      <c r="B250" s="1" t="n">
        <v>44147</v>
      </c>
      <c r="C250" s="1" t="n">
        <v>45783</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59043-2020</t>
        </is>
      </c>
      <c r="B251" s="1" t="n">
        <v>44147</v>
      </c>
      <c r="C251" s="1" t="n">
        <v>45783</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61044-2020</t>
        </is>
      </c>
      <c r="B252" s="1" t="n">
        <v>44154</v>
      </c>
      <c r="C252" s="1" t="n">
        <v>45783</v>
      </c>
      <c r="D252" t="inlineStr">
        <is>
          <t>VÄSTERNORRLANDS LÄN</t>
        </is>
      </c>
      <c r="E252" t="inlineStr">
        <is>
          <t>KRAMFORS</t>
        </is>
      </c>
      <c r="G252" t="n">
        <v>5.3</v>
      </c>
      <c r="H252" t="n">
        <v>0</v>
      </c>
      <c r="I252" t="n">
        <v>0</v>
      </c>
      <c r="J252" t="n">
        <v>0</v>
      </c>
      <c r="K252" t="n">
        <v>0</v>
      </c>
      <c r="L252" t="n">
        <v>0</v>
      </c>
      <c r="M252" t="n">
        <v>0</v>
      </c>
      <c r="N252" t="n">
        <v>0</v>
      </c>
      <c r="O252" t="n">
        <v>0</v>
      </c>
      <c r="P252" t="n">
        <v>0</v>
      </c>
      <c r="Q252" t="n">
        <v>0</v>
      </c>
      <c r="R252" s="2" t="inlineStr"/>
    </row>
    <row r="253" ht="15" customHeight="1">
      <c r="A253" t="inlineStr">
        <is>
          <t>A 61051-2020</t>
        </is>
      </c>
      <c r="B253" s="1" t="n">
        <v>44154</v>
      </c>
      <c r="C253" s="1" t="n">
        <v>45783</v>
      </c>
      <c r="D253" t="inlineStr">
        <is>
          <t>VÄSTERNORRLANDS LÄN</t>
        </is>
      </c>
      <c r="E253" t="inlineStr">
        <is>
          <t>KRAMFORS</t>
        </is>
      </c>
      <c r="G253" t="n">
        <v>15.4</v>
      </c>
      <c r="H253" t="n">
        <v>0</v>
      </c>
      <c r="I253" t="n">
        <v>0</v>
      </c>
      <c r="J253" t="n">
        <v>0</v>
      </c>
      <c r="K253" t="n">
        <v>0</v>
      </c>
      <c r="L253" t="n">
        <v>0</v>
      </c>
      <c r="M253" t="n">
        <v>0</v>
      </c>
      <c r="N253" t="n">
        <v>0</v>
      </c>
      <c r="O253" t="n">
        <v>0</v>
      </c>
      <c r="P253" t="n">
        <v>0</v>
      </c>
      <c r="Q253" t="n">
        <v>0</v>
      </c>
      <c r="R253" s="2" t="inlineStr"/>
    </row>
    <row r="254" ht="15" customHeight="1">
      <c r="A254" t="inlineStr">
        <is>
          <t>A 61047-2020</t>
        </is>
      </c>
      <c r="B254" s="1" t="n">
        <v>44154</v>
      </c>
      <c r="C254" s="1" t="n">
        <v>45783</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61049-2020</t>
        </is>
      </c>
      <c r="B255" s="1" t="n">
        <v>44154</v>
      </c>
      <c r="C255" s="1" t="n">
        <v>45783</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61932-2020</t>
        </is>
      </c>
      <c r="B256" s="1" t="n">
        <v>44155</v>
      </c>
      <c r="C256" s="1" t="n">
        <v>45783</v>
      </c>
      <c r="D256" t="inlineStr">
        <is>
          <t>VÄSTERNORRLANDS LÄN</t>
        </is>
      </c>
      <c r="E256" t="inlineStr">
        <is>
          <t>KRAMFORS</t>
        </is>
      </c>
      <c r="G256" t="n">
        <v>1.4</v>
      </c>
      <c r="H256" t="n">
        <v>0</v>
      </c>
      <c r="I256" t="n">
        <v>0</v>
      </c>
      <c r="J256" t="n">
        <v>0</v>
      </c>
      <c r="K256" t="n">
        <v>0</v>
      </c>
      <c r="L256" t="n">
        <v>0</v>
      </c>
      <c r="M256" t="n">
        <v>0</v>
      </c>
      <c r="N256" t="n">
        <v>0</v>
      </c>
      <c r="O256" t="n">
        <v>0</v>
      </c>
      <c r="P256" t="n">
        <v>0</v>
      </c>
      <c r="Q256" t="n">
        <v>0</v>
      </c>
      <c r="R256" s="2" t="inlineStr"/>
    </row>
    <row r="257" ht="15" customHeight="1">
      <c r="A257" t="inlineStr">
        <is>
          <t>A 62933-2020</t>
        </is>
      </c>
      <c r="B257" s="1" t="n">
        <v>44160</v>
      </c>
      <c r="C257" s="1" t="n">
        <v>45783</v>
      </c>
      <c r="D257" t="inlineStr">
        <is>
          <t>VÄSTERNORRLANDS LÄN</t>
        </is>
      </c>
      <c r="E257" t="inlineStr">
        <is>
          <t>KRAMFORS</t>
        </is>
      </c>
      <c r="G257" t="n">
        <v>3.7</v>
      </c>
      <c r="H257" t="n">
        <v>0</v>
      </c>
      <c r="I257" t="n">
        <v>0</v>
      </c>
      <c r="J257" t="n">
        <v>0</v>
      </c>
      <c r="K257" t="n">
        <v>0</v>
      </c>
      <c r="L257" t="n">
        <v>0</v>
      </c>
      <c r="M257" t="n">
        <v>0</v>
      </c>
      <c r="N257" t="n">
        <v>0</v>
      </c>
      <c r="O257" t="n">
        <v>0</v>
      </c>
      <c r="P257" t="n">
        <v>0</v>
      </c>
      <c r="Q257" t="n">
        <v>0</v>
      </c>
      <c r="R257" s="2" t="inlineStr"/>
    </row>
    <row r="258" ht="15" customHeight="1">
      <c r="A258" t="inlineStr">
        <is>
          <t>A 62870-2020</t>
        </is>
      </c>
      <c r="B258" s="1" t="n">
        <v>44161</v>
      </c>
      <c r="C258" s="1" t="n">
        <v>45783</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64207-2020</t>
        </is>
      </c>
      <c r="B259" s="1" t="n">
        <v>44167</v>
      </c>
      <c r="C259" s="1" t="n">
        <v>45783</v>
      </c>
      <c r="D259" t="inlineStr">
        <is>
          <t>VÄSTERNORRLANDS LÄN</t>
        </is>
      </c>
      <c r="E259" t="inlineStr">
        <is>
          <t>KRAMFORS</t>
        </is>
      </c>
      <c r="G259" t="n">
        <v>3.2</v>
      </c>
      <c r="H259" t="n">
        <v>0</v>
      </c>
      <c r="I259" t="n">
        <v>0</v>
      </c>
      <c r="J259" t="n">
        <v>0</v>
      </c>
      <c r="K259" t="n">
        <v>0</v>
      </c>
      <c r="L259" t="n">
        <v>0</v>
      </c>
      <c r="M259" t="n">
        <v>0</v>
      </c>
      <c r="N259" t="n">
        <v>0</v>
      </c>
      <c r="O259" t="n">
        <v>0</v>
      </c>
      <c r="P259" t="n">
        <v>0</v>
      </c>
      <c r="Q259" t="n">
        <v>0</v>
      </c>
      <c r="R259" s="2" t="inlineStr"/>
    </row>
    <row r="260" ht="15" customHeight="1">
      <c r="A260" t="inlineStr">
        <is>
          <t>A 65056-2020</t>
        </is>
      </c>
      <c r="B260" s="1" t="n">
        <v>44167</v>
      </c>
      <c r="C260" s="1" t="n">
        <v>45783</v>
      </c>
      <c r="D260" t="inlineStr">
        <is>
          <t>VÄSTERNORRLANDS LÄN</t>
        </is>
      </c>
      <c r="E260" t="inlineStr">
        <is>
          <t>KRAMFORS</t>
        </is>
      </c>
      <c r="G260" t="n">
        <v>2.5</v>
      </c>
      <c r="H260" t="n">
        <v>0</v>
      </c>
      <c r="I260" t="n">
        <v>0</v>
      </c>
      <c r="J260" t="n">
        <v>0</v>
      </c>
      <c r="K260" t="n">
        <v>0</v>
      </c>
      <c r="L260" t="n">
        <v>0</v>
      </c>
      <c r="M260" t="n">
        <v>0</v>
      </c>
      <c r="N260" t="n">
        <v>0</v>
      </c>
      <c r="O260" t="n">
        <v>0</v>
      </c>
      <c r="P260" t="n">
        <v>0</v>
      </c>
      <c r="Q260" t="n">
        <v>0</v>
      </c>
      <c r="R260" s="2" t="inlineStr"/>
    </row>
    <row r="261" ht="15" customHeight="1">
      <c r="A261" t="inlineStr">
        <is>
          <t>A 64205-2020</t>
        </is>
      </c>
      <c r="B261" s="1" t="n">
        <v>44167</v>
      </c>
      <c r="C261" s="1" t="n">
        <v>45783</v>
      </c>
      <c r="D261" t="inlineStr">
        <is>
          <t>VÄSTERNORRLANDS LÄN</t>
        </is>
      </c>
      <c r="E261" t="inlineStr">
        <is>
          <t>KRAMFORS</t>
        </is>
      </c>
      <c r="G261" t="n">
        <v>2.4</v>
      </c>
      <c r="H261" t="n">
        <v>0</v>
      </c>
      <c r="I261" t="n">
        <v>0</v>
      </c>
      <c r="J261" t="n">
        <v>0</v>
      </c>
      <c r="K261" t="n">
        <v>0</v>
      </c>
      <c r="L261" t="n">
        <v>0</v>
      </c>
      <c r="M261" t="n">
        <v>0</v>
      </c>
      <c r="N261" t="n">
        <v>0</v>
      </c>
      <c r="O261" t="n">
        <v>0</v>
      </c>
      <c r="P261" t="n">
        <v>0</v>
      </c>
      <c r="Q261" t="n">
        <v>0</v>
      </c>
      <c r="R261" s="2" t="inlineStr"/>
    </row>
    <row r="262" ht="15" customHeight="1">
      <c r="A262" t="inlineStr">
        <is>
          <t>A 65265-2020</t>
        </is>
      </c>
      <c r="B262" s="1" t="n">
        <v>44172</v>
      </c>
      <c r="C262" s="1" t="n">
        <v>45783</v>
      </c>
      <c r="D262" t="inlineStr">
        <is>
          <t>VÄSTERNORRLANDS LÄN</t>
        </is>
      </c>
      <c r="E262" t="inlineStr">
        <is>
          <t>KRAMFORS</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65546-2020</t>
        </is>
      </c>
      <c r="B263" s="1" t="n">
        <v>44173</v>
      </c>
      <c r="C263" s="1" t="n">
        <v>45783</v>
      </c>
      <c r="D263" t="inlineStr">
        <is>
          <t>VÄSTERNORRLANDS LÄN</t>
        </is>
      </c>
      <c r="E263" t="inlineStr">
        <is>
          <t>KRAMFORS</t>
        </is>
      </c>
      <c r="G263" t="n">
        <v>1.1</v>
      </c>
      <c r="H263" t="n">
        <v>0</v>
      </c>
      <c r="I263" t="n">
        <v>0</v>
      </c>
      <c r="J263" t="n">
        <v>0</v>
      </c>
      <c r="K263" t="n">
        <v>0</v>
      </c>
      <c r="L263" t="n">
        <v>0</v>
      </c>
      <c r="M263" t="n">
        <v>0</v>
      </c>
      <c r="N263" t="n">
        <v>0</v>
      </c>
      <c r="O263" t="n">
        <v>0</v>
      </c>
      <c r="P263" t="n">
        <v>0</v>
      </c>
      <c r="Q263" t="n">
        <v>0</v>
      </c>
      <c r="R263" s="2" t="inlineStr"/>
    </row>
    <row r="264" ht="15" customHeight="1">
      <c r="A264" t="inlineStr">
        <is>
          <t>A 65905-2020</t>
        </is>
      </c>
      <c r="B264" s="1" t="n">
        <v>44174</v>
      </c>
      <c r="C264" s="1" t="n">
        <v>45783</v>
      </c>
      <c r="D264" t="inlineStr">
        <is>
          <t>VÄSTERNORRLANDS LÄN</t>
        </is>
      </c>
      <c r="E264" t="inlineStr">
        <is>
          <t>KRAMFORS</t>
        </is>
      </c>
      <c r="G264" t="n">
        <v>2.2</v>
      </c>
      <c r="H264" t="n">
        <v>0</v>
      </c>
      <c r="I264" t="n">
        <v>0</v>
      </c>
      <c r="J264" t="n">
        <v>0</v>
      </c>
      <c r="K264" t="n">
        <v>0</v>
      </c>
      <c r="L264" t="n">
        <v>0</v>
      </c>
      <c r="M264" t="n">
        <v>0</v>
      </c>
      <c r="N264" t="n">
        <v>0</v>
      </c>
      <c r="O264" t="n">
        <v>0</v>
      </c>
      <c r="P264" t="n">
        <v>0</v>
      </c>
      <c r="Q264" t="n">
        <v>0</v>
      </c>
      <c r="R264" s="2" t="inlineStr"/>
    </row>
    <row r="265" ht="15" customHeight="1">
      <c r="A265" t="inlineStr">
        <is>
          <t>A 66252-2020</t>
        </is>
      </c>
      <c r="B265" s="1" t="n">
        <v>44175</v>
      </c>
      <c r="C265" s="1" t="n">
        <v>45783</v>
      </c>
      <c r="D265" t="inlineStr">
        <is>
          <t>VÄSTERNORRLANDS LÄN</t>
        </is>
      </c>
      <c r="E265" t="inlineStr">
        <is>
          <t>KRAMFORS</t>
        </is>
      </c>
      <c r="G265" t="n">
        <v>3.8</v>
      </c>
      <c r="H265" t="n">
        <v>0</v>
      </c>
      <c r="I265" t="n">
        <v>0</v>
      </c>
      <c r="J265" t="n">
        <v>0</v>
      </c>
      <c r="K265" t="n">
        <v>0</v>
      </c>
      <c r="L265" t="n">
        <v>0</v>
      </c>
      <c r="M265" t="n">
        <v>0</v>
      </c>
      <c r="N265" t="n">
        <v>0</v>
      </c>
      <c r="O265" t="n">
        <v>0</v>
      </c>
      <c r="P265" t="n">
        <v>0</v>
      </c>
      <c r="Q265" t="n">
        <v>0</v>
      </c>
      <c r="R265" s="2" t="inlineStr"/>
    </row>
    <row r="266" ht="15" customHeight="1">
      <c r="A266" t="inlineStr">
        <is>
          <t>A 66245-2020</t>
        </is>
      </c>
      <c r="B266" s="1" t="n">
        <v>44175</v>
      </c>
      <c r="C266" s="1" t="n">
        <v>45783</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66783-2020</t>
        </is>
      </c>
      <c r="B267" s="1" t="n">
        <v>44179</v>
      </c>
      <c r="C267" s="1" t="n">
        <v>45783</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66826-2020</t>
        </is>
      </c>
      <c r="B268" s="1" t="n">
        <v>44179</v>
      </c>
      <c r="C268" s="1" t="n">
        <v>45783</v>
      </c>
      <c r="D268" t="inlineStr">
        <is>
          <t>VÄSTERNORRLANDS LÄN</t>
        </is>
      </c>
      <c r="E268" t="inlineStr">
        <is>
          <t>KRAMFORS</t>
        </is>
      </c>
      <c r="G268" t="n">
        <v>1.5</v>
      </c>
      <c r="H268" t="n">
        <v>0</v>
      </c>
      <c r="I268" t="n">
        <v>0</v>
      </c>
      <c r="J268" t="n">
        <v>0</v>
      </c>
      <c r="K268" t="n">
        <v>0</v>
      </c>
      <c r="L268" t="n">
        <v>0</v>
      </c>
      <c r="M268" t="n">
        <v>0</v>
      </c>
      <c r="N268" t="n">
        <v>0</v>
      </c>
      <c r="O268" t="n">
        <v>0</v>
      </c>
      <c r="P268" t="n">
        <v>0</v>
      </c>
      <c r="Q268" t="n">
        <v>0</v>
      </c>
      <c r="R268" s="2" t="inlineStr"/>
    </row>
    <row r="269" ht="15" customHeight="1">
      <c r="A269" t="inlineStr">
        <is>
          <t>A 67499-2020</t>
        </is>
      </c>
      <c r="B269" s="1" t="n">
        <v>44181</v>
      </c>
      <c r="C269" s="1" t="n">
        <v>45783</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67527-2020</t>
        </is>
      </c>
      <c r="B270" s="1" t="n">
        <v>44181</v>
      </c>
      <c r="C270" s="1" t="n">
        <v>45783</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67523-2020</t>
        </is>
      </c>
      <c r="B271" s="1" t="n">
        <v>44181</v>
      </c>
      <c r="C271" s="1" t="n">
        <v>45783</v>
      </c>
      <c r="D271" t="inlineStr">
        <is>
          <t>VÄSTERNORRLANDS LÄN</t>
        </is>
      </c>
      <c r="E271" t="inlineStr">
        <is>
          <t>KRAMFORS</t>
        </is>
      </c>
      <c r="G271" t="n">
        <v>1</v>
      </c>
      <c r="H271" t="n">
        <v>0</v>
      </c>
      <c r="I271" t="n">
        <v>0</v>
      </c>
      <c r="J271" t="n">
        <v>0</v>
      </c>
      <c r="K271" t="n">
        <v>0</v>
      </c>
      <c r="L271" t="n">
        <v>0</v>
      </c>
      <c r="M271" t="n">
        <v>0</v>
      </c>
      <c r="N271" t="n">
        <v>0</v>
      </c>
      <c r="O271" t="n">
        <v>0</v>
      </c>
      <c r="P271" t="n">
        <v>0</v>
      </c>
      <c r="Q271" t="n">
        <v>0</v>
      </c>
      <c r="R271" s="2" t="inlineStr"/>
    </row>
    <row r="272" ht="15" customHeight="1">
      <c r="A272" t="inlineStr">
        <is>
          <t>A 67519-2020</t>
        </is>
      </c>
      <c r="B272" s="1" t="n">
        <v>44181</v>
      </c>
      <c r="C272" s="1" t="n">
        <v>45783</v>
      </c>
      <c r="D272" t="inlineStr">
        <is>
          <t>VÄSTERNORRLANDS LÄN</t>
        </is>
      </c>
      <c r="E272" t="inlineStr">
        <is>
          <t>KRAMFORS</t>
        </is>
      </c>
      <c r="G272" t="n">
        <v>1.4</v>
      </c>
      <c r="H272" t="n">
        <v>0</v>
      </c>
      <c r="I272" t="n">
        <v>0</v>
      </c>
      <c r="J272" t="n">
        <v>0</v>
      </c>
      <c r="K272" t="n">
        <v>0</v>
      </c>
      <c r="L272" t="n">
        <v>0</v>
      </c>
      <c r="M272" t="n">
        <v>0</v>
      </c>
      <c r="N272" t="n">
        <v>0</v>
      </c>
      <c r="O272" t="n">
        <v>0</v>
      </c>
      <c r="P272" t="n">
        <v>0</v>
      </c>
      <c r="Q272" t="n">
        <v>0</v>
      </c>
      <c r="R272" s="2" t="inlineStr"/>
    </row>
    <row r="273" ht="15" customHeight="1">
      <c r="A273" t="inlineStr">
        <is>
          <t>A 67601-2020</t>
        </is>
      </c>
      <c r="B273" s="1" t="n">
        <v>44181</v>
      </c>
      <c r="C273" s="1" t="n">
        <v>45783</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67513-2020</t>
        </is>
      </c>
      <c r="B274" s="1" t="n">
        <v>44181</v>
      </c>
      <c r="C274" s="1" t="n">
        <v>45783</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67503-2020</t>
        </is>
      </c>
      <c r="B275" s="1" t="n">
        <v>44181</v>
      </c>
      <c r="C275" s="1" t="n">
        <v>45783</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68445-2020</t>
        </is>
      </c>
      <c r="B276" s="1" t="n">
        <v>44186</v>
      </c>
      <c r="C276" s="1" t="n">
        <v>45783</v>
      </c>
      <c r="D276" t="inlineStr">
        <is>
          <t>VÄSTERNORRLANDS LÄN</t>
        </is>
      </c>
      <c r="E276" t="inlineStr">
        <is>
          <t>KRAMFORS</t>
        </is>
      </c>
      <c r="G276" t="n">
        <v>1.7</v>
      </c>
      <c r="H276" t="n">
        <v>0</v>
      </c>
      <c r="I276" t="n">
        <v>0</v>
      </c>
      <c r="J276" t="n">
        <v>0</v>
      </c>
      <c r="K276" t="n">
        <v>0</v>
      </c>
      <c r="L276" t="n">
        <v>0</v>
      </c>
      <c r="M276" t="n">
        <v>0</v>
      </c>
      <c r="N276" t="n">
        <v>0</v>
      </c>
      <c r="O276" t="n">
        <v>0</v>
      </c>
      <c r="P276" t="n">
        <v>0</v>
      </c>
      <c r="Q276" t="n">
        <v>0</v>
      </c>
      <c r="R276" s="2" t="inlineStr"/>
    </row>
    <row r="277" ht="15" customHeight="1">
      <c r="A277" t="inlineStr">
        <is>
          <t>A 69365-2020</t>
        </is>
      </c>
      <c r="B277" s="1" t="n">
        <v>44193</v>
      </c>
      <c r="C277" s="1" t="n">
        <v>45783</v>
      </c>
      <c r="D277" t="inlineStr">
        <is>
          <t>VÄSTERNORRLANDS LÄN</t>
        </is>
      </c>
      <c r="E277" t="inlineStr">
        <is>
          <t>KRAMFORS</t>
        </is>
      </c>
      <c r="G277" t="n">
        <v>2.5</v>
      </c>
      <c r="H277" t="n">
        <v>0</v>
      </c>
      <c r="I277" t="n">
        <v>0</v>
      </c>
      <c r="J277" t="n">
        <v>0</v>
      </c>
      <c r="K277" t="n">
        <v>0</v>
      </c>
      <c r="L277" t="n">
        <v>0</v>
      </c>
      <c r="M277" t="n">
        <v>0</v>
      </c>
      <c r="N277" t="n">
        <v>0</v>
      </c>
      <c r="O277" t="n">
        <v>0</v>
      </c>
      <c r="P277" t="n">
        <v>0</v>
      </c>
      <c r="Q277" t="n">
        <v>0</v>
      </c>
      <c r="R277" s="2" t="inlineStr"/>
    </row>
    <row r="278" ht="15" customHeight="1">
      <c r="A278" t="inlineStr">
        <is>
          <t>A 302-2021</t>
        </is>
      </c>
      <c r="B278" s="1" t="n">
        <v>44201</v>
      </c>
      <c r="C278" s="1" t="n">
        <v>45783</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301-2021</t>
        </is>
      </c>
      <c r="B279" s="1" t="n">
        <v>44201</v>
      </c>
      <c r="C279" s="1" t="n">
        <v>45783</v>
      </c>
      <c r="D279" t="inlineStr">
        <is>
          <t>VÄSTERNORRLANDS LÄN</t>
        </is>
      </c>
      <c r="E279" t="inlineStr">
        <is>
          <t>KRAMFORS</t>
        </is>
      </c>
      <c r="G279" t="n">
        <v>0.7</v>
      </c>
      <c r="H279" t="n">
        <v>0</v>
      </c>
      <c r="I279" t="n">
        <v>0</v>
      </c>
      <c r="J279" t="n">
        <v>0</v>
      </c>
      <c r="K279" t="n">
        <v>0</v>
      </c>
      <c r="L279" t="n">
        <v>0</v>
      </c>
      <c r="M279" t="n">
        <v>0</v>
      </c>
      <c r="N279" t="n">
        <v>0</v>
      </c>
      <c r="O279" t="n">
        <v>0</v>
      </c>
      <c r="P279" t="n">
        <v>0</v>
      </c>
      <c r="Q279" t="n">
        <v>0</v>
      </c>
      <c r="R279" s="2" t="inlineStr"/>
    </row>
    <row r="280" ht="15" customHeight="1">
      <c r="A280" t="inlineStr">
        <is>
          <t>A 1010-2021</t>
        </is>
      </c>
      <c r="B280" s="1" t="n">
        <v>44207</v>
      </c>
      <c r="C280" s="1" t="n">
        <v>45783</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1013-2021</t>
        </is>
      </c>
      <c r="B281" s="1" t="n">
        <v>44207</v>
      </c>
      <c r="C281" s="1" t="n">
        <v>45783</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1203-2021</t>
        </is>
      </c>
      <c r="B282" s="1" t="n">
        <v>44207</v>
      </c>
      <c r="C282" s="1" t="n">
        <v>45783</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1282-2021</t>
        </is>
      </c>
      <c r="B283" s="1" t="n">
        <v>44207</v>
      </c>
      <c r="C283" s="1" t="n">
        <v>45783</v>
      </c>
      <c r="D283" t="inlineStr">
        <is>
          <t>VÄSTERNORRLANDS LÄN</t>
        </is>
      </c>
      <c r="E283" t="inlineStr">
        <is>
          <t>KRAMFORS</t>
        </is>
      </c>
      <c r="G283" t="n">
        <v>12.5</v>
      </c>
      <c r="H283" t="n">
        <v>0</v>
      </c>
      <c r="I283" t="n">
        <v>0</v>
      </c>
      <c r="J283" t="n">
        <v>0</v>
      </c>
      <c r="K283" t="n">
        <v>0</v>
      </c>
      <c r="L283" t="n">
        <v>0</v>
      </c>
      <c r="M283" t="n">
        <v>0</v>
      </c>
      <c r="N283" t="n">
        <v>0</v>
      </c>
      <c r="O283" t="n">
        <v>0</v>
      </c>
      <c r="P283" t="n">
        <v>0</v>
      </c>
      <c r="Q283" t="n">
        <v>0</v>
      </c>
      <c r="R283" s="2" t="inlineStr"/>
    </row>
    <row r="284" ht="15" customHeight="1">
      <c r="A284" t="inlineStr">
        <is>
          <t>A 1776-2021</t>
        </is>
      </c>
      <c r="B284" s="1" t="n">
        <v>44209</v>
      </c>
      <c r="C284" s="1" t="n">
        <v>45783</v>
      </c>
      <c r="D284" t="inlineStr">
        <is>
          <t>VÄSTERNORRLANDS LÄN</t>
        </is>
      </c>
      <c r="E284" t="inlineStr">
        <is>
          <t>KRAMFORS</t>
        </is>
      </c>
      <c r="G284" t="n">
        <v>4.1</v>
      </c>
      <c r="H284" t="n">
        <v>0</v>
      </c>
      <c r="I284" t="n">
        <v>0</v>
      </c>
      <c r="J284" t="n">
        <v>0</v>
      </c>
      <c r="K284" t="n">
        <v>0</v>
      </c>
      <c r="L284" t="n">
        <v>0</v>
      </c>
      <c r="M284" t="n">
        <v>0</v>
      </c>
      <c r="N284" t="n">
        <v>0</v>
      </c>
      <c r="O284" t="n">
        <v>0</v>
      </c>
      <c r="P284" t="n">
        <v>0</v>
      </c>
      <c r="Q284" t="n">
        <v>0</v>
      </c>
      <c r="R284" s="2" t="inlineStr"/>
    </row>
    <row r="285" ht="15" customHeight="1">
      <c r="A285" t="inlineStr">
        <is>
          <t>A 2022-2021</t>
        </is>
      </c>
      <c r="B285" s="1" t="n">
        <v>44210</v>
      </c>
      <c r="C285" s="1" t="n">
        <v>45783</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2289-2021</t>
        </is>
      </c>
      <c r="B286" s="1" t="n">
        <v>44211</v>
      </c>
      <c r="C286" s="1" t="n">
        <v>45783</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2677-2021</t>
        </is>
      </c>
      <c r="B287" s="1" t="n">
        <v>44215</v>
      </c>
      <c r="C287" s="1" t="n">
        <v>45783</v>
      </c>
      <c r="D287" t="inlineStr">
        <is>
          <t>VÄSTERNORRLANDS LÄN</t>
        </is>
      </c>
      <c r="E287" t="inlineStr">
        <is>
          <t>KRAMFORS</t>
        </is>
      </c>
      <c r="G287" t="n">
        <v>4.9</v>
      </c>
      <c r="H287" t="n">
        <v>0</v>
      </c>
      <c r="I287" t="n">
        <v>0</v>
      </c>
      <c r="J287" t="n">
        <v>0</v>
      </c>
      <c r="K287" t="n">
        <v>0</v>
      </c>
      <c r="L287" t="n">
        <v>0</v>
      </c>
      <c r="M287" t="n">
        <v>0</v>
      </c>
      <c r="N287" t="n">
        <v>0</v>
      </c>
      <c r="O287" t="n">
        <v>0</v>
      </c>
      <c r="P287" t="n">
        <v>0</v>
      </c>
      <c r="Q287" t="n">
        <v>0</v>
      </c>
      <c r="R287" s="2" t="inlineStr"/>
    </row>
    <row r="288" ht="15" customHeight="1">
      <c r="A288" t="inlineStr">
        <is>
          <t>A 3830-2021</t>
        </is>
      </c>
      <c r="B288" s="1" t="n">
        <v>44216</v>
      </c>
      <c r="C288" s="1" t="n">
        <v>45783</v>
      </c>
      <c r="D288" t="inlineStr">
        <is>
          <t>VÄSTERNORRLANDS LÄN</t>
        </is>
      </c>
      <c r="E288" t="inlineStr">
        <is>
          <t>KRAMFORS</t>
        </is>
      </c>
      <c r="G288" t="n">
        <v>28</v>
      </c>
      <c r="H288" t="n">
        <v>0</v>
      </c>
      <c r="I288" t="n">
        <v>0</v>
      </c>
      <c r="J288" t="n">
        <v>0</v>
      </c>
      <c r="K288" t="n">
        <v>0</v>
      </c>
      <c r="L288" t="n">
        <v>0</v>
      </c>
      <c r="M288" t="n">
        <v>0</v>
      </c>
      <c r="N288" t="n">
        <v>0</v>
      </c>
      <c r="O288" t="n">
        <v>0</v>
      </c>
      <c r="P288" t="n">
        <v>0</v>
      </c>
      <c r="Q288" t="n">
        <v>0</v>
      </c>
      <c r="R288" s="2" t="inlineStr"/>
    </row>
    <row r="289" ht="15" customHeight="1">
      <c r="A289" t="inlineStr">
        <is>
          <t>A 3754-2021</t>
        </is>
      </c>
      <c r="B289" s="1" t="n">
        <v>44221</v>
      </c>
      <c r="C289" s="1" t="n">
        <v>45783</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4057-2021</t>
        </is>
      </c>
      <c r="B290" s="1" t="n">
        <v>44222</v>
      </c>
      <c r="C290" s="1" t="n">
        <v>45783</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4664-2021</t>
        </is>
      </c>
      <c r="B291" s="1" t="n">
        <v>44224</v>
      </c>
      <c r="C291" s="1" t="n">
        <v>45783</v>
      </c>
      <c r="D291" t="inlineStr">
        <is>
          <t>VÄSTERNORRLANDS LÄN</t>
        </is>
      </c>
      <c r="E291" t="inlineStr">
        <is>
          <t>KRAMFORS</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5210-2021</t>
        </is>
      </c>
      <c r="B292" s="1" t="n">
        <v>44228</v>
      </c>
      <c r="C292" s="1" t="n">
        <v>45783</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5209-2021</t>
        </is>
      </c>
      <c r="B293" s="1" t="n">
        <v>44228</v>
      </c>
      <c r="C293" s="1" t="n">
        <v>45783</v>
      </c>
      <c r="D293" t="inlineStr">
        <is>
          <t>VÄSTERNORRLANDS LÄN</t>
        </is>
      </c>
      <c r="E293" t="inlineStr">
        <is>
          <t>KRAMFORS</t>
        </is>
      </c>
      <c r="G293" t="n">
        <v>1.6</v>
      </c>
      <c r="H293" t="n">
        <v>0</v>
      </c>
      <c r="I293" t="n">
        <v>0</v>
      </c>
      <c r="J293" t="n">
        <v>0</v>
      </c>
      <c r="K293" t="n">
        <v>0</v>
      </c>
      <c r="L293" t="n">
        <v>0</v>
      </c>
      <c r="M293" t="n">
        <v>0</v>
      </c>
      <c r="N293" t="n">
        <v>0</v>
      </c>
      <c r="O293" t="n">
        <v>0</v>
      </c>
      <c r="P293" t="n">
        <v>0</v>
      </c>
      <c r="Q293" t="n">
        <v>0</v>
      </c>
      <c r="R293" s="2" t="inlineStr"/>
    </row>
    <row r="294" ht="15" customHeight="1">
      <c r="A294" t="inlineStr">
        <is>
          <t>A 5684-2021</t>
        </is>
      </c>
      <c r="B294" s="1" t="n">
        <v>44229</v>
      </c>
      <c r="C294" s="1" t="n">
        <v>45783</v>
      </c>
      <c r="D294" t="inlineStr">
        <is>
          <t>VÄSTERNORRLANDS LÄN</t>
        </is>
      </c>
      <c r="E294" t="inlineStr">
        <is>
          <t>KRAMFORS</t>
        </is>
      </c>
      <c r="F294" t="inlineStr">
        <is>
          <t>Kyrkan</t>
        </is>
      </c>
      <c r="G294" t="n">
        <v>1.9</v>
      </c>
      <c r="H294" t="n">
        <v>0</v>
      </c>
      <c r="I294" t="n">
        <v>0</v>
      </c>
      <c r="J294" t="n">
        <v>0</v>
      </c>
      <c r="K294" t="n">
        <v>0</v>
      </c>
      <c r="L294" t="n">
        <v>0</v>
      </c>
      <c r="M294" t="n">
        <v>0</v>
      </c>
      <c r="N294" t="n">
        <v>0</v>
      </c>
      <c r="O294" t="n">
        <v>0</v>
      </c>
      <c r="P294" t="n">
        <v>0</v>
      </c>
      <c r="Q294" t="n">
        <v>0</v>
      </c>
      <c r="R294" s="2" t="inlineStr"/>
    </row>
    <row r="295" ht="15" customHeight="1">
      <c r="A295" t="inlineStr">
        <is>
          <t>A 6492-2021</t>
        </is>
      </c>
      <c r="B295" s="1" t="n">
        <v>44235</v>
      </c>
      <c r="C295" s="1" t="n">
        <v>45783</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6938-2021</t>
        </is>
      </c>
      <c r="B296" s="1" t="n">
        <v>44237</v>
      </c>
      <c r="C296" s="1" t="n">
        <v>45783</v>
      </c>
      <c r="D296" t="inlineStr">
        <is>
          <t>VÄSTERNORRLANDS LÄN</t>
        </is>
      </c>
      <c r="E296" t="inlineStr">
        <is>
          <t>KRAMFORS</t>
        </is>
      </c>
      <c r="G296" t="n">
        <v>7.2</v>
      </c>
      <c r="H296" t="n">
        <v>0</v>
      </c>
      <c r="I296" t="n">
        <v>0</v>
      </c>
      <c r="J296" t="n">
        <v>0</v>
      </c>
      <c r="K296" t="n">
        <v>0</v>
      </c>
      <c r="L296" t="n">
        <v>0</v>
      </c>
      <c r="M296" t="n">
        <v>0</v>
      </c>
      <c r="N296" t="n">
        <v>0</v>
      </c>
      <c r="O296" t="n">
        <v>0</v>
      </c>
      <c r="P296" t="n">
        <v>0</v>
      </c>
      <c r="Q296" t="n">
        <v>0</v>
      </c>
      <c r="R296" s="2" t="inlineStr"/>
    </row>
    <row r="297" ht="15" customHeight="1">
      <c r="A297" t="inlineStr">
        <is>
          <t>A 7318-2021</t>
        </is>
      </c>
      <c r="B297" s="1" t="n">
        <v>44239</v>
      </c>
      <c r="C297" s="1" t="n">
        <v>45783</v>
      </c>
      <c r="D297" t="inlineStr">
        <is>
          <t>VÄSTERNORRLANDS LÄN</t>
        </is>
      </c>
      <c r="E297" t="inlineStr">
        <is>
          <t>KRAMFORS</t>
        </is>
      </c>
      <c r="G297" t="n">
        <v>0.7</v>
      </c>
      <c r="H297" t="n">
        <v>0</v>
      </c>
      <c r="I297" t="n">
        <v>0</v>
      </c>
      <c r="J297" t="n">
        <v>0</v>
      </c>
      <c r="K297" t="n">
        <v>0</v>
      </c>
      <c r="L297" t="n">
        <v>0</v>
      </c>
      <c r="M297" t="n">
        <v>0</v>
      </c>
      <c r="N297" t="n">
        <v>0</v>
      </c>
      <c r="O297" t="n">
        <v>0</v>
      </c>
      <c r="P297" t="n">
        <v>0</v>
      </c>
      <c r="Q297" t="n">
        <v>0</v>
      </c>
      <c r="R297" s="2" t="inlineStr"/>
    </row>
    <row r="298" ht="15" customHeight="1">
      <c r="A298" t="inlineStr">
        <is>
          <t>A 8078-2021</t>
        </is>
      </c>
      <c r="B298" s="1" t="n">
        <v>44243</v>
      </c>
      <c r="C298" s="1" t="n">
        <v>45783</v>
      </c>
      <c r="D298" t="inlineStr">
        <is>
          <t>VÄSTERNORRLANDS LÄN</t>
        </is>
      </c>
      <c r="E298" t="inlineStr">
        <is>
          <t>KRAMFORS</t>
        </is>
      </c>
      <c r="G298" t="n">
        <v>27.7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45783</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45783</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45783</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45783</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45783</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45783</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45783</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45783</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45783</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45783</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45783</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45783</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45783</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45783</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45783</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45783</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45783</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45783</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45783</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45783</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45783</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45783</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45783</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45783</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45783</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45783</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45783</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45783</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45783</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45783</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45783</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45783</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45783</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45783</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45783</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45783</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45783</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45783</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45783</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45783</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45783</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45783</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45783</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45783</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45783</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45783</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45783</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45783</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45783</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45783</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45783</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45783</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45783</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45783</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45783</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45783</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45783</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45783</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45783</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45783</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45783</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45783</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45783</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45783</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45783</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45783</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45783</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45783</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45783</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45783</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45783</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45783</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45783</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45783</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45783</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45783</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45783</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45783</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45783</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45783</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45783</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45783</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45783</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45783</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45783</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45783</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45783</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45783</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45783</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45783</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45783</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45783</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45783</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45783</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45783</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45783</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45783</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45783</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45783</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45783</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45783</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45783</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45783</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45783</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45783</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45783</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45783</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45783</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45783</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45783</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45783</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45783</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45783</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45783</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45783</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45783</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45783</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45783</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45783</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45783</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45783</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45783</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45783</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45783</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45783</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45783</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45783</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45783</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45783</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45783</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45783</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45783</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45783</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45783</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45783</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45783</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45783</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45783</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45783</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45783</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45783</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45783</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45783</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45783</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45783</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45783</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45783</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45783</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45783</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45783</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45783</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45783</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45783</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45783</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45783</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45783</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45783</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45783</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45783</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45783</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45783</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45783</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45783</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45783</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45783</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45783</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45783</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45783</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45783</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45783</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45783</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45783</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45783</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45783</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45783</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45783</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45783</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45783</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45783</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45783</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45783</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45783</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45783</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45783</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45783</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45783</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45783</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45783</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45783</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45783</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45783</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45783</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45783</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45783</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45783</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45783</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45783</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45783</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45783</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45783</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45783</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45783</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45783</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45783</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45783</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45783</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45783</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45783</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45783</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45783</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45783</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45783</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45783</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45783</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45783</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45783</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45783</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45783</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45783</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45783</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45783</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45783</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45783</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45783</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45783</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45783</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45783</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45783</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45783</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45783</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45783</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45783</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45783</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45783</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45783</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45783</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45783</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45783</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45783</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45783</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45783</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45783</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45783</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45783</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45783</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45783</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45783</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45783</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45783</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45783</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45783</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45783</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45783</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45783</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45783</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45783</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45783</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45783</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45783</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45783</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45783</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45783</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45783</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45783</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45783</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45783</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45783</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45783</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45783</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45783</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45783</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45783</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45783</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45783</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45783</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45783</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45783</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45783</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45783</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45783</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45783</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45783</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45783</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45783</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45783</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45783</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45783</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45783</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45783</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45783</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45783</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45783</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45783</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45783</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45783</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45783</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45783</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45783</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45783</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45783</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45783</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45783</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45783</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45783</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45783</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45783</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45783</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45783</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45783</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45783</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45783</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45783</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45783</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45783</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45783</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45783</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45783</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45783</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45783</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45783</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45783</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45783</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45783</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45783</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45783</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45783</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45783</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45783</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45783</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45783</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45783</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45783</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45783</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45783</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45783</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45783</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45783</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45783</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45783</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45783</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45783</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45783</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45783</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45783</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45783</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45783</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45783</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45783</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45783</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45783</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45783</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45783</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45783</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45783</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45783</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45783</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45783</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45783</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45783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45783</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45783</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45783</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45783</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45783</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45783</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45783</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45783</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45783</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45783</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45783</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45783</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45783</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45783</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45783</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45783</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45783</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45783</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45783</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45783</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45783</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45783</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45783</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45783</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45783</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45783</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45783</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45783</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45783</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45783</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45783</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45783</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45783</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45783</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45783</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45783</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45783</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45783</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45783</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45783</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45783</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45783</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45783</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45783</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45783</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45783</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45783</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45783</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45783</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45783</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45783</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45783</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45783</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45783</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45783</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45783</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45783</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45783</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45783</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45783</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45783</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45783</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45783</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45783</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45783</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45783</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45783</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45783</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45783</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45783</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45783</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45783</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45783</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45783</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45783</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45783</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45783</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45783</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45783</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45783</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45783</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45783</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45783</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45783</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45783</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45783</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45783</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45783</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45783</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45783</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45783</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45783</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45783</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45783</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45783</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45783</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45783</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45783</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45783</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45783</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45783</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45783</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45783</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45783</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45783</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45783</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45783</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45783</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45783</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45783</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45783</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45783</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45783</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45783</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45783</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45783</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45783</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45783</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45783</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45783</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45783</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45783</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45783</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45783</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45783</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45783</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45783</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45783</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45783</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45783</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45783</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45783</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45783</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45783</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45783</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45783</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45783</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45783</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45783</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45783</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45783</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45783</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45783</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45783</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45783</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45783</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45783</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45783</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45783</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45783</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45783</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45783</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45783</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45783</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45783</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45783</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45783</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45783</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45783</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45783</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45783</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45783</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45783</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45783</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45783</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45783</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45783</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45783</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45783</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45783</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45783</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45783</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45783</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45783</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45783</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45783</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45783</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45783</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45783</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45783</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45783</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45783</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45783</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45783</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45783</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45783</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45783</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45783</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45783</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45783</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45783</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45783</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45783</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45783</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45783</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45783</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45783</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45783</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45783</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45783</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45783</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45783</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45783</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45783</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45783</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45783</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45783</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45783</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45783</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45783</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45783</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45783</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45783</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45783</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45783</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45783</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45783</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45783</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45783</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45783</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45783</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45783</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45783</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45783</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45783</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45783</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45783</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45783</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45783</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45783</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45783</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45783</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45783</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45783</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45783</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45783</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45783</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45783</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45783</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45783</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45783</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45783</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45783</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45783</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45783</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45783</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45783</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45783</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45783</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45783</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45783</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45783</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45783</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45783</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45783</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45783</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45783</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45783</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45783</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45783</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45783</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45783</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45783</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45783</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45783</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45783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45783</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45783</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45783</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45783</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45783</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45783</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45783</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45783</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45783</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45783</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45783</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45783</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45783</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45783</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45783</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45783</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45783</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45783</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45783</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45783</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45783</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45783</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45783</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45783</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45783</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45783</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45783</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45783</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45783</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45783</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45783</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45783</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45783</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45783</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45783</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45783</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45783</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45783</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45783</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45783</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45783</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45783</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45783</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45783</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45783</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45783</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45783</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45783</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45783</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45783</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45783</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45783</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45783</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45783</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45783</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45783</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45783</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45783</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45783</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45783</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45783</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45783</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45783</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45783</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45783</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45783</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45783</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45783</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45783</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45783</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45783</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45783</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45783</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45783</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45783</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45783</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45783</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45783</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45783</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45783</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45783</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45783</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45783</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45783</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45783</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45783</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45783</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45783</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45783</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45783</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45783</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45783</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45783</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45783</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45783</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45783</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45783</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45783</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45783</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45783</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45783</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45783</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45783</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45783</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45783</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45783</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45783</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45783</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45783</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45783</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45783</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45783</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45783</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45783</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45783</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45783</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45783</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45783</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45783</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45783</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45783</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45783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45783</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45783</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45783</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45783</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45783</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45783</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45783</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45783</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45783</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45783</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45783</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45783</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45783</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45783</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45783</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45783</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45783</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45783</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45783</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45783</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45783</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45783</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45783</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45783</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45783</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45783</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45783</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45783</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45783</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45783</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45783</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45783</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45783</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45783</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45783</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45783</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45783</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45783</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45783</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45783</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45783</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45783</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45783</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45783</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45783</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45783</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45783</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45783</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45783</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45783</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45783</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45783</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45783</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45783</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45783</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45783</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45783</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45783</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45783</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45783</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45783</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45783</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45783</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45783</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45783</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45783</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45783</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45783</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45783</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45783</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45783</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45783</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45783</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45783</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45783</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45783</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45783</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45783</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45783</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45783</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45783</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45783</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45783</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45783</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45783</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45783</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45783</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45783</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45783</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45783</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45783</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45783</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45783</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45783</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45783</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45783</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45783</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45783</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45783</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45783</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45783</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45783</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45783</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45783</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45783</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45783</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45783</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45783</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45783</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45783</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45783</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45783</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45783</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45783</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45783</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45783</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45783</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45783</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45783</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45783</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45783</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45783</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45783</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45783</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45783</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45783</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45783</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45783</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45783</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45783</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45783</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45783</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45783</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45783</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45783</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45783</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45783</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45783</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45783</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45783</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45783</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45783</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45783</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45783</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45783</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45783</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45783</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45783</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45783</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45783</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45783</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45783</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45783</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45783</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45783</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45783</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45783</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45783</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45783</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45783</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45783</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45783</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45783</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45783</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45783</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45783</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45783</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45783</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45783</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45783</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45783</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45783</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45783</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45783</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45783</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45783</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45783</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45783</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45783</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45783</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45783</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45783</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45783</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45783</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45783</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45783</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45783</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45783</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45783</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45783</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45783</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45783</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45783</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45783</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45783</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45783</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45783</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45783</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45783</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45783</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45783</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45783</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45783</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45783</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45783</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45783</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45783</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45783</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45783</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45783</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45783</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45783</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45783</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45783</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45783</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45783</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45783</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45783</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45783</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45783</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45783</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45783</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45783</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45783</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45783</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45783</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45783</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45783</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45783</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45783</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45783</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45783</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45783</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45783</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45783</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45783</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45783</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45783</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45783</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45783</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45783</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45783</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45783</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45783</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45783</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45783</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45783</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45783</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45783</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45783</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45783</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45783</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45783</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45783</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45783</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45783</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45783</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45783</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45783</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45783</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45783</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45783</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45783</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45783</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45783</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45783</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45783</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45783</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45783</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45783</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45783</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45783</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45783</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45783</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45783</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45783</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45783</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45783</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45783</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45783</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45783</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45783</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45783</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45783</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45783</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45783</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45783</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45783</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45783</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45783</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45783</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45783</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45783</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45783</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45783</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45783</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45783</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45783</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45783</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45783</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45783</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45783</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45783</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45783</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45783</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45783</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45783</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45783</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45783</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45783</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45783</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45783</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45783</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45783</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45783</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45783</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45783</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45783</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45783</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45783</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45783</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45783</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45783</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45783</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45783</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45783</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45783</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45783</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45783</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45783</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45783</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45783</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45783</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45783</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45783</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45783</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45783</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45783</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45783</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45783</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45783</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45783</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45783</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45783</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45783</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45783</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45783</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45783</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45783</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45783</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45783</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45783</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45783</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45783</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45783</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45783</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45783</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45783</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45783</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45783</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45783</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45783</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45783</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45783</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45783</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45783</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45783</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45783</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45783</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45783</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45783</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45783</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45783</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45783</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45783</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45783</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45783</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45783</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45783</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45783</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45783</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45783</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45783</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45783</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45783</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45783</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45783</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45783</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45783</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45783</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45783</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45783</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45783</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45783</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45783</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45783</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45783</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45783</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45783</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45783</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45783</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45783</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45783</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45783</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45783</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45783</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45783</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45783</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45783</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45783</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45783</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45783</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45783</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45783</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45783</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45783</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45783</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45783</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45783</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45783</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45783</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45783</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45783</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45783</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45783</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45783</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45783</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45783</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45783</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45783</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16167-2025</t>
        </is>
      </c>
      <c r="B1476" s="1" t="n">
        <v>45750</v>
      </c>
      <c r="C1476" s="1" t="n">
        <v>45783</v>
      </c>
      <c r="D1476" t="inlineStr">
        <is>
          <t>VÄSTERNORRLANDS LÄN</t>
        </is>
      </c>
      <c r="E1476" t="inlineStr">
        <is>
          <t>KRAMFORS</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45783</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16114-2025</t>
        </is>
      </c>
      <c r="B1478" s="1" t="n">
        <v>45750</v>
      </c>
      <c r="C1478" s="1" t="n">
        <v>45783</v>
      </c>
      <c r="D1478" t="inlineStr">
        <is>
          <t>VÄSTERNORRLANDS LÄN</t>
        </is>
      </c>
      <c r="E1478" t="inlineStr">
        <is>
          <t>KRAMFORS</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16113-2025</t>
        </is>
      </c>
      <c r="B1479" s="1" t="n">
        <v>45750</v>
      </c>
      <c r="C1479" s="1" t="n">
        <v>45783</v>
      </c>
      <c r="D1479" t="inlineStr">
        <is>
          <t>VÄSTERNORRLANDS LÄN</t>
        </is>
      </c>
      <c r="E1479" t="inlineStr">
        <is>
          <t>KRAMFORS</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45783</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45783</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45783</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16763-2025</t>
        </is>
      </c>
      <c r="B1483" s="1" t="n">
        <v>45754</v>
      </c>
      <c r="C1483" s="1" t="n">
        <v>45783</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45783</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17257-2025</t>
        </is>
      </c>
      <c r="B1485" s="1" t="n">
        <v>45756</v>
      </c>
      <c r="C1485" s="1" t="n">
        <v>45783</v>
      </c>
      <c r="D1485" t="inlineStr">
        <is>
          <t>VÄSTERNORRLANDS LÄN</t>
        </is>
      </c>
      <c r="E1485" t="inlineStr">
        <is>
          <t>KRAMFORS</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17223-2025</t>
        </is>
      </c>
      <c r="B1486" s="1" t="n">
        <v>45756</v>
      </c>
      <c r="C1486" s="1" t="n">
        <v>45783</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45783</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45783</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45783</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45783</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18644-2025</t>
        </is>
      </c>
      <c r="B1491" s="1" t="n">
        <v>45763</v>
      </c>
      <c r="C1491" s="1" t="n">
        <v>45783</v>
      </c>
      <c r="D1491" t="inlineStr">
        <is>
          <t>VÄSTERNORRLANDS LÄN</t>
        </is>
      </c>
      <c r="E1491" t="inlineStr">
        <is>
          <t>KRAMFORS</t>
        </is>
      </c>
      <c r="F1491" t="inlineStr">
        <is>
          <t>SCA</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18646-2025</t>
        </is>
      </c>
      <c r="B1492" s="1" t="n">
        <v>45763</v>
      </c>
      <c r="C1492" s="1" t="n">
        <v>45783</v>
      </c>
      <c r="D1492" t="inlineStr">
        <is>
          <t>VÄSTERNORRLANDS LÄN</t>
        </is>
      </c>
      <c r="E1492" t="inlineStr">
        <is>
          <t>KRAMFORS</t>
        </is>
      </c>
      <c r="F1492" t="inlineStr">
        <is>
          <t>SCA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18655-2025</t>
        </is>
      </c>
      <c r="B1493" s="1" t="n">
        <v>45763</v>
      </c>
      <c r="C1493" s="1" t="n">
        <v>45783</v>
      </c>
      <c r="D1493" t="inlineStr">
        <is>
          <t>VÄSTERNORRLANDS LÄN</t>
        </is>
      </c>
      <c r="E1493" t="inlineStr">
        <is>
          <t>KRAMFORS</t>
        </is>
      </c>
      <c r="F1493" t="inlineStr">
        <is>
          <t>SCA</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45783</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18599-2025</t>
        </is>
      </c>
      <c r="B1495" s="1" t="n">
        <v>45763</v>
      </c>
      <c r="C1495" s="1" t="n">
        <v>45783</v>
      </c>
      <c r="D1495" t="inlineStr">
        <is>
          <t>VÄSTERNORRLANDS LÄN</t>
        </is>
      </c>
      <c r="E1495" t="inlineStr">
        <is>
          <t>KRAMFORS</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18643-2025</t>
        </is>
      </c>
      <c r="B1496" s="1" t="n">
        <v>45763</v>
      </c>
      <c r="C1496" s="1" t="n">
        <v>45783</v>
      </c>
      <c r="D1496" t="inlineStr">
        <is>
          <t>VÄSTERNORRLANDS LÄN</t>
        </is>
      </c>
      <c r="E1496" t="inlineStr">
        <is>
          <t>KRAMFORS</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45783</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18651-2025</t>
        </is>
      </c>
      <c r="B1498" s="1" t="n">
        <v>45763</v>
      </c>
      <c r="C1498" s="1" t="n">
        <v>45783</v>
      </c>
      <c r="D1498" t="inlineStr">
        <is>
          <t>VÄSTERNORRLANDS LÄN</t>
        </is>
      </c>
      <c r="E1498" t="inlineStr">
        <is>
          <t>KRAMFORS</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18618-2025</t>
        </is>
      </c>
      <c r="B1499" s="1" t="n">
        <v>45763</v>
      </c>
      <c r="C1499" s="1" t="n">
        <v>45783</v>
      </c>
      <c r="D1499" t="inlineStr">
        <is>
          <t>VÄSTERNORRLANDS LÄN</t>
        </is>
      </c>
      <c r="E1499" t="inlineStr">
        <is>
          <t>KRAMFORS</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18648-2025</t>
        </is>
      </c>
      <c r="B1500" s="1" t="n">
        <v>45763</v>
      </c>
      <c r="C1500" s="1" t="n">
        <v>45783</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18650-2025</t>
        </is>
      </c>
      <c r="B1501" s="1" t="n">
        <v>45763</v>
      </c>
      <c r="C1501" s="1" t="n">
        <v>45783</v>
      </c>
      <c r="D1501" t="inlineStr">
        <is>
          <t>VÄSTERNORRLANDS LÄN</t>
        </is>
      </c>
      <c r="E1501" t="inlineStr">
        <is>
          <t>KRAMFORS</t>
        </is>
      </c>
      <c r="F1501" t="inlineStr">
        <is>
          <t>SCA</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18653-2025</t>
        </is>
      </c>
      <c r="B1502" s="1" t="n">
        <v>45763</v>
      </c>
      <c r="C1502" s="1" t="n">
        <v>45783</v>
      </c>
      <c r="D1502" t="inlineStr">
        <is>
          <t>VÄSTERNORRLANDS LÄN</t>
        </is>
      </c>
      <c r="E1502" t="inlineStr">
        <is>
          <t>KRAMFORS</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18654-2025</t>
        </is>
      </c>
      <c r="B1503" s="1" t="n">
        <v>45763</v>
      </c>
      <c r="C1503" s="1" t="n">
        <v>45783</v>
      </c>
      <c r="D1503" t="inlineStr">
        <is>
          <t>VÄSTERNORRLANDS LÄN</t>
        </is>
      </c>
      <c r="E1503" t="inlineStr">
        <is>
          <t>KRAMFORS</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45783</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19021-2025</t>
        </is>
      </c>
      <c r="B1505" s="1" t="n">
        <v>45764</v>
      </c>
      <c r="C1505" s="1" t="n">
        <v>45783</v>
      </c>
      <c r="D1505" t="inlineStr">
        <is>
          <t>VÄSTERNORRLANDS LÄN</t>
        </is>
      </c>
      <c r="E1505" t="inlineStr">
        <is>
          <t>KRAMFORS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45783</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18930-2025</t>
        </is>
      </c>
      <c r="B1507" s="1" t="n">
        <v>45764</v>
      </c>
      <c r="C1507" s="1" t="n">
        <v>45783</v>
      </c>
      <c r="D1507" t="inlineStr">
        <is>
          <t>VÄSTERNORRLANDS LÄN</t>
        </is>
      </c>
      <c r="E1507" t="inlineStr">
        <is>
          <t>KRAMFORS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45783</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45783</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19124-2025</t>
        </is>
      </c>
      <c r="B1510" s="1" t="n">
        <v>45768</v>
      </c>
      <c r="C1510" s="1" t="n">
        <v>45783</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19150-2025</t>
        </is>
      </c>
      <c r="B1511" s="1" t="n">
        <v>45769</v>
      </c>
      <c r="C1511" s="1" t="n">
        <v>45783</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19494-2025</t>
        </is>
      </c>
      <c r="B1512" s="1" t="n">
        <v>45770</v>
      </c>
      <c r="C1512" s="1" t="n">
        <v>45783</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20823-2025</t>
        </is>
      </c>
      <c r="B1513" s="1" t="n">
        <v>45770</v>
      </c>
      <c r="C1513" s="1" t="n">
        <v>45783</v>
      </c>
      <c r="D1513" t="inlineStr">
        <is>
          <t>VÄSTERNORRLANDS LÄN</t>
        </is>
      </c>
      <c r="E1513" t="inlineStr">
        <is>
          <t>KRAMFORS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45783</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19780-2025</t>
        </is>
      </c>
      <c r="B1515" s="1" t="n">
        <v>45771</v>
      </c>
      <c r="C1515" s="1" t="n">
        <v>45783</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19777-2025</t>
        </is>
      </c>
      <c r="B1516" s="1" t="n">
        <v>45771</v>
      </c>
      <c r="C1516" s="1" t="n">
        <v>45783</v>
      </c>
      <c r="D1516" t="inlineStr">
        <is>
          <t>VÄSTERNORRLANDS LÄN</t>
        </is>
      </c>
      <c r="E1516" t="inlineStr">
        <is>
          <t>KRAMFORS</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45783</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20693-2025</t>
        </is>
      </c>
      <c r="B1518" s="1" t="n">
        <v>45776</v>
      </c>
      <c r="C1518" s="1" t="n">
        <v>45783</v>
      </c>
      <c r="D1518" t="inlineStr">
        <is>
          <t>VÄSTERNORRLANDS LÄN</t>
        </is>
      </c>
      <c r="E1518" t="inlineStr">
        <is>
          <t>KRAMFORS</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20936-2025</t>
        </is>
      </c>
      <c r="B1519" s="1" t="n">
        <v>45777</v>
      </c>
      <c r="C1519" s="1" t="n">
        <v>45783</v>
      </c>
      <c r="D1519" t="inlineStr">
        <is>
          <t>VÄSTERNORRLANDS LÄN</t>
        </is>
      </c>
      <c r="E1519" t="inlineStr">
        <is>
          <t>KRAMFORS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45783</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21434-2025</t>
        </is>
      </c>
      <c r="B1521" s="1" t="n">
        <v>45782</v>
      </c>
      <c r="C1521" s="1" t="n">
        <v>45783</v>
      </c>
      <c r="D1521" t="inlineStr">
        <is>
          <t>VÄSTERNORRLANDS LÄN</t>
        </is>
      </c>
      <c r="E1521" t="inlineStr">
        <is>
          <t>KRAMFORS</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45783</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c r="A1523" t="inlineStr">
        <is>
          <t>A 21533-2025</t>
        </is>
      </c>
      <c r="B1523" s="1" t="n">
        <v>45782</v>
      </c>
      <c r="C1523" s="1" t="n">
        <v>45783</v>
      </c>
      <c r="D1523" t="inlineStr">
        <is>
          <t>VÄSTERNORRLANDS LÄN</t>
        </is>
      </c>
      <c r="E1523" t="inlineStr">
        <is>
          <t>KRAMFORS</t>
        </is>
      </c>
      <c r="G1523" t="n">
        <v>5.1</v>
      </c>
      <c r="H1523" t="n">
        <v>0</v>
      </c>
      <c r="I1523" t="n">
        <v>0</v>
      </c>
      <c r="J1523" t="n">
        <v>0</v>
      </c>
      <c r="K1523" t="n">
        <v>0</v>
      </c>
      <c r="L1523" t="n">
        <v>0</v>
      </c>
      <c r="M1523" t="n">
        <v>0</v>
      </c>
      <c r="N1523" t="n">
        <v>0</v>
      </c>
      <c r="O1523" t="n">
        <v>0</v>
      </c>
      <c r="P1523" t="n">
        <v>0</v>
      </c>
      <c r="Q1523" t="n">
        <v>0</v>
      </c>
      <c r="R1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2025-05-06T17:18:36Z</dcterms:created>
  <dcterms:modified xmlns:dcterms="http://purl.org/dc/terms/" xmlns:xsi="http://www.w3.org/2001/XMLSchema-instance" xsi:type="dcterms:W3CDTF">2025-05-06T17:18:38Z</dcterms:modified>
</cp:coreProperties>
</file>