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45642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45642</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45642</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45642</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45642</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45642</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45642</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45642</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45642</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45642</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45642</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45642</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45642</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45642</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45642</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45642</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45642</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45642</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45642</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45642</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45642</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45642</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45642</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45642</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45642</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45642</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45642</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45642</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45642</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45642</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45642</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45642</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45642</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45642</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45642</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45642</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45642</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45642</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45642</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45642</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45642</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45642</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45642</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45642</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13332-2024</t>
        </is>
      </c>
      <c r="B46" s="1" t="n">
        <v>45387</v>
      </c>
      <c r="C46" s="1" t="n">
        <v>45642</v>
      </c>
      <c r="D46" t="inlineStr">
        <is>
          <t>VÄSTERNORRLANDS LÄN</t>
        </is>
      </c>
      <c r="E46" t="inlineStr">
        <is>
          <t>KRAMFORS</t>
        </is>
      </c>
      <c r="G46" t="n">
        <v>2.9</v>
      </c>
      <c r="H46" t="n">
        <v>1</v>
      </c>
      <c r="I46" t="n">
        <v>1</v>
      </c>
      <c r="J46" t="n">
        <v>0</v>
      </c>
      <c r="K46" t="n">
        <v>2</v>
      </c>
      <c r="L46" t="n">
        <v>0</v>
      </c>
      <c r="M46" t="n">
        <v>0</v>
      </c>
      <c r="N46" t="n">
        <v>0</v>
      </c>
      <c r="O46" t="n">
        <v>2</v>
      </c>
      <c r="P46" t="n">
        <v>2</v>
      </c>
      <c r="Q46" t="n">
        <v>3</v>
      </c>
      <c r="R46" s="2" t="inlineStr">
        <is>
          <t>Knärot
Rynkskinn
Vedticka</t>
        </is>
      </c>
      <c r="S46">
        <f>HYPERLINK("https://klasma.github.io/Logging_2282/artfynd/A 13332-2024 artfynd.xlsx", "A 13332-2024")</f>
        <v/>
      </c>
      <c r="T46">
        <f>HYPERLINK("https://klasma.github.io/Logging_2282/kartor/A 13332-2024 karta.png", "A 13332-2024")</f>
        <v/>
      </c>
      <c r="U46">
        <f>HYPERLINK("https://klasma.github.io/Logging_2282/knärot/A 13332-2024 karta knärot.png", "A 13332-2024")</f>
        <v/>
      </c>
      <c r="V46">
        <f>HYPERLINK("https://klasma.github.io/Logging_2282/klagomål/A 13332-2024 FSC-klagomål.docx", "A 13332-2024")</f>
        <v/>
      </c>
      <c r="W46">
        <f>HYPERLINK("https://klasma.github.io/Logging_2282/klagomålsmail/A 13332-2024 FSC-klagomål mail.docx", "A 13332-2024")</f>
        <v/>
      </c>
      <c r="X46">
        <f>HYPERLINK("https://klasma.github.io/Logging_2282/tillsyn/A 13332-2024 tillsynsbegäran.docx", "A 13332-2024")</f>
        <v/>
      </c>
      <c r="Y46">
        <f>HYPERLINK("https://klasma.github.io/Logging_2282/tillsynsmail/A 13332-2024 tillsynsbegäran mail.docx", "A 13332-2024")</f>
        <v/>
      </c>
    </row>
    <row r="47" ht="15" customHeight="1">
      <c r="A47" t="inlineStr">
        <is>
          <t>A 45006-2019</t>
        </is>
      </c>
      <c r="B47" s="1" t="n">
        <v>43707</v>
      </c>
      <c r="C47" s="1" t="n">
        <v>45642</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45642</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45642</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45642</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45642</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45642</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45642</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45642</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45642</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45642</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45642</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45642</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45642</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45642</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45642</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19437-2021</t>
        </is>
      </c>
      <c r="B62" s="1" t="n">
        <v>44310</v>
      </c>
      <c r="C62" s="1" t="n">
        <v>45642</v>
      </c>
      <c r="D62" t="inlineStr">
        <is>
          <t>VÄSTERNORRLANDS LÄN</t>
        </is>
      </c>
      <c r="E62" t="inlineStr">
        <is>
          <t>KRAMFORS</t>
        </is>
      </c>
      <c r="G62" t="n">
        <v>6.7</v>
      </c>
      <c r="H62" t="n">
        <v>1</v>
      </c>
      <c r="I62" t="n">
        <v>0</v>
      </c>
      <c r="J62" t="n">
        <v>0</v>
      </c>
      <c r="K62" t="n">
        <v>0</v>
      </c>
      <c r="L62" t="n">
        <v>0</v>
      </c>
      <c r="M62" t="n">
        <v>0</v>
      </c>
      <c r="N62" t="n">
        <v>0</v>
      </c>
      <c r="O62" t="n">
        <v>0</v>
      </c>
      <c r="P62" t="n">
        <v>0</v>
      </c>
      <c r="Q62" t="n">
        <v>1</v>
      </c>
      <c r="R62" s="2" t="inlineStr">
        <is>
          <t>Tjäder</t>
        </is>
      </c>
      <c r="S62">
        <f>HYPERLINK("https://klasma.github.io/Logging_2282/artfynd/A 19437-2021 artfynd.xlsx", "A 19437-2021")</f>
        <v/>
      </c>
      <c r="T62">
        <f>HYPERLINK("https://klasma.github.io/Logging_2282/kartor/A 19437-2021 karta.png", "A 19437-2021")</f>
        <v/>
      </c>
      <c r="V62">
        <f>HYPERLINK("https://klasma.github.io/Logging_2282/klagomål/A 19437-2021 FSC-klagomål.docx", "A 19437-2021")</f>
        <v/>
      </c>
      <c r="W62">
        <f>HYPERLINK("https://klasma.github.io/Logging_2282/klagomålsmail/A 19437-2021 FSC-klagomål mail.docx", "A 19437-2021")</f>
        <v/>
      </c>
      <c r="X62">
        <f>HYPERLINK("https://klasma.github.io/Logging_2282/tillsyn/A 19437-2021 tillsynsbegäran.docx", "A 19437-2021")</f>
        <v/>
      </c>
      <c r="Y62">
        <f>HYPERLINK("https://klasma.github.io/Logging_2282/tillsynsmail/A 19437-2021 tillsynsbegäran mail.docx", "A 19437-2021")</f>
        <v/>
      </c>
      <c r="Z62">
        <f>HYPERLINK("https://klasma.github.io/Logging_2282/fåglar/A 19437-2021 prioriterade fågelarter.docx", "A 19437-2021")</f>
        <v/>
      </c>
    </row>
    <row r="63" ht="15" customHeight="1">
      <c r="A63" t="inlineStr">
        <is>
          <t>A 20741-2021</t>
        </is>
      </c>
      <c r="B63" s="1" t="n">
        <v>44316</v>
      </c>
      <c r="C63" s="1" t="n">
        <v>45642</v>
      </c>
      <c r="D63" t="inlineStr">
        <is>
          <t>VÄSTERNORRLANDS LÄN</t>
        </is>
      </c>
      <c r="E63" t="inlineStr">
        <is>
          <t>KRAMFORS</t>
        </is>
      </c>
      <c r="G63" t="n">
        <v>4.9</v>
      </c>
      <c r="H63" t="n">
        <v>0</v>
      </c>
      <c r="I63" t="n">
        <v>1</v>
      </c>
      <c r="J63" t="n">
        <v>0</v>
      </c>
      <c r="K63" t="n">
        <v>0</v>
      </c>
      <c r="L63" t="n">
        <v>0</v>
      </c>
      <c r="M63" t="n">
        <v>0</v>
      </c>
      <c r="N63" t="n">
        <v>0</v>
      </c>
      <c r="O63" t="n">
        <v>0</v>
      </c>
      <c r="P63" t="n">
        <v>0</v>
      </c>
      <c r="Q63" t="n">
        <v>1</v>
      </c>
      <c r="R63" s="2" t="inlineStr">
        <is>
          <t>Vedticka</t>
        </is>
      </c>
      <c r="S63">
        <f>HYPERLINK("https://klasma.github.io/Logging_2282/artfynd/A 20741-2021 artfynd.xlsx", "A 20741-2021")</f>
        <v/>
      </c>
      <c r="T63">
        <f>HYPERLINK("https://klasma.github.io/Logging_2282/kartor/A 20741-2021 karta.png", "A 20741-2021")</f>
        <v/>
      </c>
      <c r="V63">
        <f>HYPERLINK("https://klasma.github.io/Logging_2282/klagomål/A 20741-2021 FSC-klagomål.docx", "A 20741-2021")</f>
        <v/>
      </c>
      <c r="W63">
        <f>HYPERLINK("https://klasma.github.io/Logging_2282/klagomålsmail/A 20741-2021 FSC-klagomål mail.docx", "A 20741-2021")</f>
        <v/>
      </c>
      <c r="X63">
        <f>HYPERLINK("https://klasma.github.io/Logging_2282/tillsyn/A 20741-2021 tillsynsbegäran.docx", "A 20741-2021")</f>
        <v/>
      </c>
      <c r="Y63">
        <f>HYPERLINK("https://klasma.github.io/Logging_2282/tillsynsmail/A 20741-2021 tillsynsbegäran mail.docx", "A 20741-2021")</f>
        <v/>
      </c>
    </row>
    <row r="64" ht="15" customHeight="1">
      <c r="A64" t="inlineStr">
        <is>
          <t>A 22382-2022</t>
        </is>
      </c>
      <c r="B64" s="1" t="n">
        <v>44713</v>
      </c>
      <c r="C64" s="1" t="n">
        <v>45642</v>
      </c>
      <c r="D64" t="inlineStr">
        <is>
          <t>VÄSTERNORRLANDS LÄN</t>
        </is>
      </c>
      <c r="E64" t="inlineStr">
        <is>
          <t>KRAMFORS</t>
        </is>
      </c>
      <c r="G64" t="n">
        <v>1.5</v>
      </c>
      <c r="H64" t="n">
        <v>1</v>
      </c>
      <c r="I64" t="n">
        <v>0</v>
      </c>
      <c r="J64" t="n">
        <v>1</v>
      </c>
      <c r="K64" t="n">
        <v>0</v>
      </c>
      <c r="L64" t="n">
        <v>0</v>
      </c>
      <c r="M64" t="n">
        <v>0</v>
      </c>
      <c r="N64" t="n">
        <v>0</v>
      </c>
      <c r="O64" t="n">
        <v>1</v>
      </c>
      <c r="P64" t="n">
        <v>0</v>
      </c>
      <c r="Q64" t="n">
        <v>1</v>
      </c>
      <c r="R64" s="2" t="inlineStr">
        <is>
          <t>Spillkråka</t>
        </is>
      </c>
      <c r="S64">
        <f>HYPERLINK("https://klasma.github.io/Logging_2282/artfynd/A 22382-2022 artfynd.xlsx", "A 22382-2022")</f>
        <v/>
      </c>
      <c r="T64">
        <f>HYPERLINK("https://klasma.github.io/Logging_2282/kartor/A 22382-2022 karta.png", "A 22382-2022")</f>
        <v/>
      </c>
      <c r="V64">
        <f>HYPERLINK("https://klasma.github.io/Logging_2282/klagomål/A 22382-2022 FSC-klagomål.docx", "A 22382-2022")</f>
        <v/>
      </c>
      <c r="W64">
        <f>HYPERLINK("https://klasma.github.io/Logging_2282/klagomålsmail/A 22382-2022 FSC-klagomål mail.docx", "A 22382-2022")</f>
        <v/>
      </c>
      <c r="X64">
        <f>HYPERLINK("https://klasma.github.io/Logging_2282/tillsyn/A 22382-2022 tillsynsbegäran.docx", "A 22382-2022")</f>
        <v/>
      </c>
      <c r="Y64">
        <f>HYPERLINK("https://klasma.github.io/Logging_2282/tillsynsmail/A 22382-2022 tillsynsbegäran mail.docx", "A 22382-2022")</f>
        <v/>
      </c>
      <c r="Z64">
        <f>HYPERLINK("https://klasma.github.io/Logging_2282/fåglar/A 22382-2022 prioriterade fågelarter.docx", "A 22382-2022")</f>
        <v/>
      </c>
    </row>
    <row r="65" ht="15" customHeight="1">
      <c r="A65" t="inlineStr">
        <is>
          <t>A 21885-2023</t>
        </is>
      </c>
      <c r="B65" s="1" t="n">
        <v>45065</v>
      </c>
      <c r="C65" s="1" t="n">
        <v>45642</v>
      </c>
      <c r="D65" t="inlineStr">
        <is>
          <t>VÄSTERNORRLANDS LÄN</t>
        </is>
      </c>
      <c r="E65" t="inlineStr">
        <is>
          <t>KRAMFORS</t>
        </is>
      </c>
      <c r="G65" t="n">
        <v>1.9</v>
      </c>
      <c r="H65" t="n">
        <v>0</v>
      </c>
      <c r="I65" t="n">
        <v>1</v>
      </c>
      <c r="J65" t="n">
        <v>0</v>
      </c>
      <c r="K65" t="n">
        <v>0</v>
      </c>
      <c r="L65" t="n">
        <v>0</v>
      </c>
      <c r="M65" t="n">
        <v>0</v>
      </c>
      <c r="N65" t="n">
        <v>0</v>
      </c>
      <c r="O65" t="n">
        <v>0</v>
      </c>
      <c r="P65" t="n">
        <v>0</v>
      </c>
      <c r="Q65" t="n">
        <v>1</v>
      </c>
      <c r="R65" s="2" t="inlineStr">
        <is>
          <t>Svart trolldruva</t>
        </is>
      </c>
      <c r="S65">
        <f>HYPERLINK("https://klasma.github.io/Logging_2282/artfynd/A 21885-2023 artfynd.xlsx", "A 21885-2023")</f>
        <v/>
      </c>
      <c r="T65">
        <f>HYPERLINK("https://klasma.github.io/Logging_2282/kartor/A 21885-2023 karta.png", "A 21885-2023")</f>
        <v/>
      </c>
      <c r="V65">
        <f>HYPERLINK("https://klasma.github.io/Logging_2282/klagomål/A 21885-2023 FSC-klagomål.docx", "A 21885-2023")</f>
        <v/>
      </c>
      <c r="W65">
        <f>HYPERLINK("https://klasma.github.io/Logging_2282/klagomålsmail/A 21885-2023 FSC-klagomål mail.docx", "A 21885-2023")</f>
        <v/>
      </c>
      <c r="X65">
        <f>HYPERLINK("https://klasma.github.io/Logging_2282/tillsyn/A 21885-2023 tillsynsbegäran.docx", "A 21885-2023")</f>
        <v/>
      </c>
      <c r="Y65">
        <f>HYPERLINK("https://klasma.github.io/Logging_2282/tillsynsmail/A 21885-2023 tillsynsbegäran mail.docx", "A 21885-2023")</f>
        <v/>
      </c>
    </row>
    <row r="66" ht="15" customHeight="1">
      <c r="A66" t="inlineStr">
        <is>
          <t>A 29073-2023</t>
        </is>
      </c>
      <c r="B66" s="1" t="n">
        <v>45105</v>
      </c>
      <c r="C66" s="1" t="n">
        <v>45642</v>
      </c>
      <c r="D66" t="inlineStr">
        <is>
          <t>VÄSTERNORRLANDS LÄN</t>
        </is>
      </c>
      <c r="E66" t="inlineStr">
        <is>
          <t>KRAMFORS</t>
        </is>
      </c>
      <c r="F66" t="inlineStr">
        <is>
          <t>SCA</t>
        </is>
      </c>
      <c r="G66" t="n">
        <v>5.5</v>
      </c>
      <c r="H66" t="n">
        <v>1</v>
      </c>
      <c r="I66" t="n">
        <v>0</v>
      </c>
      <c r="J66" t="n">
        <v>1</v>
      </c>
      <c r="K66" t="n">
        <v>0</v>
      </c>
      <c r="L66" t="n">
        <v>0</v>
      </c>
      <c r="M66" t="n">
        <v>0</v>
      </c>
      <c r="N66" t="n">
        <v>0</v>
      </c>
      <c r="O66" t="n">
        <v>1</v>
      </c>
      <c r="P66" t="n">
        <v>0</v>
      </c>
      <c r="Q66" t="n">
        <v>1</v>
      </c>
      <c r="R66" s="2" t="inlineStr">
        <is>
          <t>Tretåig hackspett</t>
        </is>
      </c>
      <c r="S66">
        <f>HYPERLINK("https://klasma.github.io/Logging_2282/artfynd/A 29073-2023 artfynd.xlsx", "A 29073-2023")</f>
        <v/>
      </c>
      <c r="T66">
        <f>HYPERLINK("https://klasma.github.io/Logging_2282/kartor/A 29073-2023 karta.png", "A 29073-2023")</f>
        <v/>
      </c>
      <c r="U66">
        <f>HYPERLINK("https://klasma.github.io/Logging_2282/knärot/A 29073-2023 karta knärot.png", "A 29073-2023")</f>
        <v/>
      </c>
      <c r="V66">
        <f>HYPERLINK("https://klasma.github.io/Logging_2282/klagomål/A 29073-2023 FSC-klagomål.docx", "A 29073-2023")</f>
        <v/>
      </c>
      <c r="W66">
        <f>HYPERLINK("https://klasma.github.io/Logging_2282/klagomålsmail/A 29073-2023 FSC-klagomål mail.docx", "A 29073-2023")</f>
        <v/>
      </c>
      <c r="X66">
        <f>HYPERLINK("https://klasma.github.io/Logging_2282/tillsyn/A 29073-2023 tillsynsbegäran.docx", "A 29073-2023")</f>
        <v/>
      </c>
      <c r="Y66">
        <f>HYPERLINK("https://klasma.github.io/Logging_2282/tillsynsmail/A 29073-2023 tillsynsbegäran mail.docx", "A 29073-2023")</f>
        <v/>
      </c>
      <c r="Z66">
        <f>HYPERLINK("https://klasma.github.io/Logging_2282/fåglar/A 29073-2023 prioriterade fågelarter.docx", "A 29073-2023")</f>
        <v/>
      </c>
    </row>
    <row r="67" ht="15" customHeight="1">
      <c r="A67" t="inlineStr">
        <is>
          <t>A 45947-2023</t>
        </is>
      </c>
      <c r="B67" s="1" t="n">
        <v>45195</v>
      </c>
      <c r="C67" s="1" t="n">
        <v>45642</v>
      </c>
      <c r="D67" t="inlineStr">
        <is>
          <t>VÄSTERNORRLANDS LÄN</t>
        </is>
      </c>
      <c r="E67" t="inlineStr">
        <is>
          <t>KRAMFORS</t>
        </is>
      </c>
      <c r="F67" t="inlineStr">
        <is>
          <t>SCA</t>
        </is>
      </c>
      <c r="G67" t="n">
        <v>1.7</v>
      </c>
      <c r="H67" t="n">
        <v>0</v>
      </c>
      <c r="I67" t="n">
        <v>1</v>
      </c>
      <c r="J67" t="n">
        <v>0</v>
      </c>
      <c r="K67" t="n">
        <v>0</v>
      </c>
      <c r="L67" t="n">
        <v>0</v>
      </c>
      <c r="M67" t="n">
        <v>0</v>
      </c>
      <c r="N67" t="n">
        <v>0</v>
      </c>
      <c r="O67" t="n">
        <v>0</v>
      </c>
      <c r="P67" t="n">
        <v>0</v>
      </c>
      <c r="Q67" t="n">
        <v>1</v>
      </c>
      <c r="R67" s="2" t="inlineStr">
        <is>
          <t>Kattfotslav</t>
        </is>
      </c>
      <c r="S67">
        <f>HYPERLINK("https://klasma.github.io/Logging_2282/artfynd/A 45947-2023 artfynd.xlsx", "A 45947-2023")</f>
        <v/>
      </c>
      <c r="T67">
        <f>HYPERLINK("https://klasma.github.io/Logging_2282/kartor/A 45947-2023 karta.png", "A 45947-2023")</f>
        <v/>
      </c>
      <c r="V67">
        <f>HYPERLINK("https://klasma.github.io/Logging_2282/klagomål/A 45947-2023 FSC-klagomål.docx", "A 45947-2023")</f>
        <v/>
      </c>
      <c r="W67">
        <f>HYPERLINK("https://klasma.github.io/Logging_2282/klagomålsmail/A 45947-2023 FSC-klagomål mail.docx", "A 45947-2023")</f>
        <v/>
      </c>
      <c r="X67">
        <f>HYPERLINK("https://klasma.github.io/Logging_2282/tillsyn/A 45947-2023 tillsynsbegäran.docx", "A 45947-2023")</f>
        <v/>
      </c>
      <c r="Y67">
        <f>HYPERLINK("https://klasma.github.io/Logging_2282/tillsynsmail/A 45947-2023 tillsynsbegäran mail.docx", "A 45947-2023")</f>
        <v/>
      </c>
    </row>
    <row r="68" ht="15" customHeight="1">
      <c r="A68" t="inlineStr">
        <is>
          <t>A 48970-2023</t>
        </is>
      </c>
      <c r="B68" s="1" t="n">
        <v>45204</v>
      </c>
      <c r="C68" s="1" t="n">
        <v>45642</v>
      </c>
      <c r="D68" t="inlineStr">
        <is>
          <t>VÄSTERNORRLANDS LÄN</t>
        </is>
      </c>
      <c r="E68" t="inlineStr">
        <is>
          <t>KRAMFORS</t>
        </is>
      </c>
      <c r="G68" t="n">
        <v>3.9</v>
      </c>
      <c r="H68" t="n">
        <v>1</v>
      </c>
      <c r="I68" t="n">
        <v>0</v>
      </c>
      <c r="J68" t="n">
        <v>1</v>
      </c>
      <c r="K68" t="n">
        <v>0</v>
      </c>
      <c r="L68" t="n">
        <v>0</v>
      </c>
      <c r="M68" t="n">
        <v>0</v>
      </c>
      <c r="N68" t="n">
        <v>0</v>
      </c>
      <c r="O68" t="n">
        <v>1</v>
      </c>
      <c r="P68" t="n">
        <v>0</v>
      </c>
      <c r="Q68" t="n">
        <v>1</v>
      </c>
      <c r="R68" s="2" t="inlineStr">
        <is>
          <t>Tretåig hackspett</t>
        </is>
      </c>
      <c r="S68">
        <f>HYPERLINK("https://klasma.github.io/Logging_2282/artfynd/A 48970-2023 artfynd.xlsx", "A 48970-2023")</f>
        <v/>
      </c>
      <c r="T68">
        <f>HYPERLINK("https://klasma.github.io/Logging_2282/kartor/A 48970-2023 karta.png", "A 48970-2023")</f>
        <v/>
      </c>
      <c r="V68">
        <f>HYPERLINK("https://klasma.github.io/Logging_2282/klagomål/A 48970-2023 FSC-klagomål.docx", "A 48970-2023")</f>
        <v/>
      </c>
      <c r="W68">
        <f>HYPERLINK("https://klasma.github.io/Logging_2282/klagomålsmail/A 48970-2023 FSC-klagomål mail.docx", "A 48970-2023")</f>
        <v/>
      </c>
      <c r="X68">
        <f>HYPERLINK("https://klasma.github.io/Logging_2282/tillsyn/A 48970-2023 tillsynsbegäran.docx", "A 48970-2023")</f>
        <v/>
      </c>
      <c r="Y68">
        <f>HYPERLINK("https://klasma.github.io/Logging_2282/tillsynsmail/A 48970-2023 tillsynsbegäran mail.docx", "A 48970-2023")</f>
        <v/>
      </c>
      <c r="Z68">
        <f>HYPERLINK("https://klasma.github.io/Logging_2282/fåglar/A 48970-2023 prioriterade fågelarter.docx", "A 48970-2023")</f>
        <v/>
      </c>
    </row>
    <row r="69" ht="15" customHeight="1">
      <c r="A69" t="inlineStr">
        <is>
          <t>A 49656-2023</t>
        </is>
      </c>
      <c r="B69" s="1" t="n">
        <v>45211</v>
      </c>
      <c r="C69" s="1" t="n">
        <v>45642</v>
      </c>
      <c r="D69" t="inlineStr">
        <is>
          <t>VÄSTERNORRLANDS LÄN</t>
        </is>
      </c>
      <c r="E69" t="inlineStr">
        <is>
          <t>KRAMFORS</t>
        </is>
      </c>
      <c r="F69" t="inlineStr">
        <is>
          <t>SCA</t>
        </is>
      </c>
      <c r="G69" t="n">
        <v>2.9</v>
      </c>
      <c r="H69" t="n">
        <v>0</v>
      </c>
      <c r="I69" t="n">
        <v>0</v>
      </c>
      <c r="J69" t="n">
        <v>1</v>
      </c>
      <c r="K69" t="n">
        <v>0</v>
      </c>
      <c r="L69" t="n">
        <v>0</v>
      </c>
      <c r="M69" t="n">
        <v>0</v>
      </c>
      <c r="N69" t="n">
        <v>0</v>
      </c>
      <c r="O69" t="n">
        <v>1</v>
      </c>
      <c r="P69" t="n">
        <v>0</v>
      </c>
      <c r="Q69" t="n">
        <v>1</v>
      </c>
      <c r="R69" s="2" t="inlineStr">
        <is>
          <t>Rosenticka</t>
        </is>
      </c>
      <c r="S69">
        <f>HYPERLINK("https://klasma.github.io/Logging_2282/artfynd/A 49656-2023 artfynd.xlsx", "A 49656-2023")</f>
        <v/>
      </c>
      <c r="T69">
        <f>HYPERLINK("https://klasma.github.io/Logging_2282/kartor/A 49656-2023 karta.png", "A 49656-2023")</f>
        <v/>
      </c>
      <c r="V69">
        <f>HYPERLINK("https://klasma.github.io/Logging_2282/klagomål/A 49656-2023 FSC-klagomål.docx", "A 49656-2023")</f>
        <v/>
      </c>
      <c r="W69">
        <f>HYPERLINK("https://klasma.github.io/Logging_2282/klagomålsmail/A 49656-2023 FSC-klagomål mail.docx", "A 49656-2023")</f>
        <v/>
      </c>
      <c r="X69">
        <f>HYPERLINK("https://klasma.github.io/Logging_2282/tillsyn/A 49656-2023 tillsynsbegäran.docx", "A 49656-2023")</f>
        <v/>
      </c>
      <c r="Y69">
        <f>HYPERLINK("https://klasma.github.io/Logging_2282/tillsynsmail/A 49656-2023 tillsynsbegäran mail.docx", "A 49656-2023")</f>
        <v/>
      </c>
    </row>
    <row r="70" ht="15" customHeight="1">
      <c r="A70" t="inlineStr">
        <is>
          <t>A 55626-2023</t>
        </is>
      </c>
      <c r="B70" s="1" t="n">
        <v>45238</v>
      </c>
      <c r="C70" s="1" t="n">
        <v>45642</v>
      </c>
      <c r="D70" t="inlineStr">
        <is>
          <t>VÄSTERNORRLANDS LÄN</t>
        </is>
      </c>
      <c r="E70" t="inlineStr">
        <is>
          <t>KRAMFORS</t>
        </is>
      </c>
      <c r="G70" t="n">
        <v>8</v>
      </c>
      <c r="H70" t="n">
        <v>0</v>
      </c>
      <c r="I70" t="n">
        <v>0</v>
      </c>
      <c r="J70" t="n">
        <v>1</v>
      </c>
      <c r="K70" t="n">
        <v>0</v>
      </c>
      <c r="L70" t="n">
        <v>0</v>
      </c>
      <c r="M70" t="n">
        <v>0</v>
      </c>
      <c r="N70" t="n">
        <v>0</v>
      </c>
      <c r="O70" t="n">
        <v>1</v>
      </c>
      <c r="P70" t="n">
        <v>0</v>
      </c>
      <c r="Q70" t="n">
        <v>1</v>
      </c>
      <c r="R70" s="2" t="inlineStr">
        <is>
          <t>Gränsticka</t>
        </is>
      </c>
      <c r="S70">
        <f>HYPERLINK("https://klasma.github.io/Logging_2282/artfynd/A 55626-2023 artfynd.xlsx", "A 55626-2023")</f>
        <v/>
      </c>
      <c r="T70">
        <f>HYPERLINK("https://klasma.github.io/Logging_2282/kartor/A 55626-2023 karta.png", "A 55626-2023")</f>
        <v/>
      </c>
      <c r="V70">
        <f>HYPERLINK("https://klasma.github.io/Logging_2282/klagomål/A 55626-2023 FSC-klagomål.docx", "A 55626-2023")</f>
        <v/>
      </c>
      <c r="W70">
        <f>HYPERLINK("https://klasma.github.io/Logging_2282/klagomålsmail/A 55626-2023 FSC-klagomål mail.docx", "A 55626-2023")</f>
        <v/>
      </c>
      <c r="X70">
        <f>HYPERLINK("https://klasma.github.io/Logging_2282/tillsyn/A 55626-2023 tillsynsbegäran.docx", "A 55626-2023")</f>
        <v/>
      </c>
      <c r="Y70">
        <f>HYPERLINK("https://klasma.github.io/Logging_2282/tillsynsmail/A 55626-2023 tillsynsbegäran mail.docx", "A 55626-2023")</f>
        <v/>
      </c>
    </row>
    <row r="71" ht="15" customHeight="1">
      <c r="A71" t="inlineStr">
        <is>
          <t>A 57056-2023</t>
        </is>
      </c>
      <c r="B71" s="1" t="n">
        <v>45244</v>
      </c>
      <c r="C71" s="1" t="n">
        <v>45642</v>
      </c>
      <c r="D71" t="inlineStr">
        <is>
          <t>VÄSTERNORRLANDS LÄN</t>
        </is>
      </c>
      <c r="E71" t="inlineStr">
        <is>
          <t>KRAMFORS</t>
        </is>
      </c>
      <c r="G71" t="n">
        <v>15.9</v>
      </c>
      <c r="H71" t="n">
        <v>0</v>
      </c>
      <c r="I71" t="n">
        <v>0</v>
      </c>
      <c r="J71" t="n">
        <v>1</v>
      </c>
      <c r="K71" t="n">
        <v>0</v>
      </c>
      <c r="L71" t="n">
        <v>0</v>
      </c>
      <c r="M71" t="n">
        <v>0</v>
      </c>
      <c r="N71" t="n">
        <v>0</v>
      </c>
      <c r="O71" t="n">
        <v>1</v>
      </c>
      <c r="P71" t="n">
        <v>0</v>
      </c>
      <c r="Q71" t="n">
        <v>1</v>
      </c>
      <c r="R71" s="2" t="inlineStr">
        <is>
          <t>Garnlav</t>
        </is>
      </c>
      <c r="S71">
        <f>HYPERLINK("https://klasma.github.io/Logging_2282/artfynd/A 57056-2023 artfynd.xlsx", "A 57056-2023")</f>
        <v/>
      </c>
      <c r="T71">
        <f>HYPERLINK("https://klasma.github.io/Logging_2282/kartor/A 57056-2023 karta.png", "A 57056-2023")</f>
        <v/>
      </c>
      <c r="V71">
        <f>HYPERLINK("https://klasma.github.io/Logging_2282/klagomål/A 57056-2023 FSC-klagomål.docx", "A 57056-2023")</f>
        <v/>
      </c>
      <c r="W71">
        <f>HYPERLINK("https://klasma.github.io/Logging_2282/klagomålsmail/A 57056-2023 FSC-klagomål mail.docx", "A 57056-2023")</f>
        <v/>
      </c>
      <c r="X71">
        <f>HYPERLINK("https://klasma.github.io/Logging_2282/tillsyn/A 57056-2023 tillsynsbegäran.docx", "A 57056-2023")</f>
        <v/>
      </c>
      <c r="Y71">
        <f>HYPERLINK("https://klasma.github.io/Logging_2282/tillsynsmail/A 57056-2023 tillsynsbegäran mail.docx", "A 57056-2023")</f>
        <v/>
      </c>
    </row>
    <row r="72" ht="15" customHeight="1">
      <c r="A72" t="inlineStr">
        <is>
          <t>A 1073-2024</t>
        </is>
      </c>
      <c r="B72" s="1" t="n">
        <v>45301</v>
      </c>
      <c r="C72" s="1" t="n">
        <v>45642</v>
      </c>
      <c r="D72" t="inlineStr">
        <is>
          <t>VÄSTERNORRLANDS LÄN</t>
        </is>
      </c>
      <c r="E72" t="inlineStr">
        <is>
          <t>KRAMFORS</t>
        </is>
      </c>
      <c r="G72" t="n">
        <v>1.8</v>
      </c>
      <c r="H72" t="n">
        <v>1</v>
      </c>
      <c r="I72" t="n">
        <v>0</v>
      </c>
      <c r="J72" t="n">
        <v>1</v>
      </c>
      <c r="K72" t="n">
        <v>0</v>
      </c>
      <c r="L72" t="n">
        <v>0</v>
      </c>
      <c r="M72" t="n">
        <v>0</v>
      </c>
      <c r="N72" t="n">
        <v>0</v>
      </c>
      <c r="O72" t="n">
        <v>1</v>
      </c>
      <c r="P72" t="n">
        <v>0</v>
      </c>
      <c r="Q72" t="n">
        <v>1</v>
      </c>
      <c r="R72" s="2" t="inlineStr">
        <is>
          <t>Spillkråka</t>
        </is>
      </c>
      <c r="S72">
        <f>HYPERLINK("https://klasma.github.io/Logging_2282/artfynd/A 1073-2024 artfynd.xlsx", "A 1073-2024")</f>
        <v/>
      </c>
      <c r="T72">
        <f>HYPERLINK("https://klasma.github.io/Logging_2282/kartor/A 1073-2024 karta.png", "A 1073-2024")</f>
        <v/>
      </c>
      <c r="V72">
        <f>HYPERLINK("https://klasma.github.io/Logging_2282/klagomål/A 1073-2024 FSC-klagomål.docx", "A 1073-2024")</f>
        <v/>
      </c>
      <c r="W72">
        <f>HYPERLINK("https://klasma.github.io/Logging_2282/klagomålsmail/A 1073-2024 FSC-klagomål mail.docx", "A 1073-2024")</f>
        <v/>
      </c>
      <c r="X72">
        <f>HYPERLINK("https://klasma.github.io/Logging_2282/tillsyn/A 1073-2024 tillsynsbegäran.docx", "A 1073-2024")</f>
        <v/>
      </c>
      <c r="Y72">
        <f>HYPERLINK("https://klasma.github.io/Logging_2282/tillsynsmail/A 1073-2024 tillsynsbegäran mail.docx", "A 1073-2024")</f>
        <v/>
      </c>
      <c r="Z72">
        <f>HYPERLINK("https://klasma.github.io/Logging_2282/fåglar/A 1073-2024 prioriterade fågelarter.docx", "A 1073-2024")</f>
        <v/>
      </c>
    </row>
    <row r="73" ht="15" customHeight="1">
      <c r="A73" t="inlineStr">
        <is>
          <t>A 7153-2024</t>
        </is>
      </c>
      <c r="B73" s="1" t="n">
        <v>45344</v>
      </c>
      <c r="C73" s="1" t="n">
        <v>45642</v>
      </c>
      <c r="D73" t="inlineStr">
        <is>
          <t>VÄSTERNORRLANDS LÄN</t>
        </is>
      </c>
      <c r="E73" t="inlineStr">
        <is>
          <t>KRAMFORS</t>
        </is>
      </c>
      <c r="G73" t="n">
        <v>7.6</v>
      </c>
      <c r="H73" t="n">
        <v>0</v>
      </c>
      <c r="I73" t="n">
        <v>0</v>
      </c>
      <c r="J73" t="n">
        <v>1</v>
      </c>
      <c r="K73" t="n">
        <v>0</v>
      </c>
      <c r="L73" t="n">
        <v>0</v>
      </c>
      <c r="M73" t="n">
        <v>0</v>
      </c>
      <c r="N73" t="n">
        <v>0</v>
      </c>
      <c r="O73" t="n">
        <v>1</v>
      </c>
      <c r="P73" t="n">
        <v>0</v>
      </c>
      <c r="Q73" t="n">
        <v>1</v>
      </c>
      <c r="R73" s="2" t="inlineStr">
        <is>
          <t>Luddfingersvamp</t>
        </is>
      </c>
      <c r="S73">
        <f>HYPERLINK("https://klasma.github.io/Logging_2282/artfynd/A 7153-2024 artfynd.xlsx", "A 7153-2024")</f>
        <v/>
      </c>
      <c r="T73">
        <f>HYPERLINK("https://klasma.github.io/Logging_2282/kartor/A 7153-2024 karta.png", "A 7153-2024")</f>
        <v/>
      </c>
      <c r="V73">
        <f>HYPERLINK("https://klasma.github.io/Logging_2282/klagomål/A 7153-2024 FSC-klagomål.docx", "A 7153-2024")</f>
        <v/>
      </c>
      <c r="W73">
        <f>HYPERLINK("https://klasma.github.io/Logging_2282/klagomålsmail/A 7153-2024 FSC-klagomål mail.docx", "A 7153-2024")</f>
        <v/>
      </c>
      <c r="X73">
        <f>HYPERLINK("https://klasma.github.io/Logging_2282/tillsyn/A 7153-2024 tillsynsbegäran.docx", "A 7153-2024")</f>
        <v/>
      </c>
      <c r="Y73">
        <f>HYPERLINK("https://klasma.github.io/Logging_2282/tillsynsmail/A 7153-2024 tillsynsbegäran mail.docx", "A 7153-2024")</f>
        <v/>
      </c>
    </row>
    <row r="74" ht="15" customHeight="1">
      <c r="A74" t="inlineStr">
        <is>
          <t>A 11086-2024</t>
        </is>
      </c>
      <c r="B74" s="1" t="n">
        <v>45370</v>
      </c>
      <c r="C74" s="1" t="n">
        <v>45642</v>
      </c>
      <c r="D74" t="inlineStr">
        <is>
          <t>VÄSTERNORRLANDS LÄN</t>
        </is>
      </c>
      <c r="E74" t="inlineStr">
        <is>
          <t>KRAMFORS</t>
        </is>
      </c>
      <c r="F74" t="inlineStr">
        <is>
          <t>SCA</t>
        </is>
      </c>
      <c r="G74" t="n">
        <v>10.1</v>
      </c>
      <c r="H74" t="n">
        <v>1</v>
      </c>
      <c r="I74" t="n">
        <v>0</v>
      </c>
      <c r="J74" t="n">
        <v>1</v>
      </c>
      <c r="K74" t="n">
        <v>0</v>
      </c>
      <c r="L74" t="n">
        <v>0</v>
      </c>
      <c r="M74" t="n">
        <v>0</v>
      </c>
      <c r="N74" t="n">
        <v>0</v>
      </c>
      <c r="O74" t="n">
        <v>1</v>
      </c>
      <c r="P74" t="n">
        <v>0</v>
      </c>
      <c r="Q74" t="n">
        <v>1</v>
      </c>
      <c r="R74" s="2" t="inlineStr">
        <is>
          <t>Utter</t>
        </is>
      </c>
      <c r="S74">
        <f>HYPERLINK("https://klasma.github.io/Logging_2282/artfynd/A 11086-2024 artfynd.xlsx", "A 11086-2024")</f>
        <v/>
      </c>
      <c r="T74">
        <f>HYPERLINK("https://klasma.github.io/Logging_2282/kartor/A 11086-2024 karta.png", "A 11086-2024")</f>
        <v/>
      </c>
      <c r="V74">
        <f>HYPERLINK("https://klasma.github.io/Logging_2282/klagomål/A 11086-2024 FSC-klagomål.docx", "A 11086-2024")</f>
        <v/>
      </c>
      <c r="W74">
        <f>HYPERLINK("https://klasma.github.io/Logging_2282/klagomålsmail/A 11086-2024 FSC-klagomål mail.docx", "A 11086-2024")</f>
        <v/>
      </c>
      <c r="X74">
        <f>HYPERLINK("https://klasma.github.io/Logging_2282/tillsyn/A 11086-2024 tillsynsbegäran.docx", "A 11086-2024")</f>
        <v/>
      </c>
      <c r="Y74">
        <f>HYPERLINK("https://klasma.github.io/Logging_2282/tillsynsmail/A 11086-2024 tillsynsbegäran mail.docx", "A 11086-2024")</f>
        <v/>
      </c>
    </row>
    <row r="75" ht="15" customHeight="1">
      <c r="A75" t="inlineStr">
        <is>
          <t>A 18842-2019</t>
        </is>
      </c>
      <c r="B75" s="1" t="n">
        <v>43563</v>
      </c>
      <c r="C75" s="1" t="n">
        <v>45642</v>
      </c>
      <c r="D75" t="inlineStr">
        <is>
          <t>VÄSTERNORRLANDS LÄN</t>
        </is>
      </c>
      <c r="E75" t="inlineStr">
        <is>
          <t>KRAMFORS</t>
        </is>
      </c>
      <c r="G75" t="n">
        <v>1.2</v>
      </c>
      <c r="H75" t="n">
        <v>0</v>
      </c>
      <c r="I75" t="n">
        <v>0</v>
      </c>
      <c r="J75" t="n">
        <v>0</v>
      </c>
      <c r="K75" t="n">
        <v>0</v>
      </c>
      <c r="L75" t="n">
        <v>0</v>
      </c>
      <c r="M75" t="n">
        <v>0</v>
      </c>
      <c r="N75" t="n">
        <v>0</v>
      </c>
      <c r="O75" t="n">
        <v>0</v>
      </c>
      <c r="P75" t="n">
        <v>0</v>
      </c>
      <c r="Q75" t="n">
        <v>0</v>
      </c>
      <c r="R75" s="2" t="inlineStr"/>
    </row>
    <row r="76" ht="15" customHeight="1">
      <c r="A76" t="inlineStr">
        <is>
          <t>A 19254-2019</t>
        </is>
      </c>
      <c r="B76" s="1" t="n">
        <v>43564</v>
      </c>
      <c r="C76" s="1" t="n">
        <v>45642</v>
      </c>
      <c r="D76" t="inlineStr">
        <is>
          <t>VÄSTERNORRLANDS LÄN</t>
        </is>
      </c>
      <c r="E76" t="inlineStr">
        <is>
          <t>KRAMFORS</t>
        </is>
      </c>
      <c r="G76" t="n">
        <v>4.8</v>
      </c>
      <c r="H76" t="n">
        <v>0</v>
      </c>
      <c r="I76" t="n">
        <v>0</v>
      </c>
      <c r="J76" t="n">
        <v>0</v>
      </c>
      <c r="K76" t="n">
        <v>0</v>
      </c>
      <c r="L76" t="n">
        <v>0</v>
      </c>
      <c r="M76" t="n">
        <v>0</v>
      </c>
      <c r="N76" t="n">
        <v>0</v>
      </c>
      <c r="O76" t="n">
        <v>0</v>
      </c>
      <c r="P76" t="n">
        <v>0</v>
      </c>
      <c r="Q76" t="n">
        <v>0</v>
      </c>
      <c r="R76" s="2" t="inlineStr"/>
    </row>
    <row r="77" ht="15" customHeight="1">
      <c r="A77" t="inlineStr">
        <is>
          <t>A 19341-2019</t>
        </is>
      </c>
      <c r="B77" s="1" t="n">
        <v>43564</v>
      </c>
      <c r="C77" s="1" t="n">
        <v>45642</v>
      </c>
      <c r="D77" t="inlineStr">
        <is>
          <t>VÄSTERNORRLANDS LÄN</t>
        </is>
      </c>
      <c r="E77" t="inlineStr">
        <is>
          <t>KRAMFORS</t>
        </is>
      </c>
      <c r="G77" t="n">
        <v>1.8</v>
      </c>
      <c r="H77" t="n">
        <v>0</v>
      </c>
      <c r="I77" t="n">
        <v>0</v>
      </c>
      <c r="J77" t="n">
        <v>0</v>
      </c>
      <c r="K77" t="n">
        <v>0</v>
      </c>
      <c r="L77" t="n">
        <v>0</v>
      </c>
      <c r="M77" t="n">
        <v>0</v>
      </c>
      <c r="N77" t="n">
        <v>0</v>
      </c>
      <c r="O77" t="n">
        <v>0</v>
      </c>
      <c r="P77" t="n">
        <v>0</v>
      </c>
      <c r="Q77" t="n">
        <v>0</v>
      </c>
      <c r="R77" s="2" t="inlineStr"/>
    </row>
    <row r="78" ht="15" customHeight="1">
      <c r="A78" t="inlineStr">
        <is>
          <t>A 19813-2019</t>
        </is>
      </c>
      <c r="B78" s="1" t="n">
        <v>43567</v>
      </c>
      <c r="C78" s="1" t="n">
        <v>45642</v>
      </c>
      <c r="D78" t="inlineStr">
        <is>
          <t>VÄSTERNORRLANDS LÄN</t>
        </is>
      </c>
      <c r="E78" t="inlineStr">
        <is>
          <t>KRAMFORS</t>
        </is>
      </c>
      <c r="G78" t="n">
        <v>2.1</v>
      </c>
      <c r="H78" t="n">
        <v>0</v>
      </c>
      <c r="I78" t="n">
        <v>0</v>
      </c>
      <c r="J78" t="n">
        <v>0</v>
      </c>
      <c r="K78" t="n">
        <v>0</v>
      </c>
      <c r="L78" t="n">
        <v>0</v>
      </c>
      <c r="M78" t="n">
        <v>0</v>
      </c>
      <c r="N78" t="n">
        <v>0</v>
      </c>
      <c r="O78" t="n">
        <v>0</v>
      </c>
      <c r="P78" t="n">
        <v>0</v>
      </c>
      <c r="Q78" t="n">
        <v>0</v>
      </c>
      <c r="R78" s="2" t="inlineStr"/>
    </row>
    <row r="79" ht="15" customHeight="1">
      <c r="A79" t="inlineStr">
        <is>
          <t>A 20653-2019</t>
        </is>
      </c>
      <c r="B79" s="1" t="n">
        <v>43572</v>
      </c>
      <c r="C79" s="1" t="n">
        <v>45642</v>
      </c>
      <c r="D79" t="inlineStr">
        <is>
          <t>VÄSTERNORRLANDS LÄN</t>
        </is>
      </c>
      <c r="E79" t="inlineStr">
        <is>
          <t>KRAMFORS</t>
        </is>
      </c>
      <c r="G79" t="n">
        <v>3.8</v>
      </c>
      <c r="H79" t="n">
        <v>0</v>
      </c>
      <c r="I79" t="n">
        <v>0</v>
      </c>
      <c r="J79" t="n">
        <v>0</v>
      </c>
      <c r="K79" t="n">
        <v>0</v>
      </c>
      <c r="L79" t="n">
        <v>0</v>
      </c>
      <c r="M79" t="n">
        <v>0</v>
      </c>
      <c r="N79" t="n">
        <v>0</v>
      </c>
      <c r="O79" t="n">
        <v>0</v>
      </c>
      <c r="P79" t="n">
        <v>0</v>
      </c>
      <c r="Q79" t="n">
        <v>0</v>
      </c>
      <c r="R79" s="2" t="inlineStr"/>
    </row>
    <row r="80" ht="15" customHeight="1">
      <c r="A80" t="inlineStr">
        <is>
          <t>A 20893-2019</t>
        </is>
      </c>
      <c r="B80" s="1" t="n">
        <v>43578</v>
      </c>
      <c r="C80" s="1" t="n">
        <v>45642</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21896-2019</t>
        </is>
      </c>
      <c r="B81" s="1" t="n">
        <v>43584</v>
      </c>
      <c r="C81" s="1" t="n">
        <v>45642</v>
      </c>
      <c r="D81" t="inlineStr">
        <is>
          <t>VÄSTERNORRLANDS LÄN</t>
        </is>
      </c>
      <c r="E81" t="inlineStr">
        <is>
          <t>KRAMFORS</t>
        </is>
      </c>
      <c r="G81" t="n">
        <v>4.5</v>
      </c>
      <c r="H81" t="n">
        <v>0</v>
      </c>
      <c r="I81" t="n">
        <v>0</v>
      </c>
      <c r="J81" t="n">
        <v>0</v>
      </c>
      <c r="K81" t="n">
        <v>0</v>
      </c>
      <c r="L81" t="n">
        <v>0</v>
      </c>
      <c r="M81" t="n">
        <v>0</v>
      </c>
      <c r="N81" t="n">
        <v>0</v>
      </c>
      <c r="O81" t="n">
        <v>0</v>
      </c>
      <c r="P81" t="n">
        <v>0</v>
      </c>
      <c r="Q81" t="n">
        <v>0</v>
      </c>
      <c r="R81" s="2" t="inlineStr"/>
    </row>
    <row r="82" ht="15" customHeight="1">
      <c r="A82" t="inlineStr">
        <is>
          <t>A 22022-2019</t>
        </is>
      </c>
      <c r="B82" s="1" t="n">
        <v>43584</v>
      </c>
      <c r="C82" s="1" t="n">
        <v>45642</v>
      </c>
      <c r="D82" t="inlineStr">
        <is>
          <t>VÄSTERNORRLANDS LÄN</t>
        </is>
      </c>
      <c r="E82" t="inlineStr">
        <is>
          <t>KRAMFORS</t>
        </is>
      </c>
      <c r="G82" t="n">
        <v>7.3</v>
      </c>
      <c r="H82" t="n">
        <v>0</v>
      </c>
      <c r="I82" t="n">
        <v>0</v>
      </c>
      <c r="J82" t="n">
        <v>0</v>
      </c>
      <c r="K82" t="n">
        <v>0</v>
      </c>
      <c r="L82" t="n">
        <v>0</v>
      </c>
      <c r="M82" t="n">
        <v>0</v>
      </c>
      <c r="N82" t="n">
        <v>0</v>
      </c>
      <c r="O82" t="n">
        <v>0</v>
      </c>
      <c r="P82" t="n">
        <v>0</v>
      </c>
      <c r="Q82" t="n">
        <v>0</v>
      </c>
      <c r="R82" s="2" t="inlineStr"/>
    </row>
    <row r="83" ht="15" customHeight="1">
      <c r="A83" t="inlineStr">
        <is>
          <t>A 22060-2019</t>
        </is>
      </c>
      <c r="B83" s="1" t="n">
        <v>43584</v>
      </c>
      <c r="C83" s="1" t="n">
        <v>45642</v>
      </c>
      <c r="D83" t="inlineStr">
        <is>
          <t>VÄSTERNORRLANDS LÄN</t>
        </is>
      </c>
      <c r="E83" t="inlineStr">
        <is>
          <t>KRAMFORS</t>
        </is>
      </c>
      <c r="G83" t="n">
        <v>6.6</v>
      </c>
      <c r="H83" t="n">
        <v>0</v>
      </c>
      <c r="I83" t="n">
        <v>0</v>
      </c>
      <c r="J83" t="n">
        <v>0</v>
      </c>
      <c r="K83" t="n">
        <v>0</v>
      </c>
      <c r="L83" t="n">
        <v>0</v>
      </c>
      <c r="M83" t="n">
        <v>0</v>
      </c>
      <c r="N83" t="n">
        <v>0</v>
      </c>
      <c r="O83" t="n">
        <v>0</v>
      </c>
      <c r="P83" t="n">
        <v>0</v>
      </c>
      <c r="Q83" t="n">
        <v>0</v>
      </c>
      <c r="R83" s="2" t="inlineStr"/>
    </row>
    <row r="84" ht="15" customHeight="1">
      <c r="A84" t="inlineStr">
        <is>
          <t>A 22020-2019</t>
        </is>
      </c>
      <c r="B84" s="1" t="n">
        <v>43584</v>
      </c>
      <c r="C84" s="1" t="n">
        <v>45642</v>
      </c>
      <c r="D84" t="inlineStr">
        <is>
          <t>VÄSTERNORRLANDS LÄN</t>
        </is>
      </c>
      <c r="E84" t="inlineStr">
        <is>
          <t>KRAMFORS</t>
        </is>
      </c>
      <c r="G84" t="n">
        <v>1.2</v>
      </c>
      <c r="H84" t="n">
        <v>0</v>
      </c>
      <c r="I84" t="n">
        <v>0</v>
      </c>
      <c r="J84" t="n">
        <v>0</v>
      </c>
      <c r="K84" t="n">
        <v>0</v>
      </c>
      <c r="L84" t="n">
        <v>0</v>
      </c>
      <c r="M84" t="n">
        <v>0</v>
      </c>
      <c r="N84" t="n">
        <v>0</v>
      </c>
      <c r="O84" t="n">
        <v>0</v>
      </c>
      <c r="P84" t="n">
        <v>0</v>
      </c>
      <c r="Q84" t="n">
        <v>0</v>
      </c>
      <c r="R84" s="2" t="inlineStr"/>
    </row>
    <row r="85" ht="15" customHeight="1">
      <c r="A85" t="inlineStr">
        <is>
          <t>A 22288-2019</t>
        </is>
      </c>
      <c r="B85" s="1" t="n">
        <v>43585</v>
      </c>
      <c r="C85" s="1" t="n">
        <v>45642</v>
      </c>
      <c r="D85" t="inlineStr">
        <is>
          <t>VÄSTERNORRLANDS LÄN</t>
        </is>
      </c>
      <c r="E85" t="inlineStr">
        <is>
          <t>KRAMFORS</t>
        </is>
      </c>
      <c r="G85" t="n">
        <v>1.5</v>
      </c>
      <c r="H85" t="n">
        <v>0</v>
      </c>
      <c r="I85" t="n">
        <v>0</v>
      </c>
      <c r="J85" t="n">
        <v>0</v>
      </c>
      <c r="K85" t="n">
        <v>0</v>
      </c>
      <c r="L85" t="n">
        <v>0</v>
      </c>
      <c r="M85" t="n">
        <v>0</v>
      </c>
      <c r="N85" t="n">
        <v>0</v>
      </c>
      <c r="O85" t="n">
        <v>0</v>
      </c>
      <c r="P85" t="n">
        <v>0</v>
      </c>
      <c r="Q85" t="n">
        <v>0</v>
      </c>
      <c r="R85" s="2" t="inlineStr"/>
    </row>
    <row r="86" ht="15" customHeight="1">
      <c r="A86" t="inlineStr">
        <is>
          <t>A 22120-2019</t>
        </is>
      </c>
      <c r="B86" s="1" t="n">
        <v>43585</v>
      </c>
      <c r="C86" s="1" t="n">
        <v>45642</v>
      </c>
      <c r="D86" t="inlineStr">
        <is>
          <t>VÄSTERNORRLANDS LÄN</t>
        </is>
      </c>
      <c r="E86" t="inlineStr">
        <is>
          <t>KRAMFORS</t>
        </is>
      </c>
      <c r="G86" t="n">
        <v>9.5</v>
      </c>
      <c r="H86" t="n">
        <v>0</v>
      </c>
      <c r="I86" t="n">
        <v>0</v>
      </c>
      <c r="J86" t="n">
        <v>0</v>
      </c>
      <c r="K86" t="n">
        <v>0</v>
      </c>
      <c r="L86" t="n">
        <v>0</v>
      </c>
      <c r="M86" t="n">
        <v>0</v>
      </c>
      <c r="N86" t="n">
        <v>0</v>
      </c>
      <c r="O86" t="n">
        <v>0</v>
      </c>
      <c r="P86" t="n">
        <v>0</v>
      </c>
      <c r="Q86" t="n">
        <v>0</v>
      </c>
      <c r="R86" s="2" t="inlineStr"/>
    </row>
    <row r="87" ht="15" customHeight="1">
      <c r="A87" t="inlineStr">
        <is>
          <t>A 22373-2019</t>
        </is>
      </c>
      <c r="B87" s="1" t="n">
        <v>43587</v>
      </c>
      <c r="C87" s="1" t="n">
        <v>45642</v>
      </c>
      <c r="D87" t="inlineStr">
        <is>
          <t>VÄSTERNORRLANDS LÄN</t>
        </is>
      </c>
      <c r="E87" t="inlineStr">
        <is>
          <t>KRAMFORS</t>
        </is>
      </c>
      <c r="G87" t="n">
        <v>3.2</v>
      </c>
      <c r="H87" t="n">
        <v>0</v>
      </c>
      <c r="I87" t="n">
        <v>0</v>
      </c>
      <c r="J87" t="n">
        <v>0</v>
      </c>
      <c r="K87" t="n">
        <v>0</v>
      </c>
      <c r="L87" t="n">
        <v>0</v>
      </c>
      <c r="M87" t="n">
        <v>0</v>
      </c>
      <c r="N87" t="n">
        <v>0</v>
      </c>
      <c r="O87" t="n">
        <v>0</v>
      </c>
      <c r="P87" t="n">
        <v>0</v>
      </c>
      <c r="Q87" t="n">
        <v>0</v>
      </c>
      <c r="R87" s="2" t="inlineStr"/>
    </row>
    <row r="88" ht="15" customHeight="1">
      <c r="A88" t="inlineStr">
        <is>
          <t>A 22380-2019</t>
        </is>
      </c>
      <c r="B88" s="1" t="n">
        <v>43587</v>
      </c>
      <c r="C88" s="1" t="n">
        <v>45642</v>
      </c>
      <c r="D88" t="inlineStr">
        <is>
          <t>VÄSTERNORRLANDS LÄN</t>
        </is>
      </c>
      <c r="E88" t="inlineStr">
        <is>
          <t>KRAMFORS</t>
        </is>
      </c>
      <c r="G88" t="n">
        <v>6.5</v>
      </c>
      <c r="H88" t="n">
        <v>0</v>
      </c>
      <c r="I88" t="n">
        <v>0</v>
      </c>
      <c r="J88" t="n">
        <v>0</v>
      </c>
      <c r="K88" t="n">
        <v>0</v>
      </c>
      <c r="L88" t="n">
        <v>0</v>
      </c>
      <c r="M88" t="n">
        <v>0</v>
      </c>
      <c r="N88" t="n">
        <v>0</v>
      </c>
      <c r="O88" t="n">
        <v>0</v>
      </c>
      <c r="P88" t="n">
        <v>0</v>
      </c>
      <c r="Q88" t="n">
        <v>0</v>
      </c>
      <c r="R88" s="2" t="inlineStr"/>
    </row>
    <row r="89" ht="15" customHeight="1">
      <c r="A89" t="inlineStr">
        <is>
          <t>A 23069-2019</t>
        </is>
      </c>
      <c r="B89" s="1" t="n">
        <v>43591</v>
      </c>
      <c r="C89" s="1" t="n">
        <v>45642</v>
      </c>
      <c r="D89" t="inlineStr">
        <is>
          <t>VÄSTERNORRLANDS LÄN</t>
        </is>
      </c>
      <c r="E89" t="inlineStr">
        <is>
          <t>KRAMFORS</t>
        </is>
      </c>
      <c r="G89" t="n">
        <v>9.6</v>
      </c>
      <c r="H89" t="n">
        <v>0</v>
      </c>
      <c r="I89" t="n">
        <v>0</v>
      </c>
      <c r="J89" t="n">
        <v>0</v>
      </c>
      <c r="K89" t="n">
        <v>0</v>
      </c>
      <c r="L89" t="n">
        <v>0</v>
      </c>
      <c r="M89" t="n">
        <v>0</v>
      </c>
      <c r="N89" t="n">
        <v>0</v>
      </c>
      <c r="O89" t="n">
        <v>0</v>
      </c>
      <c r="P89" t="n">
        <v>0</v>
      </c>
      <c r="Q89" t="n">
        <v>0</v>
      </c>
      <c r="R89" s="2" t="inlineStr"/>
    </row>
    <row r="90" ht="15" customHeight="1">
      <c r="A90" t="inlineStr">
        <is>
          <t>A 23296-2019</t>
        </is>
      </c>
      <c r="B90" s="1" t="n">
        <v>43593</v>
      </c>
      <c r="C90" s="1" t="n">
        <v>45642</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23766-2019</t>
        </is>
      </c>
      <c r="B91" s="1" t="n">
        <v>43595</v>
      </c>
      <c r="C91" s="1" t="n">
        <v>45642</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26089-2019</t>
        </is>
      </c>
      <c r="B92" s="1" t="n">
        <v>43605</v>
      </c>
      <c r="C92" s="1" t="n">
        <v>45642</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25450-2019</t>
        </is>
      </c>
      <c r="B93" s="1" t="n">
        <v>43606</v>
      </c>
      <c r="C93" s="1" t="n">
        <v>45642</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25995-2019</t>
        </is>
      </c>
      <c r="B94" s="1" t="n">
        <v>43608</v>
      </c>
      <c r="C94" s="1" t="n">
        <v>45642</v>
      </c>
      <c r="D94" t="inlineStr">
        <is>
          <t>VÄSTERNORRLANDS LÄN</t>
        </is>
      </c>
      <c r="E94" t="inlineStr">
        <is>
          <t>KRAMFORS</t>
        </is>
      </c>
      <c r="G94" t="n">
        <v>1.6</v>
      </c>
      <c r="H94" t="n">
        <v>0</v>
      </c>
      <c r="I94" t="n">
        <v>0</v>
      </c>
      <c r="J94" t="n">
        <v>0</v>
      </c>
      <c r="K94" t="n">
        <v>0</v>
      </c>
      <c r="L94" t="n">
        <v>0</v>
      </c>
      <c r="M94" t="n">
        <v>0</v>
      </c>
      <c r="N94" t="n">
        <v>0</v>
      </c>
      <c r="O94" t="n">
        <v>0</v>
      </c>
      <c r="P94" t="n">
        <v>0</v>
      </c>
      <c r="Q94" t="n">
        <v>0</v>
      </c>
      <c r="R94" s="2" t="inlineStr"/>
    </row>
    <row r="95" ht="15" customHeight="1">
      <c r="A95" t="inlineStr">
        <is>
          <t>A 25996-2019</t>
        </is>
      </c>
      <c r="B95" s="1" t="n">
        <v>43608</v>
      </c>
      <c r="C95" s="1" t="n">
        <v>45642</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26062-2019</t>
        </is>
      </c>
      <c r="B96" s="1" t="n">
        <v>43609</v>
      </c>
      <c r="C96" s="1" t="n">
        <v>45642</v>
      </c>
      <c r="D96" t="inlineStr">
        <is>
          <t>VÄSTERNORRLANDS LÄN</t>
        </is>
      </c>
      <c r="E96" t="inlineStr">
        <is>
          <t>KRAMFORS</t>
        </is>
      </c>
      <c r="G96" t="n">
        <v>0.9</v>
      </c>
      <c r="H96" t="n">
        <v>0</v>
      </c>
      <c r="I96" t="n">
        <v>0</v>
      </c>
      <c r="J96" t="n">
        <v>0</v>
      </c>
      <c r="K96" t="n">
        <v>0</v>
      </c>
      <c r="L96" t="n">
        <v>0</v>
      </c>
      <c r="M96" t="n">
        <v>0</v>
      </c>
      <c r="N96" t="n">
        <v>0</v>
      </c>
      <c r="O96" t="n">
        <v>0</v>
      </c>
      <c r="P96" t="n">
        <v>0</v>
      </c>
      <c r="Q96" t="n">
        <v>0</v>
      </c>
      <c r="R96" s="2" t="inlineStr"/>
    </row>
    <row r="97" ht="15" customHeight="1">
      <c r="A97" t="inlineStr">
        <is>
          <t>A 26300-2019</t>
        </is>
      </c>
      <c r="B97" s="1" t="n">
        <v>43612</v>
      </c>
      <c r="C97" s="1" t="n">
        <v>45642</v>
      </c>
      <c r="D97" t="inlineStr">
        <is>
          <t>VÄSTERNORRLANDS LÄN</t>
        </is>
      </c>
      <c r="E97" t="inlineStr">
        <is>
          <t>KRAMFORS</t>
        </is>
      </c>
      <c r="G97" t="n">
        <v>2.2</v>
      </c>
      <c r="H97" t="n">
        <v>0</v>
      </c>
      <c r="I97" t="n">
        <v>0</v>
      </c>
      <c r="J97" t="n">
        <v>0</v>
      </c>
      <c r="K97" t="n">
        <v>0</v>
      </c>
      <c r="L97" t="n">
        <v>0</v>
      </c>
      <c r="M97" t="n">
        <v>0</v>
      </c>
      <c r="N97" t="n">
        <v>0</v>
      </c>
      <c r="O97" t="n">
        <v>0</v>
      </c>
      <c r="P97" t="n">
        <v>0</v>
      </c>
      <c r="Q97" t="n">
        <v>0</v>
      </c>
      <c r="R97" s="2" t="inlineStr"/>
    </row>
    <row r="98" ht="15" customHeight="1">
      <c r="A98" t="inlineStr">
        <is>
          <t>A 27896-2019</t>
        </is>
      </c>
      <c r="B98" s="1" t="n">
        <v>43620</v>
      </c>
      <c r="C98" s="1" t="n">
        <v>45642</v>
      </c>
      <c r="D98" t="inlineStr">
        <is>
          <t>VÄSTERNORRLANDS LÄN</t>
        </is>
      </c>
      <c r="E98" t="inlineStr">
        <is>
          <t>KRAMFORS</t>
        </is>
      </c>
      <c r="G98" t="n">
        <v>1.9</v>
      </c>
      <c r="H98" t="n">
        <v>0</v>
      </c>
      <c r="I98" t="n">
        <v>0</v>
      </c>
      <c r="J98" t="n">
        <v>0</v>
      </c>
      <c r="K98" t="n">
        <v>0</v>
      </c>
      <c r="L98" t="n">
        <v>0</v>
      </c>
      <c r="M98" t="n">
        <v>0</v>
      </c>
      <c r="N98" t="n">
        <v>0</v>
      </c>
      <c r="O98" t="n">
        <v>0</v>
      </c>
      <c r="P98" t="n">
        <v>0</v>
      </c>
      <c r="Q98" t="n">
        <v>0</v>
      </c>
      <c r="R98" s="2" t="inlineStr"/>
    </row>
    <row r="99" ht="15" customHeight="1">
      <c r="A99" t="inlineStr">
        <is>
          <t>A 27895-2019</t>
        </is>
      </c>
      <c r="B99" s="1" t="n">
        <v>43620</v>
      </c>
      <c r="C99" s="1" t="n">
        <v>45642</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27972-2019</t>
        </is>
      </c>
      <c r="B100" s="1" t="n">
        <v>43620</v>
      </c>
      <c r="C100" s="1" t="n">
        <v>45642</v>
      </c>
      <c r="D100" t="inlineStr">
        <is>
          <t>VÄSTERNORRLANDS LÄN</t>
        </is>
      </c>
      <c r="E100" t="inlineStr">
        <is>
          <t>KRAMFORS</t>
        </is>
      </c>
      <c r="G100" t="n">
        <v>2.7</v>
      </c>
      <c r="H100" t="n">
        <v>0</v>
      </c>
      <c r="I100" t="n">
        <v>0</v>
      </c>
      <c r="J100" t="n">
        <v>0</v>
      </c>
      <c r="K100" t="n">
        <v>0</v>
      </c>
      <c r="L100" t="n">
        <v>0</v>
      </c>
      <c r="M100" t="n">
        <v>0</v>
      </c>
      <c r="N100" t="n">
        <v>0</v>
      </c>
      <c r="O100" t="n">
        <v>0</v>
      </c>
      <c r="P100" t="n">
        <v>0</v>
      </c>
      <c r="Q100" t="n">
        <v>0</v>
      </c>
      <c r="R100" s="2" t="inlineStr"/>
    </row>
    <row r="101" ht="15" customHeight="1">
      <c r="A101" t="inlineStr">
        <is>
          <t>A 28603-2019</t>
        </is>
      </c>
      <c r="B101" s="1" t="n">
        <v>43626</v>
      </c>
      <c r="C101" s="1" t="n">
        <v>45642</v>
      </c>
      <c r="D101" t="inlineStr">
        <is>
          <t>VÄSTERNORRLANDS LÄN</t>
        </is>
      </c>
      <c r="E101" t="inlineStr">
        <is>
          <t>KRAMFORS</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28602-2019</t>
        </is>
      </c>
      <c r="B102" s="1" t="n">
        <v>43626</v>
      </c>
      <c r="C102" s="1" t="n">
        <v>45642</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28516-2019</t>
        </is>
      </c>
      <c r="B103" s="1" t="n">
        <v>43626</v>
      </c>
      <c r="C103" s="1" t="n">
        <v>45642</v>
      </c>
      <c r="D103" t="inlineStr">
        <is>
          <t>VÄSTERNORRLANDS LÄN</t>
        </is>
      </c>
      <c r="E103" t="inlineStr">
        <is>
          <t>KRAMFORS</t>
        </is>
      </c>
      <c r="G103" t="n">
        <v>2.5</v>
      </c>
      <c r="H103" t="n">
        <v>0</v>
      </c>
      <c r="I103" t="n">
        <v>0</v>
      </c>
      <c r="J103" t="n">
        <v>0</v>
      </c>
      <c r="K103" t="n">
        <v>0</v>
      </c>
      <c r="L103" t="n">
        <v>0</v>
      </c>
      <c r="M103" t="n">
        <v>0</v>
      </c>
      <c r="N103" t="n">
        <v>0</v>
      </c>
      <c r="O103" t="n">
        <v>0</v>
      </c>
      <c r="P103" t="n">
        <v>0</v>
      </c>
      <c r="Q103" t="n">
        <v>0</v>
      </c>
      <c r="R103" s="2" t="inlineStr"/>
    </row>
    <row r="104" ht="15" customHeight="1">
      <c r="A104" t="inlineStr">
        <is>
          <t>A 28792-2019</t>
        </is>
      </c>
      <c r="B104" s="1" t="n">
        <v>43627</v>
      </c>
      <c r="C104" s="1" t="n">
        <v>45642</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30985-2019</t>
        </is>
      </c>
      <c r="B105" s="1" t="n">
        <v>43640</v>
      </c>
      <c r="C105" s="1" t="n">
        <v>45642</v>
      </c>
      <c r="D105" t="inlineStr">
        <is>
          <t>VÄSTERNORRLANDS LÄN</t>
        </is>
      </c>
      <c r="E105" t="inlineStr">
        <is>
          <t>KRAMFORS</t>
        </is>
      </c>
      <c r="G105" t="n">
        <v>7.1</v>
      </c>
      <c r="H105" t="n">
        <v>0</v>
      </c>
      <c r="I105" t="n">
        <v>0</v>
      </c>
      <c r="J105" t="n">
        <v>0</v>
      </c>
      <c r="K105" t="n">
        <v>0</v>
      </c>
      <c r="L105" t="n">
        <v>0</v>
      </c>
      <c r="M105" t="n">
        <v>0</v>
      </c>
      <c r="N105" t="n">
        <v>0</v>
      </c>
      <c r="O105" t="n">
        <v>0</v>
      </c>
      <c r="P105" t="n">
        <v>0</v>
      </c>
      <c r="Q105" t="n">
        <v>0</v>
      </c>
      <c r="R105" s="2" t="inlineStr"/>
    </row>
    <row r="106" ht="15" customHeight="1">
      <c r="A106" t="inlineStr">
        <is>
          <t>A 32737-2019</t>
        </is>
      </c>
      <c r="B106" s="1" t="n">
        <v>43647</v>
      </c>
      <c r="C106" s="1" t="n">
        <v>45642</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33965-2019</t>
        </is>
      </c>
      <c r="B107" s="1" t="n">
        <v>43654</v>
      </c>
      <c r="C107" s="1" t="n">
        <v>45642</v>
      </c>
      <c r="D107" t="inlineStr">
        <is>
          <t>VÄSTERNORRLANDS LÄN</t>
        </is>
      </c>
      <c r="E107" t="inlineStr">
        <is>
          <t>KRAMFORS</t>
        </is>
      </c>
      <c r="G107" t="n">
        <v>6.8</v>
      </c>
      <c r="H107" t="n">
        <v>0</v>
      </c>
      <c r="I107" t="n">
        <v>0</v>
      </c>
      <c r="J107" t="n">
        <v>0</v>
      </c>
      <c r="K107" t="n">
        <v>0</v>
      </c>
      <c r="L107" t="n">
        <v>0</v>
      </c>
      <c r="M107" t="n">
        <v>0</v>
      </c>
      <c r="N107" t="n">
        <v>0</v>
      </c>
      <c r="O107" t="n">
        <v>0</v>
      </c>
      <c r="P107" t="n">
        <v>0</v>
      </c>
      <c r="Q107" t="n">
        <v>0</v>
      </c>
      <c r="R107" s="2" t="inlineStr"/>
    </row>
    <row r="108" ht="15" customHeight="1">
      <c r="A108" t="inlineStr">
        <is>
          <t>A 34677-2019</t>
        </is>
      </c>
      <c r="B108" s="1" t="n">
        <v>43657</v>
      </c>
      <c r="C108" s="1" t="n">
        <v>45642</v>
      </c>
      <c r="D108" t="inlineStr">
        <is>
          <t>VÄSTERNORRLANDS LÄN</t>
        </is>
      </c>
      <c r="E108" t="inlineStr">
        <is>
          <t>KRAMFORS</t>
        </is>
      </c>
      <c r="G108" t="n">
        <v>10.1</v>
      </c>
      <c r="H108" t="n">
        <v>0</v>
      </c>
      <c r="I108" t="n">
        <v>0</v>
      </c>
      <c r="J108" t="n">
        <v>0</v>
      </c>
      <c r="K108" t="n">
        <v>0</v>
      </c>
      <c r="L108" t="n">
        <v>0</v>
      </c>
      <c r="M108" t="n">
        <v>0</v>
      </c>
      <c r="N108" t="n">
        <v>0</v>
      </c>
      <c r="O108" t="n">
        <v>0</v>
      </c>
      <c r="P108" t="n">
        <v>0</v>
      </c>
      <c r="Q108" t="n">
        <v>0</v>
      </c>
      <c r="R108" s="2" t="inlineStr"/>
    </row>
    <row r="109" ht="15" customHeight="1">
      <c r="A109" t="inlineStr">
        <is>
          <t>A 37986-2019</t>
        </is>
      </c>
      <c r="B109" s="1" t="n">
        <v>43682</v>
      </c>
      <c r="C109" s="1" t="n">
        <v>45642</v>
      </c>
      <c r="D109" t="inlineStr">
        <is>
          <t>VÄSTERNORRLANDS LÄN</t>
        </is>
      </c>
      <c r="E109" t="inlineStr">
        <is>
          <t>KRAMFORS</t>
        </is>
      </c>
      <c r="G109" t="n">
        <v>0.4</v>
      </c>
      <c r="H109" t="n">
        <v>0</v>
      </c>
      <c r="I109" t="n">
        <v>0</v>
      </c>
      <c r="J109" t="n">
        <v>0</v>
      </c>
      <c r="K109" t="n">
        <v>0</v>
      </c>
      <c r="L109" t="n">
        <v>0</v>
      </c>
      <c r="M109" t="n">
        <v>0</v>
      </c>
      <c r="N109" t="n">
        <v>0</v>
      </c>
      <c r="O109" t="n">
        <v>0</v>
      </c>
      <c r="P109" t="n">
        <v>0</v>
      </c>
      <c r="Q109" t="n">
        <v>0</v>
      </c>
      <c r="R109" s="2" t="inlineStr"/>
    </row>
    <row r="110" ht="15" customHeight="1">
      <c r="A110" t="inlineStr">
        <is>
          <t>A 37914-2019</t>
        </is>
      </c>
      <c r="B110" s="1" t="n">
        <v>43683</v>
      </c>
      <c r="C110" s="1" t="n">
        <v>45642</v>
      </c>
      <c r="D110" t="inlineStr">
        <is>
          <t>VÄSTERNORRLANDS LÄN</t>
        </is>
      </c>
      <c r="E110" t="inlineStr">
        <is>
          <t>KRAMFORS</t>
        </is>
      </c>
      <c r="G110" t="n">
        <v>3.8</v>
      </c>
      <c r="H110" t="n">
        <v>0</v>
      </c>
      <c r="I110" t="n">
        <v>0</v>
      </c>
      <c r="J110" t="n">
        <v>0</v>
      </c>
      <c r="K110" t="n">
        <v>0</v>
      </c>
      <c r="L110" t="n">
        <v>0</v>
      </c>
      <c r="M110" t="n">
        <v>0</v>
      </c>
      <c r="N110" t="n">
        <v>0</v>
      </c>
      <c r="O110" t="n">
        <v>0</v>
      </c>
      <c r="P110" t="n">
        <v>0</v>
      </c>
      <c r="Q110" t="n">
        <v>0</v>
      </c>
      <c r="R110" s="2" t="inlineStr"/>
    </row>
    <row r="111" ht="15" customHeight="1">
      <c r="A111" t="inlineStr">
        <is>
          <t>A 39395-2019</t>
        </is>
      </c>
      <c r="B111" s="1" t="n">
        <v>43690</v>
      </c>
      <c r="C111" s="1" t="n">
        <v>45642</v>
      </c>
      <c r="D111" t="inlineStr">
        <is>
          <t>VÄSTERNORRLANDS LÄN</t>
        </is>
      </c>
      <c r="E111" t="inlineStr">
        <is>
          <t>KRAMFORS</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40481-2019</t>
        </is>
      </c>
      <c r="B112" s="1" t="n">
        <v>43696</v>
      </c>
      <c r="C112" s="1" t="n">
        <v>45642</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40516-2019</t>
        </is>
      </c>
      <c r="B113" s="1" t="n">
        <v>43696</v>
      </c>
      <c r="C113" s="1" t="n">
        <v>45642</v>
      </c>
      <c r="D113" t="inlineStr">
        <is>
          <t>VÄSTERNORRLANDS LÄN</t>
        </is>
      </c>
      <c r="E113" t="inlineStr">
        <is>
          <t>KRAMFORS</t>
        </is>
      </c>
      <c r="G113" t="n">
        <v>16.7</v>
      </c>
      <c r="H113" t="n">
        <v>0</v>
      </c>
      <c r="I113" t="n">
        <v>0</v>
      </c>
      <c r="J113" t="n">
        <v>0</v>
      </c>
      <c r="K113" t="n">
        <v>0</v>
      </c>
      <c r="L113" t="n">
        <v>0</v>
      </c>
      <c r="M113" t="n">
        <v>0</v>
      </c>
      <c r="N113" t="n">
        <v>0</v>
      </c>
      <c r="O113" t="n">
        <v>0</v>
      </c>
      <c r="P113" t="n">
        <v>0</v>
      </c>
      <c r="Q113" t="n">
        <v>0</v>
      </c>
      <c r="R113" s="2" t="inlineStr"/>
    </row>
    <row r="114" ht="15" customHeight="1">
      <c r="A114" t="inlineStr">
        <is>
          <t>A 40480-2019</t>
        </is>
      </c>
      <c r="B114" s="1" t="n">
        <v>43696</v>
      </c>
      <c r="C114" s="1" t="n">
        <v>45642</v>
      </c>
      <c r="D114" t="inlineStr">
        <is>
          <t>VÄSTERNORRLANDS LÄN</t>
        </is>
      </c>
      <c r="E114" t="inlineStr">
        <is>
          <t>KRAMFORS</t>
        </is>
      </c>
      <c r="G114" t="n">
        <v>4.4</v>
      </c>
      <c r="H114" t="n">
        <v>0</v>
      </c>
      <c r="I114" t="n">
        <v>0</v>
      </c>
      <c r="J114" t="n">
        <v>0</v>
      </c>
      <c r="K114" t="n">
        <v>0</v>
      </c>
      <c r="L114" t="n">
        <v>0</v>
      </c>
      <c r="M114" t="n">
        <v>0</v>
      </c>
      <c r="N114" t="n">
        <v>0</v>
      </c>
      <c r="O114" t="n">
        <v>0</v>
      </c>
      <c r="P114" t="n">
        <v>0</v>
      </c>
      <c r="Q114" t="n">
        <v>0</v>
      </c>
      <c r="R114" s="2" t="inlineStr"/>
    </row>
    <row r="115" ht="15" customHeight="1">
      <c r="A115" t="inlineStr">
        <is>
          <t>A 43201-2019</t>
        </is>
      </c>
      <c r="B115" s="1" t="n">
        <v>43705</v>
      </c>
      <c r="C115" s="1" t="n">
        <v>45642</v>
      </c>
      <c r="D115" t="inlineStr">
        <is>
          <t>VÄSTERNORRLANDS LÄN</t>
        </is>
      </c>
      <c r="E115" t="inlineStr">
        <is>
          <t>KRAMFORS</t>
        </is>
      </c>
      <c r="F115" t="inlineStr">
        <is>
          <t>SCA</t>
        </is>
      </c>
      <c r="G115" t="n">
        <v>16.6</v>
      </c>
      <c r="H115" t="n">
        <v>0</v>
      </c>
      <c r="I115" t="n">
        <v>0</v>
      </c>
      <c r="J115" t="n">
        <v>0</v>
      </c>
      <c r="K115" t="n">
        <v>0</v>
      </c>
      <c r="L115" t="n">
        <v>0</v>
      </c>
      <c r="M115" t="n">
        <v>0</v>
      </c>
      <c r="N115" t="n">
        <v>0</v>
      </c>
      <c r="O115" t="n">
        <v>0</v>
      </c>
      <c r="P115" t="n">
        <v>0</v>
      </c>
      <c r="Q115" t="n">
        <v>0</v>
      </c>
      <c r="R115" s="2" t="inlineStr"/>
    </row>
    <row r="116" ht="15" customHeight="1">
      <c r="A116" t="inlineStr">
        <is>
          <t>A 44328-2019</t>
        </is>
      </c>
      <c r="B116" s="1" t="n">
        <v>43710</v>
      </c>
      <c r="C116" s="1" t="n">
        <v>45642</v>
      </c>
      <c r="D116" t="inlineStr">
        <is>
          <t>VÄSTERNORRLANDS LÄN</t>
        </is>
      </c>
      <c r="E116" t="inlineStr">
        <is>
          <t>KRAMFORS</t>
        </is>
      </c>
      <c r="G116" t="n">
        <v>2.7</v>
      </c>
      <c r="H116" t="n">
        <v>0</v>
      </c>
      <c r="I116" t="n">
        <v>0</v>
      </c>
      <c r="J116" t="n">
        <v>0</v>
      </c>
      <c r="K116" t="n">
        <v>0</v>
      </c>
      <c r="L116" t="n">
        <v>0</v>
      </c>
      <c r="M116" t="n">
        <v>0</v>
      </c>
      <c r="N116" t="n">
        <v>0</v>
      </c>
      <c r="O116" t="n">
        <v>0</v>
      </c>
      <c r="P116" t="n">
        <v>0</v>
      </c>
      <c r="Q116" t="n">
        <v>0</v>
      </c>
      <c r="R116" s="2" t="inlineStr"/>
    </row>
    <row r="117" ht="15" customHeight="1">
      <c r="A117" t="inlineStr">
        <is>
          <t>A 44317-2019</t>
        </is>
      </c>
      <c r="B117" s="1" t="n">
        <v>43710</v>
      </c>
      <c r="C117" s="1" t="n">
        <v>45642</v>
      </c>
      <c r="D117" t="inlineStr">
        <is>
          <t>VÄSTERNORRLANDS LÄN</t>
        </is>
      </c>
      <c r="E117" t="inlineStr">
        <is>
          <t>KRAMFORS</t>
        </is>
      </c>
      <c r="G117" t="n">
        <v>5.5</v>
      </c>
      <c r="H117" t="n">
        <v>0</v>
      </c>
      <c r="I117" t="n">
        <v>0</v>
      </c>
      <c r="J117" t="n">
        <v>0</v>
      </c>
      <c r="K117" t="n">
        <v>0</v>
      </c>
      <c r="L117" t="n">
        <v>0</v>
      </c>
      <c r="M117" t="n">
        <v>0</v>
      </c>
      <c r="N117" t="n">
        <v>0</v>
      </c>
      <c r="O117" t="n">
        <v>0</v>
      </c>
      <c r="P117" t="n">
        <v>0</v>
      </c>
      <c r="Q117" t="n">
        <v>0</v>
      </c>
      <c r="R117" s="2" t="inlineStr"/>
    </row>
    <row r="118" ht="15" customHeight="1">
      <c r="A118" t="inlineStr">
        <is>
          <t>A 44772-2019</t>
        </is>
      </c>
      <c r="B118" s="1" t="n">
        <v>43712</v>
      </c>
      <c r="C118" s="1" t="n">
        <v>45642</v>
      </c>
      <c r="D118" t="inlineStr">
        <is>
          <t>VÄSTERNORRLANDS LÄN</t>
        </is>
      </c>
      <c r="E118" t="inlineStr">
        <is>
          <t>KRAMFORS</t>
        </is>
      </c>
      <c r="G118" t="n">
        <v>1.9</v>
      </c>
      <c r="H118" t="n">
        <v>0</v>
      </c>
      <c r="I118" t="n">
        <v>0</v>
      </c>
      <c r="J118" t="n">
        <v>0</v>
      </c>
      <c r="K118" t="n">
        <v>0</v>
      </c>
      <c r="L118" t="n">
        <v>0</v>
      </c>
      <c r="M118" t="n">
        <v>0</v>
      </c>
      <c r="N118" t="n">
        <v>0</v>
      </c>
      <c r="O118" t="n">
        <v>0</v>
      </c>
      <c r="P118" t="n">
        <v>0</v>
      </c>
      <c r="Q118" t="n">
        <v>0</v>
      </c>
      <c r="R118" s="2" t="inlineStr"/>
    </row>
    <row r="119" ht="15" customHeight="1">
      <c r="A119" t="inlineStr">
        <is>
          <t>A 46583-2019</t>
        </is>
      </c>
      <c r="B119" s="1" t="n">
        <v>43717</v>
      </c>
      <c r="C119" s="1" t="n">
        <v>45642</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46527-2019</t>
        </is>
      </c>
      <c r="B120" s="1" t="n">
        <v>43717</v>
      </c>
      <c r="C120" s="1" t="n">
        <v>45642</v>
      </c>
      <c r="D120" t="inlineStr">
        <is>
          <t>VÄSTERNORRLANDS LÄN</t>
        </is>
      </c>
      <c r="E120" t="inlineStr">
        <is>
          <t>KRAMFORS</t>
        </is>
      </c>
      <c r="G120" t="n">
        <v>0.9</v>
      </c>
      <c r="H120" t="n">
        <v>0</v>
      </c>
      <c r="I120" t="n">
        <v>0</v>
      </c>
      <c r="J120" t="n">
        <v>0</v>
      </c>
      <c r="K120" t="n">
        <v>0</v>
      </c>
      <c r="L120" t="n">
        <v>0</v>
      </c>
      <c r="M120" t="n">
        <v>0</v>
      </c>
      <c r="N120" t="n">
        <v>0</v>
      </c>
      <c r="O120" t="n">
        <v>0</v>
      </c>
      <c r="P120" t="n">
        <v>0</v>
      </c>
      <c r="Q120" t="n">
        <v>0</v>
      </c>
      <c r="R120" s="2" t="inlineStr"/>
    </row>
    <row r="121" ht="15" customHeight="1">
      <c r="A121" t="inlineStr">
        <is>
          <t>A 47832-2019</t>
        </is>
      </c>
      <c r="B121" s="1" t="n">
        <v>43724</v>
      </c>
      <c r="C121" s="1" t="n">
        <v>45642</v>
      </c>
      <c r="D121" t="inlineStr">
        <is>
          <t>VÄSTERNORRLANDS LÄN</t>
        </is>
      </c>
      <c r="E121" t="inlineStr">
        <is>
          <t>KRAMFORS</t>
        </is>
      </c>
      <c r="G121" t="n">
        <v>4.5</v>
      </c>
      <c r="H121" t="n">
        <v>0</v>
      </c>
      <c r="I121" t="n">
        <v>0</v>
      </c>
      <c r="J121" t="n">
        <v>0</v>
      </c>
      <c r="K121" t="n">
        <v>0</v>
      </c>
      <c r="L121" t="n">
        <v>0</v>
      </c>
      <c r="M121" t="n">
        <v>0</v>
      </c>
      <c r="N121" t="n">
        <v>0</v>
      </c>
      <c r="O121" t="n">
        <v>0</v>
      </c>
      <c r="P121" t="n">
        <v>0</v>
      </c>
      <c r="Q121" t="n">
        <v>0</v>
      </c>
      <c r="R121" s="2" t="inlineStr"/>
    </row>
    <row r="122" ht="15" customHeight="1">
      <c r="A122" t="inlineStr">
        <is>
          <t>A 49137-2019</t>
        </is>
      </c>
      <c r="B122" s="1" t="n">
        <v>43727</v>
      </c>
      <c r="C122" s="1" t="n">
        <v>45642</v>
      </c>
      <c r="D122" t="inlineStr">
        <is>
          <t>VÄSTERNORRLANDS LÄN</t>
        </is>
      </c>
      <c r="E122" t="inlineStr">
        <is>
          <t>KRAMFORS</t>
        </is>
      </c>
      <c r="G122" t="n">
        <v>14.2</v>
      </c>
      <c r="H122" t="n">
        <v>0</v>
      </c>
      <c r="I122" t="n">
        <v>0</v>
      </c>
      <c r="J122" t="n">
        <v>0</v>
      </c>
      <c r="K122" t="n">
        <v>0</v>
      </c>
      <c r="L122" t="n">
        <v>0</v>
      </c>
      <c r="M122" t="n">
        <v>0</v>
      </c>
      <c r="N122" t="n">
        <v>0</v>
      </c>
      <c r="O122" t="n">
        <v>0</v>
      </c>
      <c r="P122" t="n">
        <v>0</v>
      </c>
      <c r="Q122" t="n">
        <v>0</v>
      </c>
      <c r="R122" s="2" t="inlineStr"/>
    </row>
    <row r="123" ht="15" customHeight="1">
      <c r="A123" t="inlineStr">
        <is>
          <t>A 49188-2019</t>
        </is>
      </c>
      <c r="B123" s="1" t="n">
        <v>43728</v>
      </c>
      <c r="C123" s="1" t="n">
        <v>45642</v>
      </c>
      <c r="D123" t="inlineStr">
        <is>
          <t>VÄSTERNORRLANDS LÄN</t>
        </is>
      </c>
      <c r="E123" t="inlineStr">
        <is>
          <t>KRAMFORS</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49490-2019</t>
        </is>
      </c>
      <c r="B124" s="1" t="n">
        <v>43732</v>
      </c>
      <c r="C124" s="1" t="n">
        <v>45642</v>
      </c>
      <c r="D124" t="inlineStr">
        <is>
          <t>VÄSTERNORRLANDS LÄN</t>
        </is>
      </c>
      <c r="E124" t="inlineStr">
        <is>
          <t>KRAMFORS</t>
        </is>
      </c>
      <c r="G124" t="n">
        <v>0.6</v>
      </c>
      <c r="H124" t="n">
        <v>0</v>
      </c>
      <c r="I124" t="n">
        <v>0</v>
      </c>
      <c r="J124" t="n">
        <v>0</v>
      </c>
      <c r="K124" t="n">
        <v>0</v>
      </c>
      <c r="L124" t="n">
        <v>0</v>
      </c>
      <c r="M124" t="n">
        <v>0</v>
      </c>
      <c r="N124" t="n">
        <v>0</v>
      </c>
      <c r="O124" t="n">
        <v>0</v>
      </c>
      <c r="P124" t="n">
        <v>0</v>
      </c>
      <c r="Q124" t="n">
        <v>0</v>
      </c>
      <c r="R124" s="2" t="inlineStr"/>
    </row>
    <row r="125" ht="15" customHeight="1">
      <c r="A125" t="inlineStr">
        <is>
          <t>A 51890-2019</t>
        </is>
      </c>
      <c r="B125" s="1" t="n">
        <v>43734</v>
      </c>
      <c r="C125" s="1" t="n">
        <v>45642</v>
      </c>
      <c r="D125" t="inlineStr">
        <is>
          <t>VÄSTERNORRLANDS LÄN</t>
        </is>
      </c>
      <c r="E125" t="inlineStr">
        <is>
          <t>KRAMFORS</t>
        </is>
      </c>
      <c r="F125" t="inlineStr">
        <is>
          <t>Kommuner</t>
        </is>
      </c>
      <c r="G125" t="n">
        <v>6.1</v>
      </c>
      <c r="H125" t="n">
        <v>0</v>
      </c>
      <c r="I125" t="n">
        <v>0</v>
      </c>
      <c r="J125" t="n">
        <v>0</v>
      </c>
      <c r="K125" t="n">
        <v>0</v>
      </c>
      <c r="L125" t="n">
        <v>0</v>
      </c>
      <c r="M125" t="n">
        <v>0</v>
      </c>
      <c r="N125" t="n">
        <v>0</v>
      </c>
      <c r="O125" t="n">
        <v>0</v>
      </c>
      <c r="P125" t="n">
        <v>0</v>
      </c>
      <c r="Q125" t="n">
        <v>0</v>
      </c>
      <c r="R125" s="2" t="inlineStr"/>
    </row>
    <row r="126" ht="15" customHeight="1">
      <c r="A126" t="inlineStr">
        <is>
          <t>A 51323-2019</t>
        </is>
      </c>
      <c r="B126" s="1" t="n">
        <v>43740</v>
      </c>
      <c r="C126" s="1" t="n">
        <v>45642</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51305-2019</t>
        </is>
      </c>
      <c r="B127" s="1" t="n">
        <v>43739</v>
      </c>
      <c r="C127" s="1" t="n">
        <v>45642</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51057-2019</t>
        </is>
      </c>
      <c r="B128" s="1" t="n">
        <v>43739</v>
      </c>
      <c r="C128" s="1" t="n">
        <v>45642</v>
      </c>
      <c r="D128" t="inlineStr">
        <is>
          <t>VÄSTERNORRLANDS LÄN</t>
        </is>
      </c>
      <c r="E128" t="inlineStr">
        <is>
          <t>KRAMFORS</t>
        </is>
      </c>
      <c r="G128" t="n">
        <v>1.4</v>
      </c>
      <c r="H128" t="n">
        <v>0</v>
      </c>
      <c r="I128" t="n">
        <v>0</v>
      </c>
      <c r="J128" t="n">
        <v>0</v>
      </c>
      <c r="K128" t="n">
        <v>0</v>
      </c>
      <c r="L128" t="n">
        <v>0</v>
      </c>
      <c r="M128" t="n">
        <v>0</v>
      </c>
      <c r="N128" t="n">
        <v>0</v>
      </c>
      <c r="O128" t="n">
        <v>0</v>
      </c>
      <c r="P128" t="n">
        <v>0</v>
      </c>
      <c r="Q128" t="n">
        <v>0</v>
      </c>
      <c r="R128" s="2" t="inlineStr"/>
    </row>
    <row r="129" ht="15" customHeight="1">
      <c r="A129" t="inlineStr">
        <is>
          <t>A 51035-2019</t>
        </is>
      </c>
      <c r="B129" s="1" t="n">
        <v>43739</v>
      </c>
      <c r="C129" s="1" t="n">
        <v>45642</v>
      </c>
      <c r="D129" t="inlineStr">
        <is>
          <t>VÄSTERNORRLANDS LÄN</t>
        </is>
      </c>
      <c r="E129" t="inlineStr">
        <is>
          <t>KRAMFORS</t>
        </is>
      </c>
      <c r="G129" t="n">
        <v>6.5</v>
      </c>
      <c r="H129" t="n">
        <v>0</v>
      </c>
      <c r="I129" t="n">
        <v>0</v>
      </c>
      <c r="J129" t="n">
        <v>0</v>
      </c>
      <c r="K129" t="n">
        <v>0</v>
      </c>
      <c r="L129" t="n">
        <v>0</v>
      </c>
      <c r="M129" t="n">
        <v>0</v>
      </c>
      <c r="N129" t="n">
        <v>0</v>
      </c>
      <c r="O129" t="n">
        <v>0</v>
      </c>
      <c r="P129" t="n">
        <v>0</v>
      </c>
      <c r="Q129" t="n">
        <v>0</v>
      </c>
      <c r="R129" s="2" t="inlineStr"/>
    </row>
    <row r="130" ht="15" customHeight="1">
      <c r="A130" t="inlineStr">
        <is>
          <t>A 53167-2019</t>
        </is>
      </c>
      <c r="B130" s="1" t="n">
        <v>43747</v>
      </c>
      <c r="C130" s="1" t="n">
        <v>45642</v>
      </c>
      <c r="D130" t="inlineStr">
        <is>
          <t>VÄSTERNORRLANDS LÄN</t>
        </is>
      </c>
      <c r="E130" t="inlineStr">
        <is>
          <t>KRAMFORS</t>
        </is>
      </c>
      <c r="G130" t="n">
        <v>2.9</v>
      </c>
      <c r="H130" t="n">
        <v>0</v>
      </c>
      <c r="I130" t="n">
        <v>0</v>
      </c>
      <c r="J130" t="n">
        <v>0</v>
      </c>
      <c r="K130" t="n">
        <v>0</v>
      </c>
      <c r="L130" t="n">
        <v>0</v>
      </c>
      <c r="M130" t="n">
        <v>0</v>
      </c>
      <c r="N130" t="n">
        <v>0</v>
      </c>
      <c r="O130" t="n">
        <v>0</v>
      </c>
      <c r="P130" t="n">
        <v>0</v>
      </c>
      <c r="Q130" t="n">
        <v>0</v>
      </c>
      <c r="R130" s="2" t="inlineStr"/>
    </row>
    <row r="131" ht="15" customHeight="1">
      <c r="A131" t="inlineStr">
        <is>
          <t>A 56486-2019</t>
        </is>
      </c>
      <c r="B131" s="1" t="n">
        <v>43762</v>
      </c>
      <c r="C131" s="1" t="n">
        <v>45642</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56544-2019</t>
        </is>
      </c>
      <c r="B132" s="1" t="n">
        <v>43763</v>
      </c>
      <c r="C132" s="1" t="n">
        <v>45642</v>
      </c>
      <c r="D132" t="inlineStr">
        <is>
          <t>VÄSTERNORRLANDS LÄN</t>
        </is>
      </c>
      <c r="E132" t="inlineStr">
        <is>
          <t>KRAMFORS</t>
        </is>
      </c>
      <c r="G132" t="n">
        <v>31.4</v>
      </c>
      <c r="H132" t="n">
        <v>0</v>
      </c>
      <c r="I132" t="n">
        <v>0</v>
      </c>
      <c r="J132" t="n">
        <v>0</v>
      </c>
      <c r="K132" t="n">
        <v>0</v>
      </c>
      <c r="L132" t="n">
        <v>0</v>
      </c>
      <c r="M132" t="n">
        <v>0</v>
      </c>
      <c r="N132" t="n">
        <v>0</v>
      </c>
      <c r="O132" t="n">
        <v>0</v>
      </c>
      <c r="P132" t="n">
        <v>0</v>
      </c>
      <c r="Q132" t="n">
        <v>0</v>
      </c>
      <c r="R132" s="2" t="inlineStr"/>
    </row>
    <row r="133" ht="15" customHeight="1">
      <c r="A133" t="inlineStr">
        <is>
          <t>A 56988-2019</t>
        </is>
      </c>
      <c r="B133" s="1" t="n">
        <v>43766</v>
      </c>
      <c r="C133" s="1" t="n">
        <v>45642</v>
      </c>
      <c r="D133" t="inlineStr">
        <is>
          <t>VÄSTERNORRLANDS LÄN</t>
        </is>
      </c>
      <c r="E133" t="inlineStr">
        <is>
          <t>KRAMFORS</t>
        </is>
      </c>
      <c r="G133" t="n">
        <v>1.7</v>
      </c>
      <c r="H133" t="n">
        <v>0</v>
      </c>
      <c r="I133" t="n">
        <v>0</v>
      </c>
      <c r="J133" t="n">
        <v>0</v>
      </c>
      <c r="K133" t="n">
        <v>0</v>
      </c>
      <c r="L133" t="n">
        <v>0</v>
      </c>
      <c r="M133" t="n">
        <v>0</v>
      </c>
      <c r="N133" t="n">
        <v>0</v>
      </c>
      <c r="O133" t="n">
        <v>0</v>
      </c>
      <c r="P133" t="n">
        <v>0</v>
      </c>
      <c r="Q133" t="n">
        <v>0</v>
      </c>
      <c r="R133" s="2" t="inlineStr"/>
    </row>
    <row r="134" ht="15" customHeight="1">
      <c r="A134" t="inlineStr">
        <is>
          <t>A 57859-2019</t>
        </is>
      </c>
      <c r="B134" s="1" t="n">
        <v>43768</v>
      </c>
      <c r="C134" s="1" t="n">
        <v>45642</v>
      </c>
      <c r="D134" t="inlineStr">
        <is>
          <t>VÄSTERNORRLANDS LÄN</t>
        </is>
      </c>
      <c r="E134" t="inlineStr">
        <is>
          <t>KRAMFORS</t>
        </is>
      </c>
      <c r="F134" t="inlineStr">
        <is>
          <t>Kommuner</t>
        </is>
      </c>
      <c r="G134" t="n">
        <v>3.9</v>
      </c>
      <c r="H134" t="n">
        <v>0</v>
      </c>
      <c r="I134" t="n">
        <v>0</v>
      </c>
      <c r="J134" t="n">
        <v>0</v>
      </c>
      <c r="K134" t="n">
        <v>0</v>
      </c>
      <c r="L134" t="n">
        <v>0</v>
      </c>
      <c r="M134" t="n">
        <v>0</v>
      </c>
      <c r="N134" t="n">
        <v>0</v>
      </c>
      <c r="O134" t="n">
        <v>0</v>
      </c>
      <c r="P134" t="n">
        <v>0</v>
      </c>
      <c r="Q134" t="n">
        <v>0</v>
      </c>
      <c r="R134" s="2" t="inlineStr"/>
    </row>
    <row r="135" ht="15" customHeight="1">
      <c r="A135" t="inlineStr">
        <is>
          <t>A 58834-2019</t>
        </is>
      </c>
      <c r="B135" s="1" t="n">
        <v>43768</v>
      </c>
      <c r="C135" s="1" t="n">
        <v>45642</v>
      </c>
      <c r="D135" t="inlineStr">
        <is>
          <t>VÄSTERNORRLANDS LÄN</t>
        </is>
      </c>
      <c r="E135" t="inlineStr">
        <is>
          <t>KRAMFORS</t>
        </is>
      </c>
      <c r="G135" t="n">
        <v>7.7</v>
      </c>
      <c r="H135" t="n">
        <v>0</v>
      </c>
      <c r="I135" t="n">
        <v>0</v>
      </c>
      <c r="J135" t="n">
        <v>0</v>
      </c>
      <c r="K135" t="n">
        <v>0</v>
      </c>
      <c r="L135" t="n">
        <v>0</v>
      </c>
      <c r="M135" t="n">
        <v>0</v>
      </c>
      <c r="N135" t="n">
        <v>0</v>
      </c>
      <c r="O135" t="n">
        <v>0</v>
      </c>
      <c r="P135" t="n">
        <v>0</v>
      </c>
      <c r="Q135" t="n">
        <v>0</v>
      </c>
      <c r="R135" s="2" t="inlineStr"/>
    </row>
    <row r="136" ht="15" customHeight="1">
      <c r="A136" t="inlineStr">
        <is>
          <t>A 58841-2019</t>
        </is>
      </c>
      <c r="B136" s="1" t="n">
        <v>43768</v>
      </c>
      <c r="C136" s="1" t="n">
        <v>45642</v>
      </c>
      <c r="D136" t="inlineStr">
        <is>
          <t>VÄSTERNORRLANDS LÄN</t>
        </is>
      </c>
      <c r="E136" t="inlineStr">
        <is>
          <t>KRAMFORS</t>
        </is>
      </c>
      <c r="G136" t="n">
        <v>3.2</v>
      </c>
      <c r="H136" t="n">
        <v>0</v>
      </c>
      <c r="I136" t="n">
        <v>0</v>
      </c>
      <c r="J136" t="n">
        <v>0</v>
      </c>
      <c r="K136" t="n">
        <v>0</v>
      </c>
      <c r="L136" t="n">
        <v>0</v>
      </c>
      <c r="M136" t="n">
        <v>0</v>
      </c>
      <c r="N136" t="n">
        <v>0</v>
      </c>
      <c r="O136" t="n">
        <v>0</v>
      </c>
      <c r="P136" t="n">
        <v>0</v>
      </c>
      <c r="Q136" t="n">
        <v>0</v>
      </c>
      <c r="R136" s="2" t="inlineStr"/>
    </row>
    <row r="137" ht="15" customHeight="1">
      <c r="A137" t="inlineStr">
        <is>
          <t>A 58768-2019</t>
        </is>
      </c>
      <c r="B137" s="1" t="n">
        <v>43773</v>
      </c>
      <c r="C137" s="1" t="n">
        <v>45642</v>
      </c>
      <c r="D137" t="inlineStr">
        <is>
          <t>VÄSTERNORRLANDS LÄN</t>
        </is>
      </c>
      <c r="E137" t="inlineStr">
        <is>
          <t>KRAMFORS</t>
        </is>
      </c>
      <c r="G137" t="n">
        <v>5.3</v>
      </c>
      <c r="H137" t="n">
        <v>0</v>
      </c>
      <c r="I137" t="n">
        <v>0</v>
      </c>
      <c r="J137" t="n">
        <v>0</v>
      </c>
      <c r="K137" t="n">
        <v>0</v>
      </c>
      <c r="L137" t="n">
        <v>0</v>
      </c>
      <c r="M137" t="n">
        <v>0</v>
      </c>
      <c r="N137" t="n">
        <v>0</v>
      </c>
      <c r="O137" t="n">
        <v>0</v>
      </c>
      <c r="P137" t="n">
        <v>0</v>
      </c>
      <c r="Q137" t="n">
        <v>0</v>
      </c>
      <c r="R137" s="2" t="inlineStr"/>
    </row>
    <row r="138" ht="15" customHeight="1">
      <c r="A138" t="inlineStr">
        <is>
          <t>A 58769-2019</t>
        </is>
      </c>
      <c r="B138" s="1" t="n">
        <v>43773</v>
      </c>
      <c r="C138" s="1" t="n">
        <v>45642</v>
      </c>
      <c r="D138" t="inlineStr">
        <is>
          <t>VÄSTERNORRLANDS LÄN</t>
        </is>
      </c>
      <c r="E138" t="inlineStr">
        <is>
          <t>KRAMFORS</t>
        </is>
      </c>
      <c r="G138" t="n">
        <v>1.3</v>
      </c>
      <c r="H138" t="n">
        <v>0</v>
      </c>
      <c r="I138" t="n">
        <v>0</v>
      </c>
      <c r="J138" t="n">
        <v>0</v>
      </c>
      <c r="K138" t="n">
        <v>0</v>
      </c>
      <c r="L138" t="n">
        <v>0</v>
      </c>
      <c r="M138" t="n">
        <v>0</v>
      </c>
      <c r="N138" t="n">
        <v>0</v>
      </c>
      <c r="O138" t="n">
        <v>0</v>
      </c>
      <c r="P138" t="n">
        <v>0</v>
      </c>
      <c r="Q138" t="n">
        <v>0</v>
      </c>
      <c r="R138" s="2" t="inlineStr"/>
    </row>
    <row r="139" ht="15" customHeight="1">
      <c r="A139" t="inlineStr">
        <is>
          <t>A 58847-2019</t>
        </is>
      </c>
      <c r="B139" s="1" t="n">
        <v>43774</v>
      </c>
      <c r="C139" s="1" t="n">
        <v>45642</v>
      </c>
      <c r="D139" t="inlineStr">
        <is>
          <t>VÄSTERNORRLANDS LÄN</t>
        </is>
      </c>
      <c r="E139" t="inlineStr">
        <is>
          <t>KRAMFORS</t>
        </is>
      </c>
      <c r="G139" t="n">
        <v>1</v>
      </c>
      <c r="H139" t="n">
        <v>0</v>
      </c>
      <c r="I139" t="n">
        <v>0</v>
      </c>
      <c r="J139" t="n">
        <v>0</v>
      </c>
      <c r="K139" t="n">
        <v>0</v>
      </c>
      <c r="L139" t="n">
        <v>0</v>
      </c>
      <c r="M139" t="n">
        <v>0</v>
      </c>
      <c r="N139" t="n">
        <v>0</v>
      </c>
      <c r="O139" t="n">
        <v>0</v>
      </c>
      <c r="P139" t="n">
        <v>0</v>
      </c>
      <c r="Q139" t="n">
        <v>0</v>
      </c>
      <c r="R139" s="2" t="inlineStr"/>
    </row>
    <row r="140" ht="15" customHeight="1">
      <c r="A140" t="inlineStr">
        <is>
          <t>A 59686-2019</t>
        </is>
      </c>
      <c r="B140" s="1" t="n">
        <v>43774</v>
      </c>
      <c r="C140" s="1" t="n">
        <v>45642</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58852-2019</t>
        </is>
      </c>
      <c r="B141" s="1" t="n">
        <v>43774</v>
      </c>
      <c r="C141" s="1" t="n">
        <v>45642</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62178-2019</t>
        </is>
      </c>
      <c r="B142" s="1" t="n">
        <v>43787</v>
      </c>
      <c r="C142" s="1" t="n">
        <v>45642</v>
      </c>
      <c r="D142" t="inlineStr">
        <is>
          <t>VÄSTERNORRLANDS LÄN</t>
        </is>
      </c>
      <c r="E142" t="inlineStr">
        <is>
          <t>KRAMFORS</t>
        </is>
      </c>
      <c r="G142" t="n">
        <v>1.7</v>
      </c>
      <c r="H142" t="n">
        <v>0</v>
      </c>
      <c r="I142" t="n">
        <v>0</v>
      </c>
      <c r="J142" t="n">
        <v>0</v>
      </c>
      <c r="K142" t="n">
        <v>0</v>
      </c>
      <c r="L142" t="n">
        <v>0</v>
      </c>
      <c r="M142" t="n">
        <v>0</v>
      </c>
      <c r="N142" t="n">
        <v>0</v>
      </c>
      <c r="O142" t="n">
        <v>0</v>
      </c>
      <c r="P142" t="n">
        <v>0</v>
      </c>
      <c r="Q142" t="n">
        <v>0</v>
      </c>
      <c r="R142" s="2" t="inlineStr"/>
    </row>
    <row r="143" ht="15" customHeight="1">
      <c r="A143" t="inlineStr">
        <is>
          <t>A 62180-2019</t>
        </is>
      </c>
      <c r="B143" s="1" t="n">
        <v>43787</v>
      </c>
      <c r="C143" s="1" t="n">
        <v>45642</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63612-2019</t>
        </is>
      </c>
      <c r="B144" s="1" t="n">
        <v>43789</v>
      </c>
      <c r="C144" s="1" t="n">
        <v>45642</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64217-2019</t>
        </is>
      </c>
      <c r="B145" s="1" t="n">
        <v>43797</v>
      </c>
      <c r="C145" s="1" t="n">
        <v>45642</v>
      </c>
      <c r="D145" t="inlineStr">
        <is>
          <t>VÄSTERNORRLANDS LÄN</t>
        </is>
      </c>
      <c r="E145" t="inlineStr">
        <is>
          <t>KRAMFORS</t>
        </is>
      </c>
      <c r="G145" t="n">
        <v>2.2</v>
      </c>
      <c r="H145" t="n">
        <v>0</v>
      </c>
      <c r="I145" t="n">
        <v>0</v>
      </c>
      <c r="J145" t="n">
        <v>0</v>
      </c>
      <c r="K145" t="n">
        <v>0</v>
      </c>
      <c r="L145" t="n">
        <v>0</v>
      </c>
      <c r="M145" t="n">
        <v>0</v>
      </c>
      <c r="N145" t="n">
        <v>0</v>
      </c>
      <c r="O145" t="n">
        <v>0</v>
      </c>
      <c r="P145" t="n">
        <v>0</v>
      </c>
      <c r="Q145" t="n">
        <v>0</v>
      </c>
      <c r="R145" s="2" t="inlineStr"/>
    </row>
    <row r="146" ht="15" customHeight="1">
      <c r="A146" t="inlineStr">
        <is>
          <t>A 65354-2019</t>
        </is>
      </c>
      <c r="B146" s="1" t="n">
        <v>43803</v>
      </c>
      <c r="C146" s="1" t="n">
        <v>45642</v>
      </c>
      <c r="D146" t="inlineStr">
        <is>
          <t>VÄSTERNORRLANDS LÄN</t>
        </is>
      </c>
      <c r="E146" t="inlineStr">
        <is>
          <t>KRAMFORS</t>
        </is>
      </c>
      <c r="G146" t="n">
        <v>2.9</v>
      </c>
      <c r="H146" t="n">
        <v>0</v>
      </c>
      <c r="I146" t="n">
        <v>0</v>
      </c>
      <c r="J146" t="n">
        <v>0</v>
      </c>
      <c r="K146" t="n">
        <v>0</v>
      </c>
      <c r="L146" t="n">
        <v>0</v>
      </c>
      <c r="M146" t="n">
        <v>0</v>
      </c>
      <c r="N146" t="n">
        <v>0</v>
      </c>
      <c r="O146" t="n">
        <v>0</v>
      </c>
      <c r="P146" t="n">
        <v>0</v>
      </c>
      <c r="Q146" t="n">
        <v>0</v>
      </c>
      <c r="R146" s="2" t="inlineStr"/>
    </row>
    <row r="147" ht="15" customHeight="1">
      <c r="A147" t="inlineStr">
        <is>
          <t>A 66975-2019</t>
        </is>
      </c>
      <c r="B147" s="1" t="n">
        <v>43810</v>
      </c>
      <c r="C147" s="1" t="n">
        <v>45642</v>
      </c>
      <c r="D147" t="inlineStr">
        <is>
          <t>VÄSTERNORRLANDS LÄN</t>
        </is>
      </c>
      <c r="E147" t="inlineStr">
        <is>
          <t>KRAMFORS</t>
        </is>
      </c>
      <c r="G147" t="n">
        <v>4</v>
      </c>
      <c r="H147" t="n">
        <v>0</v>
      </c>
      <c r="I147" t="n">
        <v>0</v>
      </c>
      <c r="J147" t="n">
        <v>0</v>
      </c>
      <c r="K147" t="n">
        <v>0</v>
      </c>
      <c r="L147" t="n">
        <v>0</v>
      </c>
      <c r="M147" t="n">
        <v>0</v>
      </c>
      <c r="N147" t="n">
        <v>0</v>
      </c>
      <c r="O147" t="n">
        <v>0</v>
      </c>
      <c r="P147" t="n">
        <v>0</v>
      </c>
      <c r="Q147" t="n">
        <v>0</v>
      </c>
      <c r="R147" s="2" t="inlineStr"/>
    </row>
    <row r="148" ht="15" customHeight="1">
      <c r="A148" t="inlineStr">
        <is>
          <t>A 67272-2019</t>
        </is>
      </c>
      <c r="B148" s="1" t="n">
        <v>43812</v>
      </c>
      <c r="C148" s="1" t="n">
        <v>45642</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67366-2019</t>
        </is>
      </c>
      <c r="B149" s="1" t="n">
        <v>43812</v>
      </c>
      <c r="C149" s="1" t="n">
        <v>45642</v>
      </c>
      <c r="D149" t="inlineStr">
        <is>
          <t>VÄSTERNORRLANDS LÄN</t>
        </is>
      </c>
      <c r="E149" t="inlineStr">
        <is>
          <t>KRAMFORS</t>
        </is>
      </c>
      <c r="G149" t="n">
        <v>0.8</v>
      </c>
      <c r="H149" t="n">
        <v>0</v>
      </c>
      <c r="I149" t="n">
        <v>0</v>
      </c>
      <c r="J149" t="n">
        <v>0</v>
      </c>
      <c r="K149" t="n">
        <v>0</v>
      </c>
      <c r="L149" t="n">
        <v>0</v>
      </c>
      <c r="M149" t="n">
        <v>0</v>
      </c>
      <c r="N149" t="n">
        <v>0</v>
      </c>
      <c r="O149" t="n">
        <v>0</v>
      </c>
      <c r="P149" t="n">
        <v>0</v>
      </c>
      <c r="Q149" t="n">
        <v>0</v>
      </c>
      <c r="R149" s="2" t="inlineStr"/>
    </row>
    <row r="150" ht="15" customHeight="1">
      <c r="A150" t="inlineStr">
        <is>
          <t>A 67278-2019</t>
        </is>
      </c>
      <c r="B150" s="1" t="n">
        <v>43812</v>
      </c>
      <c r="C150" s="1" t="n">
        <v>45642</v>
      </c>
      <c r="D150" t="inlineStr">
        <is>
          <t>VÄSTERNORRLANDS LÄN</t>
        </is>
      </c>
      <c r="E150" t="inlineStr">
        <is>
          <t>KRAMFORS</t>
        </is>
      </c>
      <c r="G150" t="n">
        <v>4.6</v>
      </c>
      <c r="H150" t="n">
        <v>0</v>
      </c>
      <c r="I150" t="n">
        <v>0</v>
      </c>
      <c r="J150" t="n">
        <v>0</v>
      </c>
      <c r="K150" t="n">
        <v>0</v>
      </c>
      <c r="L150" t="n">
        <v>0</v>
      </c>
      <c r="M150" t="n">
        <v>0</v>
      </c>
      <c r="N150" t="n">
        <v>0</v>
      </c>
      <c r="O150" t="n">
        <v>0</v>
      </c>
      <c r="P150" t="n">
        <v>0</v>
      </c>
      <c r="Q150" t="n">
        <v>0</v>
      </c>
      <c r="R150" s="2" t="inlineStr"/>
    </row>
    <row r="151" ht="15" customHeight="1">
      <c r="A151" t="inlineStr">
        <is>
          <t>A 67813-2019</t>
        </is>
      </c>
      <c r="B151" s="1" t="n">
        <v>43815</v>
      </c>
      <c r="C151" s="1" t="n">
        <v>45642</v>
      </c>
      <c r="D151" t="inlineStr">
        <is>
          <t>VÄSTERNORRLANDS LÄN</t>
        </is>
      </c>
      <c r="E151" t="inlineStr">
        <is>
          <t>KRAMFORS</t>
        </is>
      </c>
      <c r="F151" t="inlineStr">
        <is>
          <t>SCA</t>
        </is>
      </c>
      <c r="G151" t="n">
        <v>24.1</v>
      </c>
      <c r="H151" t="n">
        <v>0</v>
      </c>
      <c r="I151" t="n">
        <v>0</v>
      </c>
      <c r="J151" t="n">
        <v>0</v>
      </c>
      <c r="K151" t="n">
        <v>0</v>
      </c>
      <c r="L151" t="n">
        <v>0</v>
      </c>
      <c r="M151" t="n">
        <v>0</v>
      </c>
      <c r="N151" t="n">
        <v>0</v>
      </c>
      <c r="O151" t="n">
        <v>0</v>
      </c>
      <c r="P151" t="n">
        <v>0</v>
      </c>
      <c r="Q151" t="n">
        <v>0</v>
      </c>
      <c r="R151" s="2" t="inlineStr"/>
    </row>
    <row r="152" ht="15" customHeight="1">
      <c r="A152" t="inlineStr">
        <is>
          <t>A 975-2020</t>
        </is>
      </c>
      <c r="B152" s="1" t="n">
        <v>43819</v>
      </c>
      <c r="C152" s="1" t="n">
        <v>45642</v>
      </c>
      <c r="D152" t="inlineStr">
        <is>
          <t>VÄSTERNORRLANDS LÄN</t>
        </is>
      </c>
      <c r="E152" t="inlineStr">
        <is>
          <t>KRAMFORS</t>
        </is>
      </c>
      <c r="G152" t="n">
        <v>6.8</v>
      </c>
      <c r="H152" t="n">
        <v>0</v>
      </c>
      <c r="I152" t="n">
        <v>0</v>
      </c>
      <c r="J152" t="n">
        <v>0</v>
      </c>
      <c r="K152" t="n">
        <v>0</v>
      </c>
      <c r="L152" t="n">
        <v>0</v>
      </c>
      <c r="M152" t="n">
        <v>0</v>
      </c>
      <c r="N152" t="n">
        <v>0</v>
      </c>
      <c r="O152" t="n">
        <v>0</v>
      </c>
      <c r="P152" t="n">
        <v>0</v>
      </c>
      <c r="Q152" t="n">
        <v>0</v>
      </c>
      <c r="R152" s="2" t="inlineStr"/>
    </row>
    <row r="153" ht="15" customHeight="1">
      <c r="A153" t="inlineStr">
        <is>
          <t>A 68845-2019</t>
        </is>
      </c>
      <c r="B153" s="1" t="n">
        <v>43819</v>
      </c>
      <c r="C153" s="1" t="n">
        <v>45642</v>
      </c>
      <c r="D153" t="inlineStr">
        <is>
          <t>VÄSTERNORRLANDS LÄN</t>
        </is>
      </c>
      <c r="E153" t="inlineStr">
        <is>
          <t>KRAMFORS</t>
        </is>
      </c>
      <c r="G153" t="n">
        <v>2.3</v>
      </c>
      <c r="H153" t="n">
        <v>0</v>
      </c>
      <c r="I153" t="n">
        <v>0</v>
      </c>
      <c r="J153" t="n">
        <v>0</v>
      </c>
      <c r="K153" t="n">
        <v>0</v>
      </c>
      <c r="L153" t="n">
        <v>0</v>
      </c>
      <c r="M153" t="n">
        <v>0</v>
      </c>
      <c r="N153" t="n">
        <v>0</v>
      </c>
      <c r="O153" t="n">
        <v>0</v>
      </c>
      <c r="P153" t="n">
        <v>0</v>
      </c>
      <c r="Q153" t="n">
        <v>0</v>
      </c>
      <c r="R153" s="2" t="inlineStr"/>
    </row>
    <row r="154" ht="15" customHeight="1">
      <c r="A154" t="inlineStr">
        <is>
          <t>A 1982-2020</t>
        </is>
      </c>
      <c r="B154" s="1" t="n">
        <v>43845</v>
      </c>
      <c r="C154" s="1" t="n">
        <v>45642</v>
      </c>
      <c r="D154" t="inlineStr">
        <is>
          <t>VÄSTERNORRLANDS LÄN</t>
        </is>
      </c>
      <c r="E154" t="inlineStr">
        <is>
          <t>KRAMFORS</t>
        </is>
      </c>
      <c r="G154" t="n">
        <v>3.3</v>
      </c>
      <c r="H154" t="n">
        <v>0</v>
      </c>
      <c r="I154" t="n">
        <v>0</v>
      </c>
      <c r="J154" t="n">
        <v>0</v>
      </c>
      <c r="K154" t="n">
        <v>0</v>
      </c>
      <c r="L154" t="n">
        <v>0</v>
      </c>
      <c r="M154" t="n">
        <v>0</v>
      </c>
      <c r="N154" t="n">
        <v>0</v>
      </c>
      <c r="O154" t="n">
        <v>0</v>
      </c>
      <c r="P154" t="n">
        <v>0</v>
      </c>
      <c r="Q154" t="n">
        <v>0</v>
      </c>
      <c r="R154" s="2" t="inlineStr"/>
    </row>
    <row r="155" ht="15" customHeight="1">
      <c r="A155" t="inlineStr">
        <is>
          <t>A 2361-2020</t>
        </is>
      </c>
      <c r="B155" s="1" t="n">
        <v>43846</v>
      </c>
      <c r="C155" s="1" t="n">
        <v>45642</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2794-2020</t>
        </is>
      </c>
      <c r="B156" s="1" t="n">
        <v>43850</v>
      </c>
      <c r="C156" s="1" t="n">
        <v>45642</v>
      </c>
      <c r="D156" t="inlineStr">
        <is>
          <t>VÄSTERNORRLANDS LÄN</t>
        </is>
      </c>
      <c r="E156" t="inlineStr">
        <is>
          <t>KRAMFORS</t>
        </is>
      </c>
      <c r="G156" t="n">
        <v>2.4</v>
      </c>
      <c r="H156" t="n">
        <v>0</v>
      </c>
      <c r="I156" t="n">
        <v>0</v>
      </c>
      <c r="J156" t="n">
        <v>0</v>
      </c>
      <c r="K156" t="n">
        <v>0</v>
      </c>
      <c r="L156" t="n">
        <v>0</v>
      </c>
      <c r="M156" t="n">
        <v>0</v>
      </c>
      <c r="N156" t="n">
        <v>0</v>
      </c>
      <c r="O156" t="n">
        <v>0</v>
      </c>
      <c r="P156" t="n">
        <v>0</v>
      </c>
      <c r="Q156" t="n">
        <v>0</v>
      </c>
      <c r="R156" s="2" t="inlineStr"/>
    </row>
    <row r="157" ht="15" customHeight="1">
      <c r="A157" t="inlineStr">
        <is>
          <t>A 2793-2020</t>
        </is>
      </c>
      <c r="B157" s="1" t="n">
        <v>43850</v>
      </c>
      <c r="C157" s="1" t="n">
        <v>45642</v>
      </c>
      <c r="D157" t="inlineStr">
        <is>
          <t>VÄSTERNORRLANDS LÄN</t>
        </is>
      </c>
      <c r="E157" t="inlineStr">
        <is>
          <t>KRAMFORS</t>
        </is>
      </c>
      <c r="G157" t="n">
        <v>1.8</v>
      </c>
      <c r="H157" t="n">
        <v>0</v>
      </c>
      <c r="I157" t="n">
        <v>0</v>
      </c>
      <c r="J157" t="n">
        <v>0</v>
      </c>
      <c r="K157" t="n">
        <v>0</v>
      </c>
      <c r="L157" t="n">
        <v>0</v>
      </c>
      <c r="M157" t="n">
        <v>0</v>
      </c>
      <c r="N157" t="n">
        <v>0</v>
      </c>
      <c r="O157" t="n">
        <v>0</v>
      </c>
      <c r="P157" t="n">
        <v>0</v>
      </c>
      <c r="Q157" t="n">
        <v>0</v>
      </c>
      <c r="R157" s="2" t="inlineStr"/>
    </row>
    <row r="158" ht="15" customHeight="1">
      <c r="A158" t="inlineStr">
        <is>
          <t>A 3496-2020</t>
        </is>
      </c>
      <c r="B158" s="1" t="n">
        <v>43852</v>
      </c>
      <c r="C158" s="1" t="n">
        <v>45642</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3490-2020</t>
        </is>
      </c>
      <c r="B159" s="1" t="n">
        <v>43852</v>
      </c>
      <c r="C159" s="1" t="n">
        <v>45642</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5707-2020</t>
        </is>
      </c>
      <c r="B160" s="1" t="n">
        <v>43861</v>
      </c>
      <c r="C160" s="1" t="n">
        <v>45642</v>
      </c>
      <c r="D160" t="inlineStr">
        <is>
          <t>VÄSTERNORRLANDS LÄN</t>
        </is>
      </c>
      <c r="E160" t="inlineStr">
        <is>
          <t>KRAMFORS</t>
        </is>
      </c>
      <c r="G160" t="n">
        <v>3.9</v>
      </c>
      <c r="H160" t="n">
        <v>0</v>
      </c>
      <c r="I160" t="n">
        <v>0</v>
      </c>
      <c r="J160" t="n">
        <v>0</v>
      </c>
      <c r="K160" t="n">
        <v>0</v>
      </c>
      <c r="L160" t="n">
        <v>0</v>
      </c>
      <c r="M160" t="n">
        <v>0</v>
      </c>
      <c r="N160" t="n">
        <v>0</v>
      </c>
      <c r="O160" t="n">
        <v>0</v>
      </c>
      <c r="P160" t="n">
        <v>0</v>
      </c>
      <c r="Q160" t="n">
        <v>0</v>
      </c>
      <c r="R160" s="2" t="inlineStr"/>
    </row>
    <row r="161" ht="15" customHeight="1">
      <c r="A161" t="inlineStr">
        <is>
          <t>A 6269-2020</t>
        </is>
      </c>
      <c r="B161" s="1" t="n">
        <v>43866</v>
      </c>
      <c r="C161" s="1" t="n">
        <v>45642</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8130-2020</t>
        </is>
      </c>
      <c r="B162" s="1" t="n">
        <v>43867</v>
      </c>
      <c r="C162" s="1" t="n">
        <v>45642</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7175-2020</t>
        </is>
      </c>
      <c r="B163" s="1" t="n">
        <v>43868</v>
      </c>
      <c r="C163" s="1" t="n">
        <v>45642</v>
      </c>
      <c r="D163" t="inlineStr">
        <is>
          <t>VÄSTERNORRLANDS LÄN</t>
        </is>
      </c>
      <c r="E163" t="inlineStr">
        <is>
          <t>KRAMFORS</t>
        </is>
      </c>
      <c r="G163" t="n">
        <v>3.5</v>
      </c>
      <c r="H163" t="n">
        <v>0</v>
      </c>
      <c r="I163" t="n">
        <v>0</v>
      </c>
      <c r="J163" t="n">
        <v>0</v>
      </c>
      <c r="K163" t="n">
        <v>0</v>
      </c>
      <c r="L163" t="n">
        <v>0</v>
      </c>
      <c r="M163" t="n">
        <v>0</v>
      </c>
      <c r="N163" t="n">
        <v>0</v>
      </c>
      <c r="O163" t="n">
        <v>0</v>
      </c>
      <c r="P163" t="n">
        <v>0</v>
      </c>
      <c r="Q163" t="n">
        <v>0</v>
      </c>
      <c r="R163" s="2" t="inlineStr"/>
    </row>
    <row r="164" ht="15" customHeight="1">
      <c r="A164" t="inlineStr">
        <is>
          <t>A 8487-2020</t>
        </is>
      </c>
      <c r="B164" s="1" t="n">
        <v>43874</v>
      </c>
      <c r="C164" s="1" t="n">
        <v>45642</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8486-2020</t>
        </is>
      </c>
      <c r="B165" s="1" t="n">
        <v>43875</v>
      </c>
      <c r="C165" s="1" t="n">
        <v>45642</v>
      </c>
      <c r="D165" t="inlineStr">
        <is>
          <t>VÄSTERNORRLANDS LÄN</t>
        </is>
      </c>
      <c r="E165" t="inlineStr">
        <is>
          <t>KRAMFORS</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8524-2020</t>
        </is>
      </c>
      <c r="B166" s="1" t="n">
        <v>43875</v>
      </c>
      <c r="C166" s="1" t="n">
        <v>45642</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8479-2020</t>
        </is>
      </c>
      <c r="B167" s="1" t="n">
        <v>43875</v>
      </c>
      <c r="C167" s="1" t="n">
        <v>45642</v>
      </c>
      <c r="D167" t="inlineStr">
        <is>
          <t>VÄSTERNORRLANDS LÄN</t>
        </is>
      </c>
      <c r="E167" t="inlineStr">
        <is>
          <t>KRAMFORS</t>
        </is>
      </c>
      <c r="G167" t="n">
        <v>0.7</v>
      </c>
      <c r="H167" t="n">
        <v>0</v>
      </c>
      <c r="I167" t="n">
        <v>0</v>
      </c>
      <c r="J167" t="n">
        <v>0</v>
      </c>
      <c r="K167" t="n">
        <v>0</v>
      </c>
      <c r="L167" t="n">
        <v>0</v>
      </c>
      <c r="M167" t="n">
        <v>0</v>
      </c>
      <c r="N167" t="n">
        <v>0</v>
      </c>
      <c r="O167" t="n">
        <v>0</v>
      </c>
      <c r="P167" t="n">
        <v>0</v>
      </c>
      <c r="Q167" t="n">
        <v>0</v>
      </c>
      <c r="R167" s="2" t="inlineStr"/>
    </row>
    <row r="168" ht="15" customHeight="1">
      <c r="A168" t="inlineStr">
        <is>
          <t>A 8525-2020</t>
        </is>
      </c>
      <c r="B168" s="1" t="n">
        <v>43875</v>
      </c>
      <c r="C168" s="1" t="n">
        <v>45642</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9836-2020</t>
        </is>
      </c>
      <c r="B169" s="1" t="n">
        <v>43881</v>
      </c>
      <c r="C169" s="1" t="n">
        <v>45642</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12464-2020</t>
        </is>
      </c>
      <c r="B170" s="1" t="n">
        <v>43892</v>
      </c>
      <c r="C170" s="1" t="n">
        <v>45642</v>
      </c>
      <c r="D170" t="inlineStr">
        <is>
          <t>VÄSTERNORRLANDS LÄN</t>
        </is>
      </c>
      <c r="E170" t="inlineStr">
        <is>
          <t>KRAMFORS</t>
        </is>
      </c>
      <c r="G170" t="n">
        <v>1.7</v>
      </c>
      <c r="H170" t="n">
        <v>0</v>
      </c>
      <c r="I170" t="n">
        <v>0</v>
      </c>
      <c r="J170" t="n">
        <v>0</v>
      </c>
      <c r="K170" t="n">
        <v>0</v>
      </c>
      <c r="L170" t="n">
        <v>0</v>
      </c>
      <c r="M170" t="n">
        <v>0</v>
      </c>
      <c r="N170" t="n">
        <v>0</v>
      </c>
      <c r="O170" t="n">
        <v>0</v>
      </c>
      <c r="P170" t="n">
        <v>0</v>
      </c>
      <c r="Q170" t="n">
        <v>0</v>
      </c>
      <c r="R170" s="2" t="inlineStr"/>
    </row>
    <row r="171" ht="15" customHeight="1">
      <c r="A171" t="inlineStr">
        <is>
          <t>A 14092-2020</t>
        </is>
      </c>
      <c r="B171" s="1" t="n">
        <v>43899</v>
      </c>
      <c r="C171" s="1" t="n">
        <v>45642</v>
      </c>
      <c r="D171" t="inlineStr">
        <is>
          <t>VÄSTERNORRLANDS LÄN</t>
        </is>
      </c>
      <c r="E171" t="inlineStr">
        <is>
          <t>KRAMFORS</t>
        </is>
      </c>
      <c r="G171" t="n">
        <v>1.3</v>
      </c>
      <c r="H171" t="n">
        <v>0</v>
      </c>
      <c r="I171" t="n">
        <v>0</v>
      </c>
      <c r="J171" t="n">
        <v>0</v>
      </c>
      <c r="K171" t="n">
        <v>0</v>
      </c>
      <c r="L171" t="n">
        <v>0</v>
      </c>
      <c r="M171" t="n">
        <v>0</v>
      </c>
      <c r="N171" t="n">
        <v>0</v>
      </c>
      <c r="O171" t="n">
        <v>0</v>
      </c>
      <c r="P171" t="n">
        <v>0</v>
      </c>
      <c r="Q171" t="n">
        <v>0</v>
      </c>
      <c r="R171" s="2" t="inlineStr"/>
    </row>
    <row r="172" ht="15" customHeight="1">
      <c r="A172" t="inlineStr">
        <is>
          <t>A 14086-2020</t>
        </is>
      </c>
      <c r="B172" s="1" t="n">
        <v>43899</v>
      </c>
      <c r="C172" s="1" t="n">
        <v>45642</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14861-2020</t>
        </is>
      </c>
      <c r="B173" s="1" t="n">
        <v>43909</v>
      </c>
      <c r="C173" s="1" t="n">
        <v>45642</v>
      </c>
      <c r="D173" t="inlineStr">
        <is>
          <t>VÄSTERNORRLANDS LÄN</t>
        </is>
      </c>
      <c r="E173" t="inlineStr">
        <is>
          <t>KRAMFORS</t>
        </is>
      </c>
      <c r="G173" t="n">
        <v>0.6</v>
      </c>
      <c r="H173" t="n">
        <v>0</v>
      </c>
      <c r="I173" t="n">
        <v>0</v>
      </c>
      <c r="J173" t="n">
        <v>0</v>
      </c>
      <c r="K173" t="n">
        <v>0</v>
      </c>
      <c r="L173" t="n">
        <v>0</v>
      </c>
      <c r="M173" t="n">
        <v>0</v>
      </c>
      <c r="N173" t="n">
        <v>0</v>
      </c>
      <c r="O173" t="n">
        <v>0</v>
      </c>
      <c r="P173" t="n">
        <v>0</v>
      </c>
      <c r="Q173" t="n">
        <v>0</v>
      </c>
      <c r="R173" s="2" t="inlineStr"/>
    </row>
    <row r="174" ht="15" customHeight="1">
      <c r="A174" t="inlineStr">
        <is>
          <t>A 16160-2020</t>
        </is>
      </c>
      <c r="B174" s="1" t="n">
        <v>43916</v>
      </c>
      <c r="C174" s="1" t="n">
        <v>45642</v>
      </c>
      <c r="D174" t="inlineStr">
        <is>
          <t>VÄSTERNORRLANDS LÄN</t>
        </is>
      </c>
      <c r="E174" t="inlineStr">
        <is>
          <t>KRAMFORS</t>
        </is>
      </c>
      <c r="G174" t="n">
        <v>2.1</v>
      </c>
      <c r="H174" t="n">
        <v>0</v>
      </c>
      <c r="I174" t="n">
        <v>0</v>
      </c>
      <c r="J174" t="n">
        <v>0</v>
      </c>
      <c r="K174" t="n">
        <v>0</v>
      </c>
      <c r="L174" t="n">
        <v>0</v>
      </c>
      <c r="M174" t="n">
        <v>0</v>
      </c>
      <c r="N174" t="n">
        <v>0</v>
      </c>
      <c r="O174" t="n">
        <v>0</v>
      </c>
      <c r="P174" t="n">
        <v>0</v>
      </c>
      <c r="Q174" t="n">
        <v>0</v>
      </c>
      <c r="R174" s="2" t="inlineStr"/>
    </row>
    <row r="175" ht="15" customHeight="1">
      <c r="A175" t="inlineStr">
        <is>
          <t>A 19000-2020</t>
        </is>
      </c>
      <c r="B175" s="1" t="n">
        <v>43935</v>
      </c>
      <c r="C175" s="1" t="n">
        <v>45642</v>
      </c>
      <c r="D175" t="inlineStr">
        <is>
          <t>VÄSTERNORRLANDS LÄN</t>
        </is>
      </c>
      <c r="E175" t="inlineStr">
        <is>
          <t>KRAMFORS</t>
        </is>
      </c>
      <c r="G175" t="n">
        <v>1.1</v>
      </c>
      <c r="H175" t="n">
        <v>0</v>
      </c>
      <c r="I175" t="n">
        <v>0</v>
      </c>
      <c r="J175" t="n">
        <v>0</v>
      </c>
      <c r="K175" t="n">
        <v>0</v>
      </c>
      <c r="L175" t="n">
        <v>0</v>
      </c>
      <c r="M175" t="n">
        <v>0</v>
      </c>
      <c r="N175" t="n">
        <v>0</v>
      </c>
      <c r="O175" t="n">
        <v>0</v>
      </c>
      <c r="P175" t="n">
        <v>0</v>
      </c>
      <c r="Q175" t="n">
        <v>0</v>
      </c>
      <c r="R175" s="2" t="inlineStr"/>
    </row>
    <row r="176" ht="15" customHeight="1">
      <c r="A176" t="inlineStr">
        <is>
          <t>A 19164-2020</t>
        </is>
      </c>
      <c r="B176" s="1" t="n">
        <v>43936</v>
      </c>
      <c r="C176" s="1" t="n">
        <v>45642</v>
      </c>
      <c r="D176" t="inlineStr">
        <is>
          <t>VÄSTERNORRLANDS LÄN</t>
        </is>
      </c>
      <c r="E176" t="inlineStr">
        <is>
          <t>KRAMFORS</t>
        </is>
      </c>
      <c r="G176" t="n">
        <v>4.8</v>
      </c>
      <c r="H176" t="n">
        <v>0</v>
      </c>
      <c r="I176" t="n">
        <v>0</v>
      </c>
      <c r="J176" t="n">
        <v>0</v>
      </c>
      <c r="K176" t="n">
        <v>0</v>
      </c>
      <c r="L176" t="n">
        <v>0</v>
      </c>
      <c r="M176" t="n">
        <v>0</v>
      </c>
      <c r="N176" t="n">
        <v>0</v>
      </c>
      <c r="O176" t="n">
        <v>0</v>
      </c>
      <c r="P176" t="n">
        <v>0</v>
      </c>
      <c r="Q176" t="n">
        <v>0</v>
      </c>
      <c r="R176" s="2" t="inlineStr"/>
    </row>
    <row r="177" ht="15" customHeight="1">
      <c r="A177" t="inlineStr">
        <is>
          <t>A 19708-2020</t>
        </is>
      </c>
      <c r="B177" s="1" t="n">
        <v>43937</v>
      </c>
      <c r="C177" s="1" t="n">
        <v>45642</v>
      </c>
      <c r="D177" t="inlineStr">
        <is>
          <t>VÄSTERNORRLANDS LÄN</t>
        </is>
      </c>
      <c r="E177" t="inlineStr">
        <is>
          <t>KRAMFORS</t>
        </is>
      </c>
      <c r="F177" t="inlineStr">
        <is>
          <t>Kyrkan</t>
        </is>
      </c>
      <c r="G177" t="n">
        <v>6.4</v>
      </c>
      <c r="H177" t="n">
        <v>0</v>
      </c>
      <c r="I177" t="n">
        <v>0</v>
      </c>
      <c r="J177" t="n">
        <v>0</v>
      </c>
      <c r="K177" t="n">
        <v>0</v>
      </c>
      <c r="L177" t="n">
        <v>0</v>
      </c>
      <c r="M177" t="n">
        <v>0</v>
      </c>
      <c r="N177" t="n">
        <v>0</v>
      </c>
      <c r="O177" t="n">
        <v>0</v>
      </c>
      <c r="P177" t="n">
        <v>0</v>
      </c>
      <c r="Q177" t="n">
        <v>0</v>
      </c>
      <c r="R177" s="2" t="inlineStr"/>
    </row>
    <row r="178" ht="15" customHeight="1">
      <c r="A178" t="inlineStr">
        <is>
          <t>A 21021-2020</t>
        </is>
      </c>
      <c r="B178" s="1" t="n">
        <v>43950</v>
      </c>
      <c r="C178" s="1" t="n">
        <v>45642</v>
      </c>
      <c r="D178" t="inlineStr">
        <is>
          <t>VÄSTERNORRLANDS LÄN</t>
        </is>
      </c>
      <c r="E178" t="inlineStr">
        <is>
          <t>KRAMFORS</t>
        </is>
      </c>
      <c r="F178" t="inlineStr">
        <is>
          <t>SCA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22369-2020</t>
        </is>
      </c>
      <c r="B179" s="1" t="n">
        <v>43957</v>
      </c>
      <c r="C179" s="1" t="n">
        <v>45642</v>
      </c>
      <c r="D179" t="inlineStr">
        <is>
          <t>VÄSTERNORRLANDS LÄN</t>
        </is>
      </c>
      <c r="E179" t="inlineStr">
        <is>
          <t>KRAMFORS</t>
        </is>
      </c>
      <c r="G179" t="n">
        <v>1.5</v>
      </c>
      <c r="H179" t="n">
        <v>0</v>
      </c>
      <c r="I179" t="n">
        <v>0</v>
      </c>
      <c r="J179" t="n">
        <v>0</v>
      </c>
      <c r="K179" t="n">
        <v>0</v>
      </c>
      <c r="L179" t="n">
        <v>0</v>
      </c>
      <c r="M179" t="n">
        <v>0</v>
      </c>
      <c r="N179" t="n">
        <v>0</v>
      </c>
      <c r="O179" t="n">
        <v>0</v>
      </c>
      <c r="P179" t="n">
        <v>0</v>
      </c>
      <c r="Q179" t="n">
        <v>0</v>
      </c>
      <c r="R179" s="2" t="inlineStr"/>
    </row>
    <row r="180" ht="15" customHeight="1">
      <c r="A180" t="inlineStr">
        <is>
          <t>A 22698-2020</t>
        </is>
      </c>
      <c r="B180" s="1" t="n">
        <v>43963</v>
      </c>
      <c r="C180" s="1" t="n">
        <v>45642</v>
      </c>
      <c r="D180" t="inlineStr">
        <is>
          <t>VÄSTERNORRLANDS LÄN</t>
        </is>
      </c>
      <c r="E180" t="inlineStr">
        <is>
          <t>KRAMFORS</t>
        </is>
      </c>
      <c r="F180" t="inlineStr">
        <is>
          <t>SCA</t>
        </is>
      </c>
      <c r="G180" t="n">
        <v>8.5</v>
      </c>
      <c r="H180" t="n">
        <v>0</v>
      </c>
      <c r="I180" t="n">
        <v>0</v>
      </c>
      <c r="J180" t="n">
        <v>0</v>
      </c>
      <c r="K180" t="n">
        <v>0</v>
      </c>
      <c r="L180" t="n">
        <v>0</v>
      </c>
      <c r="M180" t="n">
        <v>0</v>
      </c>
      <c r="N180" t="n">
        <v>0</v>
      </c>
      <c r="O180" t="n">
        <v>0</v>
      </c>
      <c r="P180" t="n">
        <v>0</v>
      </c>
      <c r="Q180" t="n">
        <v>0</v>
      </c>
      <c r="R180" s="2" t="inlineStr"/>
    </row>
    <row r="181" ht="15" customHeight="1">
      <c r="A181" t="inlineStr">
        <is>
          <t>A 22829-2020</t>
        </is>
      </c>
      <c r="B181" s="1" t="n">
        <v>43964</v>
      </c>
      <c r="C181" s="1" t="n">
        <v>45642</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22841-2020</t>
        </is>
      </c>
      <c r="B182" s="1" t="n">
        <v>43964</v>
      </c>
      <c r="C182" s="1" t="n">
        <v>45642</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23752-2020</t>
        </is>
      </c>
      <c r="B183" s="1" t="n">
        <v>43969</v>
      </c>
      <c r="C183" s="1" t="n">
        <v>45642</v>
      </c>
      <c r="D183" t="inlineStr">
        <is>
          <t>VÄSTERNORRLANDS LÄN</t>
        </is>
      </c>
      <c r="E183" t="inlineStr">
        <is>
          <t>KRAMFORS</t>
        </is>
      </c>
      <c r="G183" t="n">
        <v>4.1</v>
      </c>
      <c r="H183" t="n">
        <v>0</v>
      </c>
      <c r="I183" t="n">
        <v>0</v>
      </c>
      <c r="J183" t="n">
        <v>0</v>
      </c>
      <c r="K183" t="n">
        <v>0</v>
      </c>
      <c r="L183" t="n">
        <v>0</v>
      </c>
      <c r="M183" t="n">
        <v>0</v>
      </c>
      <c r="N183" t="n">
        <v>0</v>
      </c>
      <c r="O183" t="n">
        <v>0</v>
      </c>
      <c r="P183" t="n">
        <v>0</v>
      </c>
      <c r="Q183" t="n">
        <v>0</v>
      </c>
      <c r="R183" s="2" t="inlineStr"/>
    </row>
    <row r="184" ht="15" customHeight="1">
      <c r="A184" t="inlineStr">
        <is>
          <t>A 24665-2020</t>
        </is>
      </c>
      <c r="B184" s="1" t="n">
        <v>43977</v>
      </c>
      <c r="C184" s="1" t="n">
        <v>45642</v>
      </c>
      <c r="D184" t="inlineStr">
        <is>
          <t>VÄSTERNORRLANDS LÄN</t>
        </is>
      </c>
      <c r="E184" t="inlineStr">
        <is>
          <t>KRAMFORS</t>
        </is>
      </c>
      <c r="G184" t="n">
        <v>2.3</v>
      </c>
      <c r="H184" t="n">
        <v>0</v>
      </c>
      <c r="I184" t="n">
        <v>0</v>
      </c>
      <c r="J184" t="n">
        <v>0</v>
      </c>
      <c r="K184" t="n">
        <v>0</v>
      </c>
      <c r="L184" t="n">
        <v>0</v>
      </c>
      <c r="M184" t="n">
        <v>0</v>
      </c>
      <c r="N184" t="n">
        <v>0</v>
      </c>
      <c r="O184" t="n">
        <v>0</v>
      </c>
      <c r="P184" t="n">
        <v>0</v>
      </c>
      <c r="Q184" t="n">
        <v>0</v>
      </c>
      <c r="R184" s="2" t="inlineStr"/>
    </row>
    <row r="185" ht="15" customHeight="1">
      <c r="A185" t="inlineStr">
        <is>
          <t>A 25290-2020</t>
        </is>
      </c>
      <c r="B185" s="1" t="n">
        <v>43979</v>
      </c>
      <c r="C185" s="1" t="n">
        <v>45642</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25659-2020</t>
        </is>
      </c>
      <c r="B186" s="1" t="n">
        <v>43983</v>
      </c>
      <c r="C186" s="1" t="n">
        <v>45642</v>
      </c>
      <c r="D186" t="inlineStr">
        <is>
          <t>VÄSTERNORRLANDS LÄN</t>
        </is>
      </c>
      <c r="E186" t="inlineStr">
        <is>
          <t>KRAMFORS</t>
        </is>
      </c>
      <c r="G186" t="n">
        <v>2.6</v>
      </c>
      <c r="H186" t="n">
        <v>0</v>
      </c>
      <c r="I186" t="n">
        <v>0</v>
      </c>
      <c r="J186" t="n">
        <v>0</v>
      </c>
      <c r="K186" t="n">
        <v>0</v>
      </c>
      <c r="L186" t="n">
        <v>0</v>
      </c>
      <c r="M186" t="n">
        <v>0</v>
      </c>
      <c r="N186" t="n">
        <v>0</v>
      </c>
      <c r="O186" t="n">
        <v>0</v>
      </c>
      <c r="P186" t="n">
        <v>0</v>
      </c>
      <c r="Q186" t="n">
        <v>0</v>
      </c>
      <c r="R186" s="2" t="inlineStr"/>
    </row>
    <row r="187" ht="15" customHeight="1">
      <c r="A187" t="inlineStr">
        <is>
          <t>A 26976-2020</t>
        </is>
      </c>
      <c r="B187" s="1" t="n">
        <v>43990</v>
      </c>
      <c r="C187" s="1" t="n">
        <v>45642</v>
      </c>
      <c r="D187" t="inlineStr">
        <is>
          <t>VÄSTERNORRLANDS LÄN</t>
        </is>
      </c>
      <c r="E187" t="inlineStr">
        <is>
          <t>KRAMFORS</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27454-2020</t>
        </is>
      </c>
      <c r="B188" s="1" t="n">
        <v>43992</v>
      </c>
      <c r="C188" s="1" t="n">
        <v>45642</v>
      </c>
      <c r="D188" t="inlineStr">
        <is>
          <t>VÄSTERNORRLANDS LÄN</t>
        </is>
      </c>
      <c r="E188" t="inlineStr">
        <is>
          <t>KRAMFORS</t>
        </is>
      </c>
      <c r="G188" t="n">
        <v>1.9</v>
      </c>
      <c r="H188" t="n">
        <v>0</v>
      </c>
      <c r="I188" t="n">
        <v>0</v>
      </c>
      <c r="J188" t="n">
        <v>0</v>
      </c>
      <c r="K188" t="n">
        <v>0</v>
      </c>
      <c r="L188" t="n">
        <v>0</v>
      </c>
      <c r="M188" t="n">
        <v>0</v>
      </c>
      <c r="N188" t="n">
        <v>0</v>
      </c>
      <c r="O188" t="n">
        <v>0</v>
      </c>
      <c r="P188" t="n">
        <v>0</v>
      </c>
      <c r="Q188" t="n">
        <v>0</v>
      </c>
      <c r="R188" s="2" t="inlineStr"/>
    </row>
    <row r="189" ht="15" customHeight="1">
      <c r="A189" t="inlineStr">
        <is>
          <t>A 27886-2020</t>
        </is>
      </c>
      <c r="B189" s="1" t="n">
        <v>43994</v>
      </c>
      <c r="C189" s="1" t="n">
        <v>45642</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28195-2020</t>
        </is>
      </c>
      <c r="B190" s="1" t="n">
        <v>43998</v>
      </c>
      <c r="C190" s="1" t="n">
        <v>45642</v>
      </c>
      <c r="D190" t="inlineStr">
        <is>
          <t>VÄSTERNORRLANDS LÄN</t>
        </is>
      </c>
      <c r="E190" t="inlineStr">
        <is>
          <t>KRAMFORS</t>
        </is>
      </c>
      <c r="G190" t="n">
        <v>5</v>
      </c>
      <c r="H190" t="n">
        <v>0</v>
      </c>
      <c r="I190" t="n">
        <v>0</v>
      </c>
      <c r="J190" t="n">
        <v>0</v>
      </c>
      <c r="K190" t="n">
        <v>0</v>
      </c>
      <c r="L190" t="n">
        <v>0</v>
      </c>
      <c r="M190" t="n">
        <v>0</v>
      </c>
      <c r="N190" t="n">
        <v>0</v>
      </c>
      <c r="O190" t="n">
        <v>0</v>
      </c>
      <c r="P190" t="n">
        <v>0</v>
      </c>
      <c r="Q190" t="n">
        <v>0</v>
      </c>
      <c r="R190" s="2" t="inlineStr"/>
    </row>
    <row r="191" ht="15" customHeight="1">
      <c r="A191" t="inlineStr">
        <is>
          <t>A 27951-2020</t>
        </is>
      </c>
      <c r="B191" s="1" t="n">
        <v>43997</v>
      </c>
      <c r="C191" s="1" t="n">
        <v>45642</v>
      </c>
      <c r="D191" t="inlineStr">
        <is>
          <t>VÄSTERNORRLANDS LÄN</t>
        </is>
      </c>
      <c r="E191" t="inlineStr">
        <is>
          <t>KRAMFORS</t>
        </is>
      </c>
      <c r="G191" t="n">
        <v>18.7</v>
      </c>
      <c r="H191" t="n">
        <v>0</v>
      </c>
      <c r="I191" t="n">
        <v>0</v>
      </c>
      <c r="J191" t="n">
        <v>0</v>
      </c>
      <c r="K191" t="n">
        <v>0</v>
      </c>
      <c r="L191" t="n">
        <v>0</v>
      </c>
      <c r="M191" t="n">
        <v>0</v>
      </c>
      <c r="N191" t="n">
        <v>0</v>
      </c>
      <c r="O191" t="n">
        <v>0</v>
      </c>
      <c r="P191" t="n">
        <v>0</v>
      </c>
      <c r="Q191" t="n">
        <v>0</v>
      </c>
      <c r="R191" s="2" t="inlineStr"/>
    </row>
    <row r="192" ht="15" customHeight="1">
      <c r="A192" t="inlineStr">
        <is>
          <t>A 28532-2020</t>
        </is>
      </c>
      <c r="B192" s="1" t="n">
        <v>43999</v>
      </c>
      <c r="C192" s="1" t="n">
        <v>45642</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29070-2020</t>
        </is>
      </c>
      <c r="B193" s="1" t="n">
        <v>44001</v>
      </c>
      <c r="C193" s="1" t="n">
        <v>45642</v>
      </c>
      <c r="D193" t="inlineStr">
        <is>
          <t>VÄSTERNORRLANDS LÄN</t>
        </is>
      </c>
      <c r="E193" t="inlineStr">
        <is>
          <t>KRAMFORS</t>
        </is>
      </c>
      <c r="G193" t="n">
        <v>0.8</v>
      </c>
      <c r="H193" t="n">
        <v>0</v>
      </c>
      <c r="I193" t="n">
        <v>0</v>
      </c>
      <c r="J193" t="n">
        <v>0</v>
      </c>
      <c r="K193" t="n">
        <v>0</v>
      </c>
      <c r="L193" t="n">
        <v>0</v>
      </c>
      <c r="M193" t="n">
        <v>0</v>
      </c>
      <c r="N193" t="n">
        <v>0</v>
      </c>
      <c r="O193" t="n">
        <v>0</v>
      </c>
      <c r="P193" t="n">
        <v>0</v>
      </c>
      <c r="Q193" t="n">
        <v>0</v>
      </c>
      <c r="R193" s="2" t="inlineStr"/>
    </row>
    <row r="194" ht="15" customHeight="1">
      <c r="A194" t="inlineStr">
        <is>
          <t>A 29507-2020</t>
        </is>
      </c>
      <c r="B194" s="1" t="n">
        <v>44004</v>
      </c>
      <c r="C194" s="1" t="n">
        <v>45642</v>
      </c>
      <c r="D194" t="inlineStr">
        <is>
          <t>VÄSTERNORRLANDS LÄN</t>
        </is>
      </c>
      <c r="E194" t="inlineStr">
        <is>
          <t>KRAMFORS</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29815-2020</t>
        </is>
      </c>
      <c r="B195" s="1" t="n">
        <v>44005</v>
      </c>
      <c r="C195" s="1" t="n">
        <v>45642</v>
      </c>
      <c r="D195" t="inlineStr">
        <is>
          <t>VÄSTERNORRLANDS LÄN</t>
        </is>
      </c>
      <c r="E195" t="inlineStr">
        <is>
          <t>KRAMFORS</t>
        </is>
      </c>
      <c r="G195" t="n">
        <v>3.3</v>
      </c>
      <c r="H195" t="n">
        <v>0</v>
      </c>
      <c r="I195" t="n">
        <v>0</v>
      </c>
      <c r="J195" t="n">
        <v>0</v>
      </c>
      <c r="K195" t="n">
        <v>0</v>
      </c>
      <c r="L195" t="n">
        <v>0</v>
      </c>
      <c r="M195" t="n">
        <v>0</v>
      </c>
      <c r="N195" t="n">
        <v>0</v>
      </c>
      <c r="O195" t="n">
        <v>0</v>
      </c>
      <c r="P195" t="n">
        <v>0</v>
      </c>
      <c r="Q195" t="n">
        <v>0</v>
      </c>
      <c r="R195" s="2" t="inlineStr"/>
    </row>
    <row r="196" ht="15" customHeight="1">
      <c r="A196" t="inlineStr">
        <is>
          <t>A 30158-2020</t>
        </is>
      </c>
      <c r="B196" s="1" t="n">
        <v>44005</v>
      </c>
      <c r="C196" s="1" t="n">
        <v>45642</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30159-2020</t>
        </is>
      </c>
      <c r="B197" s="1" t="n">
        <v>44005</v>
      </c>
      <c r="C197" s="1" t="n">
        <v>45642</v>
      </c>
      <c r="D197" t="inlineStr">
        <is>
          <t>VÄSTERNORRLANDS LÄN</t>
        </is>
      </c>
      <c r="E197" t="inlineStr">
        <is>
          <t>KRAMFORS</t>
        </is>
      </c>
      <c r="G197" t="n">
        <v>1</v>
      </c>
      <c r="H197" t="n">
        <v>0</v>
      </c>
      <c r="I197" t="n">
        <v>0</v>
      </c>
      <c r="J197" t="n">
        <v>0</v>
      </c>
      <c r="K197" t="n">
        <v>0</v>
      </c>
      <c r="L197" t="n">
        <v>0</v>
      </c>
      <c r="M197" t="n">
        <v>0</v>
      </c>
      <c r="N197" t="n">
        <v>0</v>
      </c>
      <c r="O197" t="n">
        <v>0</v>
      </c>
      <c r="P197" t="n">
        <v>0</v>
      </c>
      <c r="Q197" t="n">
        <v>0</v>
      </c>
      <c r="R197" s="2" t="inlineStr"/>
    </row>
    <row r="198" ht="15" customHeight="1">
      <c r="A198" t="inlineStr">
        <is>
          <t>A 30162-2020</t>
        </is>
      </c>
      <c r="B198" s="1" t="n">
        <v>44005</v>
      </c>
      <c r="C198" s="1" t="n">
        <v>45642</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31293-2020</t>
        </is>
      </c>
      <c r="B199" s="1" t="n">
        <v>44012</v>
      </c>
      <c r="C199" s="1" t="n">
        <v>45642</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31294-2020</t>
        </is>
      </c>
      <c r="B200" s="1" t="n">
        <v>44012</v>
      </c>
      <c r="C200" s="1" t="n">
        <v>45642</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32115-2020</t>
        </is>
      </c>
      <c r="B201" s="1" t="n">
        <v>44014</v>
      </c>
      <c r="C201" s="1" t="n">
        <v>45642</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32866-2020</t>
        </is>
      </c>
      <c r="B202" s="1" t="n">
        <v>44018</v>
      </c>
      <c r="C202" s="1" t="n">
        <v>45642</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32852-2020</t>
        </is>
      </c>
      <c r="B203" s="1" t="n">
        <v>44018</v>
      </c>
      <c r="C203" s="1" t="n">
        <v>45642</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32772-2020</t>
        </is>
      </c>
      <c r="B204" s="1" t="n">
        <v>44019</v>
      </c>
      <c r="C204" s="1" t="n">
        <v>45642</v>
      </c>
      <c r="D204" t="inlineStr">
        <is>
          <t>VÄSTERNORRLANDS LÄN</t>
        </is>
      </c>
      <c r="E204" t="inlineStr">
        <is>
          <t>KRAMFORS</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32774-2020</t>
        </is>
      </c>
      <c r="B205" s="1" t="n">
        <v>44019</v>
      </c>
      <c r="C205" s="1" t="n">
        <v>45642</v>
      </c>
      <c r="D205" t="inlineStr">
        <is>
          <t>VÄSTERNORRLANDS LÄN</t>
        </is>
      </c>
      <c r="E205" t="inlineStr">
        <is>
          <t>KRAMFORS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33929-2020</t>
        </is>
      </c>
      <c r="B206" s="1" t="n">
        <v>44027</v>
      </c>
      <c r="C206" s="1" t="n">
        <v>45642</v>
      </c>
      <c r="D206" t="inlineStr">
        <is>
          <t>VÄSTERNORRLANDS LÄN</t>
        </is>
      </c>
      <c r="E206" t="inlineStr">
        <is>
          <t>KRAMFORS</t>
        </is>
      </c>
      <c r="G206" t="n">
        <v>2.7</v>
      </c>
      <c r="H206" t="n">
        <v>0</v>
      </c>
      <c r="I206" t="n">
        <v>0</v>
      </c>
      <c r="J206" t="n">
        <v>0</v>
      </c>
      <c r="K206" t="n">
        <v>0</v>
      </c>
      <c r="L206" t="n">
        <v>0</v>
      </c>
      <c r="M206" t="n">
        <v>0</v>
      </c>
      <c r="N206" t="n">
        <v>0</v>
      </c>
      <c r="O206" t="n">
        <v>0</v>
      </c>
      <c r="P206" t="n">
        <v>0</v>
      </c>
      <c r="Q206" t="n">
        <v>0</v>
      </c>
      <c r="R206" s="2" t="inlineStr"/>
    </row>
    <row r="207" ht="15" customHeight="1">
      <c r="A207" t="inlineStr">
        <is>
          <t>A 34352-2020</t>
        </is>
      </c>
      <c r="B207" s="1" t="n">
        <v>44028</v>
      </c>
      <c r="C207" s="1" t="n">
        <v>45642</v>
      </c>
      <c r="D207" t="inlineStr">
        <is>
          <t>VÄSTERNORRLANDS LÄN</t>
        </is>
      </c>
      <c r="E207" t="inlineStr">
        <is>
          <t>KRAMFORS</t>
        </is>
      </c>
      <c r="G207" t="n">
        <v>1.6</v>
      </c>
      <c r="H207" t="n">
        <v>0</v>
      </c>
      <c r="I207" t="n">
        <v>0</v>
      </c>
      <c r="J207" t="n">
        <v>0</v>
      </c>
      <c r="K207" t="n">
        <v>0</v>
      </c>
      <c r="L207" t="n">
        <v>0</v>
      </c>
      <c r="M207" t="n">
        <v>0</v>
      </c>
      <c r="N207" t="n">
        <v>0</v>
      </c>
      <c r="O207" t="n">
        <v>0</v>
      </c>
      <c r="P207" t="n">
        <v>0</v>
      </c>
      <c r="Q207" t="n">
        <v>0</v>
      </c>
      <c r="R207" s="2" t="inlineStr"/>
    </row>
    <row r="208" ht="15" customHeight="1">
      <c r="A208" t="inlineStr">
        <is>
          <t>A 35527-2020</t>
        </is>
      </c>
      <c r="B208" s="1" t="n">
        <v>44043</v>
      </c>
      <c r="C208" s="1" t="n">
        <v>45642</v>
      </c>
      <c r="D208" t="inlineStr">
        <is>
          <t>VÄSTERNORRLANDS LÄN</t>
        </is>
      </c>
      <c r="E208" t="inlineStr">
        <is>
          <t>KRAMFORS</t>
        </is>
      </c>
      <c r="G208" t="n">
        <v>0.7</v>
      </c>
      <c r="H208" t="n">
        <v>0</v>
      </c>
      <c r="I208" t="n">
        <v>0</v>
      </c>
      <c r="J208" t="n">
        <v>0</v>
      </c>
      <c r="K208" t="n">
        <v>0</v>
      </c>
      <c r="L208" t="n">
        <v>0</v>
      </c>
      <c r="M208" t="n">
        <v>0</v>
      </c>
      <c r="N208" t="n">
        <v>0</v>
      </c>
      <c r="O208" t="n">
        <v>0</v>
      </c>
      <c r="P208" t="n">
        <v>0</v>
      </c>
      <c r="Q208" t="n">
        <v>0</v>
      </c>
      <c r="R208" s="2" t="inlineStr"/>
    </row>
    <row r="209" ht="15" customHeight="1">
      <c r="A209" t="inlineStr">
        <is>
          <t>A 35526-2020</t>
        </is>
      </c>
      <c r="B209" s="1" t="n">
        <v>44043</v>
      </c>
      <c r="C209" s="1" t="n">
        <v>45642</v>
      </c>
      <c r="D209" t="inlineStr">
        <is>
          <t>VÄSTERNORRLANDS LÄN</t>
        </is>
      </c>
      <c r="E209" t="inlineStr">
        <is>
          <t>KRAMFORS</t>
        </is>
      </c>
      <c r="G209" t="n">
        <v>0.9</v>
      </c>
      <c r="H209" t="n">
        <v>0</v>
      </c>
      <c r="I209" t="n">
        <v>0</v>
      </c>
      <c r="J209" t="n">
        <v>0</v>
      </c>
      <c r="K209" t="n">
        <v>0</v>
      </c>
      <c r="L209" t="n">
        <v>0</v>
      </c>
      <c r="M209" t="n">
        <v>0</v>
      </c>
      <c r="N209" t="n">
        <v>0</v>
      </c>
      <c r="O209" t="n">
        <v>0</v>
      </c>
      <c r="P209" t="n">
        <v>0</v>
      </c>
      <c r="Q209" t="n">
        <v>0</v>
      </c>
      <c r="R209" s="2" t="inlineStr"/>
    </row>
    <row r="210" ht="15" customHeight="1">
      <c r="A210" t="inlineStr">
        <is>
          <t>A 35720-2020</t>
        </is>
      </c>
      <c r="B210" s="1" t="n">
        <v>44046</v>
      </c>
      <c r="C210" s="1" t="n">
        <v>45642</v>
      </c>
      <c r="D210" t="inlineStr">
        <is>
          <t>VÄSTERNORRLANDS LÄN</t>
        </is>
      </c>
      <c r="E210" t="inlineStr">
        <is>
          <t>KRAMFORS</t>
        </is>
      </c>
      <c r="G210" t="n">
        <v>3.1</v>
      </c>
      <c r="H210" t="n">
        <v>0</v>
      </c>
      <c r="I210" t="n">
        <v>0</v>
      </c>
      <c r="J210" t="n">
        <v>0</v>
      </c>
      <c r="K210" t="n">
        <v>0</v>
      </c>
      <c r="L210" t="n">
        <v>0</v>
      </c>
      <c r="M210" t="n">
        <v>0</v>
      </c>
      <c r="N210" t="n">
        <v>0</v>
      </c>
      <c r="O210" t="n">
        <v>0</v>
      </c>
      <c r="P210" t="n">
        <v>0</v>
      </c>
      <c r="Q210" t="n">
        <v>0</v>
      </c>
      <c r="R210" s="2" t="inlineStr"/>
    </row>
    <row r="211" ht="15" customHeight="1">
      <c r="A211" t="inlineStr">
        <is>
          <t>A 36013-2020</t>
        </is>
      </c>
      <c r="B211" s="1" t="n">
        <v>44047</v>
      </c>
      <c r="C211" s="1" t="n">
        <v>45642</v>
      </c>
      <c r="D211" t="inlineStr">
        <is>
          <t>VÄSTERNORRLANDS LÄN</t>
        </is>
      </c>
      <c r="E211" t="inlineStr">
        <is>
          <t>KRAMFORS</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37188-2020</t>
        </is>
      </c>
      <c r="B212" s="1" t="n">
        <v>44054</v>
      </c>
      <c r="C212" s="1" t="n">
        <v>45642</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37228-2020</t>
        </is>
      </c>
      <c r="B213" s="1" t="n">
        <v>44054</v>
      </c>
      <c r="C213" s="1" t="n">
        <v>45642</v>
      </c>
      <c r="D213" t="inlineStr">
        <is>
          <t>VÄSTERNORRLANDS LÄN</t>
        </is>
      </c>
      <c r="E213" t="inlineStr">
        <is>
          <t>KRAMFORS</t>
        </is>
      </c>
      <c r="F213" t="inlineStr">
        <is>
          <t>SCA</t>
        </is>
      </c>
      <c r="G213" t="n">
        <v>26.3</v>
      </c>
      <c r="H213" t="n">
        <v>0</v>
      </c>
      <c r="I213" t="n">
        <v>0</v>
      </c>
      <c r="J213" t="n">
        <v>0</v>
      </c>
      <c r="K213" t="n">
        <v>0</v>
      </c>
      <c r="L213" t="n">
        <v>0</v>
      </c>
      <c r="M213" t="n">
        <v>0</v>
      </c>
      <c r="N213" t="n">
        <v>0</v>
      </c>
      <c r="O213" t="n">
        <v>0</v>
      </c>
      <c r="P213" t="n">
        <v>0</v>
      </c>
      <c r="Q213" t="n">
        <v>0</v>
      </c>
      <c r="R213" s="2" t="inlineStr"/>
    </row>
    <row r="214" ht="15" customHeight="1">
      <c r="A214" t="inlineStr">
        <is>
          <t>A 37903-2020</t>
        </is>
      </c>
      <c r="B214" s="1" t="n">
        <v>44057</v>
      </c>
      <c r="C214" s="1" t="n">
        <v>45642</v>
      </c>
      <c r="D214" t="inlineStr">
        <is>
          <t>VÄSTERNORRLANDS LÄN</t>
        </is>
      </c>
      <c r="E214" t="inlineStr">
        <is>
          <t>KRAMFORS</t>
        </is>
      </c>
      <c r="G214" t="n">
        <v>0.3</v>
      </c>
      <c r="H214" t="n">
        <v>0</v>
      </c>
      <c r="I214" t="n">
        <v>0</v>
      </c>
      <c r="J214" t="n">
        <v>0</v>
      </c>
      <c r="K214" t="n">
        <v>0</v>
      </c>
      <c r="L214" t="n">
        <v>0</v>
      </c>
      <c r="M214" t="n">
        <v>0</v>
      </c>
      <c r="N214" t="n">
        <v>0</v>
      </c>
      <c r="O214" t="n">
        <v>0</v>
      </c>
      <c r="P214" t="n">
        <v>0</v>
      </c>
      <c r="Q214" t="n">
        <v>0</v>
      </c>
      <c r="R214" s="2" t="inlineStr"/>
    </row>
    <row r="215" ht="15" customHeight="1">
      <c r="A215" t="inlineStr">
        <is>
          <t>A 37904-2020</t>
        </is>
      </c>
      <c r="B215" s="1" t="n">
        <v>44057</v>
      </c>
      <c r="C215" s="1" t="n">
        <v>45642</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37905-2020</t>
        </is>
      </c>
      <c r="B216" s="1" t="n">
        <v>44057</v>
      </c>
      <c r="C216" s="1" t="n">
        <v>45642</v>
      </c>
      <c r="D216" t="inlineStr">
        <is>
          <t>VÄSTERNORRLANDS LÄN</t>
        </is>
      </c>
      <c r="E216" t="inlineStr">
        <is>
          <t>KRAMFORS</t>
        </is>
      </c>
      <c r="G216" t="n">
        <v>0.2</v>
      </c>
      <c r="H216" t="n">
        <v>0</v>
      </c>
      <c r="I216" t="n">
        <v>0</v>
      </c>
      <c r="J216" t="n">
        <v>0</v>
      </c>
      <c r="K216" t="n">
        <v>0</v>
      </c>
      <c r="L216" t="n">
        <v>0</v>
      </c>
      <c r="M216" t="n">
        <v>0</v>
      </c>
      <c r="N216" t="n">
        <v>0</v>
      </c>
      <c r="O216" t="n">
        <v>0</v>
      </c>
      <c r="P216" t="n">
        <v>0</v>
      </c>
      <c r="Q216" t="n">
        <v>0</v>
      </c>
      <c r="R216" s="2" t="inlineStr"/>
    </row>
    <row r="217" ht="15" customHeight="1">
      <c r="A217" t="inlineStr">
        <is>
          <t>A 38469-2020</t>
        </is>
      </c>
      <c r="B217" s="1" t="n">
        <v>44060</v>
      </c>
      <c r="C217" s="1" t="n">
        <v>45642</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41066-2020</t>
        </is>
      </c>
      <c r="B218" s="1" t="n">
        <v>44071</v>
      </c>
      <c r="C218" s="1" t="n">
        <v>45642</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45025-2020</t>
        </is>
      </c>
      <c r="B219" s="1" t="n">
        <v>44088</v>
      </c>
      <c r="C219" s="1" t="n">
        <v>45642</v>
      </c>
      <c r="D219" t="inlineStr">
        <is>
          <t>VÄSTERNORRLANDS LÄN</t>
        </is>
      </c>
      <c r="E219" t="inlineStr">
        <is>
          <t>KRAMFORS</t>
        </is>
      </c>
      <c r="G219" t="n">
        <v>1.5</v>
      </c>
      <c r="H219" t="n">
        <v>0</v>
      </c>
      <c r="I219" t="n">
        <v>0</v>
      </c>
      <c r="J219" t="n">
        <v>0</v>
      </c>
      <c r="K219" t="n">
        <v>0</v>
      </c>
      <c r="L219" t="n">
        <v>0</v>
      </c>
      <c r="M219" t="n">
        <v>0</v>
      </c>
      <c r="N219" t="n">
        <v>0</v>
      </c>
      <c r="O219" t="n">
        <v>0</v>
      </c>
      <c r="P219" t="n">
        <v>0</v>
      </c>
      <c r="Q219" t="n">
        <v>0</v>
      </c>
      <c r="R219" s="2" t="inlineStr"/>
    </row>
    <row r="220" ht="15" customHeight="1">
      <c r="A220" t="inlineStr">
        <is>
          <t>A 45545-2020</t>
        </is>
      </c>
      <c r="B220" s="1" t="n">
        <v>44089</v>
      </c>
      <c r="C220" s="1" t="n">
        <v>45642</v>
      </c>
      <c r="D220" t="inlineStr">
        <is>
          <t>VÄSTERNORRLANDS LÄN</t>
        </is>
      </c>
      <c r="E220" t="inlineStr">
        <is>
          <t>KRAMFORS</t>
        </is>
      </c>
      <c r="G220" t="n">
        <v>5.9</v>
      </c>
      <c r="H220" t="n">
        <v>0</v>
      </c>
      <c r="I220" t="n">
        <v>0</v>
      </c>
      <c r="J220" t="n">
        <v>0</v>
      </c>
      <c r="K220" t="n">
        <v>0</v>
      </c>
      <c r="L220" t="n">
        <v>0</v>
      </c>
      <c r="M220" t="n">
        <v>0</v>
      </c>
      <c r="N220" t="n">
        <v>0</v>
      </c>
      <c r="O220" t="n">
        <v>0</v>
      </c>
      <c r="P220" t="n">
        <v>0</v>
      </c>
      <c r="Q220" t="n">
        <v>0</v>
      </c>
      <c r="R220" s="2" t="inlineStr"/>
    </row>
    <row r="221" ht="15" customHeight="1">
      <c r="A221" t="inlineStr">
        <is>
          <t>A 45544-2020</t>
        </is>
      </c>
      <c r="B221" s="1" t="n">
        <v>44090</v>
      </c>
      <c r="C221" s="1" t="n">
        <v>45642</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46672-2020</t>
        </is>
      </c>
      <c r="B222" s="1" t="n">
        <v>44089</v>
      </c>
      <c r="C222" s="1" t="n">
        <v>45642</v>
      </c>
      <c r="D222" t="inlineStr">
        <is>
          <t>VÄSTERNORRLANDS LÄN</t>
        </is>
      </c>
      <c r="E222" t="inlineStr">
        <is>
          <t>KRAMFORS</t>
        </is>
      </c>
      <c r="G222" t="n">
        <v>1.7</v>
      </c>
      <c r="H222" t="n">
        <v>0</v>
      </c>
      <c r="I222" t="n">
        <v>0</v>
      </c>
      <c r="J222" t="n">
        <v>0</v>
      </c>
      <c r="K222" t="n">
        <v>0</v>
      </c>
      <c r="L222" t="n">
        <v>0</v>
      </c>
      <c r="M222" t="n">
        <v>0</v>
      </c>
      <c r="N222" t="n">
        <v>0</v>
      </c>
      <c r="O222" t="n">
        <v>0</v>
      </c>
      <c r="P222" t="n">
        <v>0</v>
      </c>
      <c r="Q222" t="n">
        <v>0</v>
      </c>
      <c r="R222" s="2" t="inlineStr"/>
    </row>
    <row r="223" ht="15" customHeight="1">
      <c r="A223" t="inlineStr">
        <is>
          <t>A 45649-2020</t>
        </is>
      </c>
      <c r="B223" s="1" t="n">
        <v>44090</v>
      </c>
      <c r="C223" s="1" t="n">
        <v>45642</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46048-2020</t>
        </is>
      </c>
      <c r="B224" s="1" t="n">
        <v>44091</v>
      </c>
      <c r="C224" s="1" t="n">
        <v>45642</v>
      </c>
      <c r="D224" t="inlineStr">
        <is>
          <t>VÄSTERNORRLANDS LÄN</t>
        </is>
      </c>
      <c r="E224" t="inlineStr">
        <is>
          <t>KRAMFORS</t>
        </is>
      </c>
      <c r="G224" t="n">
        <v>2.3</v>
      </c>
      <c r="H224" t="n">
        <v>0</v>
      </c>
      <c r="I224" t="n">
        <v>0</v>
      </c>
      <c r="J224" t="n">
        <v>0</v>
      </c>
      <c r="K224" t="n">
        <v>0</v>
      </c>
      <c r="L224" t="n">
        <v>0</v>
      </c>
      <c r="M224" t="n">
        <v>0</v>
      </c>
      <c r="N224" t="n">
        <v>0</v>
      </c>
      <c r="O224" t="n">
        <v>0</v>
      </c>
      <c r="P224" t="n">
        <v>0</v>
      </c>
      <c r="Q224" t="n">
        <v>0</v>
      </c>
      <c r="R224" s="2" t="inlineStr"/>
    </row>
    <row r="225" ht="15" customHeight="1">
      <c r="A225" t="inlineStr">
        <is>
          <t>A 47351-2020</t>
        </is>
      </c>
      <c r="B225" s="1" t="n">
        <v>44095</v>
      </c>
      <c r="C225" s="1" t="n">
        <v>45642</v>
      </c>
      <c r="D225" t="inlineStr">
        <is>
          <t>VÄSTERNORRLANDS LÄN</t>
        </is>
      </c>
      <c r="E225" t="inlineStr">
        <is>
          <t>KRAMFORS</t>
        </is>
      </c>
      <c r="G225" t="n">
        <v>2</v>
      </c>
      <c r="H225" t="n">
        <v>0</v>
      </c>
      <c r="I225" t="n">
        <v>0</v>
      </c>
      <c r="J225" t="n">
        <v>0</v>
      </c>
      <c r="K225" t="n">
        <v>0</v>
      </c>
      <c r="L225" t="n">
        <v>0</v>
      </c>
      <c r="M225" t="n">
        <v>0</v>
      </c>
      <c r="N225" t="n">
        <v>0</v>
      </c>
      <c r="O225" t="n">
        <v>0</v>
      </c>
      <c r="P225" t="n">
        <v>0</v>
      </c>
      <c r="Q225" t="n">
        <v>0</v>
      </c>
      <c r="R225" s="2" t="inlineStr"/>
    </row>
    <row r="226" ht="15" customHeight="1">
      <c r="A226" t="inlineStr">
        <is>
          <t>A 47875-2020</t>
        </is>
      </c>
      <c r="B226" s="1" t="n">
        <v>44096</v>
      </c>
      <c r="C226" s="1" t="n">
        <v>45642</v>
      </c>
      <c r="D226" t="inlineStr">
        <is>
          <t>VÄSTERNORRLANDS LÄN</t>
        </is>
      </c>
      <c r="E226" t="inlineStr">
        <is>
          <t>KRAMFORS</t>
        </is>
      </c>
      <c r="G226" t="n">
        <v>1.3</v>
      </c>
      <c r="H226" t="n">
        <v>0</v>
      </c>
      <c r="I226" t="n">
        <v>0</v>
      </c>
      <c r="J226" t="n">
        <v>0</v>
      </c>
      <c r="K226" t="n">
        <v>0</v>
      </c>
      <c r="L226" t="n">
        <v>0</v>
      </c>
      <c r="M226" t="n">
        <v>0</v>
      </c>
      <c r="N226" t="n">
        <v>0</v>
      </c>
      <c r="O226" t="n">
        <v>0</v>
      </c>
      <c r="P226" t="n">
        <v>0</v>
      </c>
      <c r="Q226" t="n">
        <v>0</v>
      </c>
      <c r="R226" s="2" t="inlineStr"/>
    </row>
    <row r="227" ht="15" customHeight="1">
      <c r="A227" t="inlineStr">
        <is>
          <t>A 47874-2020</t>
        </is>
      </c>
      <c r="B227" s="1" t="n">
        <v>44096</v>
      </c>
      <c r="C227" s="1" t="n">
        <v>45642</v>
      </c>
      <c r="D227" t="inlineStr">
        <is>
          <t>VÄSTERNORRLANDS LÄN</t>
        </is>
      </c>
      <c r="E227" t="inlineStr">
        <is>
          <t>KRAMFORS</t>
        </is>
      </c>
      <c r="G227" t="n">
        <v>6.6</v>
      </c>
      <c r="H227" t="n">
        <v>0</v>
      </c>
      <c r="I227" t="n">
        <v>0</v>
      </c>
      <c r="J227" t="n">
        <v>0</v>
      </c>
      <c r="K227" t="n">
        <v>0</v>
      </c>
      <c r="L227" t="n">
        <v>0</v>
      </c>
      <c r="M227" t="n">
        <v>0</v>
      </c>
      <c r="N227" t="n">
        <v>0</v>
      </c>
      <c r="O227" t="n">
        <v>0</v>
      </c>
      <c r="P227" t="n">
        <v>0</v>
      </c>
      <c r="Q227" t="n">
        <v>0</v>
      </c>
      <c r="R227" s="2" t="inlineStr"/>
    </row>
    <row r="228" ht="15" customHeight="1">
      <c r="A228" t="inlineStr">
        <is>
          <t>A 50281-2020</t>
        </is>
      </c>
      <c r="B228" s="1" t="n">
        <v>44109</v>
      </c>
      <c r="C228" s="1" t="n">
        <v>45642</v>
      </c>
      <c r="D228" t="inlineStr">
        <is>
          <t>VÄSTERNORRLANDS LÄN</t>
        </is>
      </c>
      <c r="E228" t="inlineStr">
        <is>
          <t>KRAMFORS</t>
        </is>
      </c>
      <c r="G228" t="n">
        <v>5.5</v>
      </c>
      <c r="H228" t="n">
        <v>0</v>
      </c>
      <c r="I228" t="n">
        <v>0</v>
      </c>
      <c r="J228" t="n">
        <v>0</v>
      </c>
      <c r="K228" t="n">
        <v>0</v>
      </c>
      <c r="L228" t="n">
        <v>0</v>
      </c>
      <c r="M228" t="n">
        <v>0</v>
      </c>
      <c r="N228" t="n">
        <v>0</v>
      </c>
      <c r="O228" t="n">
        <v>0</v>
      </c>
      <c r="P228" t="n">
        <v>0</v>
      </c>
      <c r="Q228" t="n">
        <v>0</v>
      </c>
      <c r="R228" s="2" t="inlineStr"/>
    </row>
    <row r="229" ht="15" customHeight="1">
      <c r="A229" t="inlineStr">
        <is>
          <t>A 50248-2020</t>
        </is>
      </c>
      <c r="B229" s="1" t="n">
        <v>44109</v>
      </c>
      <c r="C229" s="1" t="n">
        <v>45642</v>
      </c>
      <c r="D229" t="inlineStr">
        <is>
          <t>VÄSTERNORRLANDS LÄN</t>
        </is>
      </c>
      <c r="E229" t="inlineStr">
        <is>
          <t>KRAMFORS</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50280-2020</t>
        </is>
      </c>
      <c r="B230" s="1" t="n">
        <v>44109</v>
      </c>
      <c r="C230" s="1" t="n">
        <v>45642</v>
      </c>
      <c r="D230" t="inlineStr">
        <is>
          <t>VÄSTERNORRLANDS LÄN</t>
        </is>
      </c>
      <c r="E230" t="inlineStr">
        <is>
          <t>KRAMFORS</t>
        </is>
      </c>
      <c r="G230" t="n">
        <v>5.6</v>
      </c>
      <c r="H230" t="n">
        <v>0</v>
      </c>
      <c r="I230" t="n">
        <v>0</v>
      </c>
      <c r="J230" t="n">
        <v>0</v>
      </c>
      <c r="K230" t="n">
        <v>0</v>
      </c>
      <c r="L230" t="n">
        <v>0</v>
      </c>
      <c r="M230" t="n">
        <v>0</v>
      </c>
      <c r="N230" t="n">
        <v>0</v>
      </c>
      <c r="O230" t="n">
        <v>0</v>
      </c>
      <c r="P230" t="n">
        <v>0</v>
      </c>
      <c r="Q230" t="n">
        <v>0</v>
      </c>
      <c r="R230" s="2" t="inlineStr"/>
    </row>
    <row r="231" ht="15" customHeight="1">
      <c r="A231" t="inlineStr">
        <is>
          <t>A 51947-2020</t>
        </is>
      </c>
      <c r="B231" s="1" t="n">
        <v>44109</v>
      </c>
      <c r="C231" s="1" t="n">
        <v>45642</v>
      </c>
      <c r="D231" t="inlineStr">
        <is>
          <t>VÄSTERNORRLANDS LÄN</t>
        </is>
      </c>
      <c r="E231" t="inlineStr">
        <is>
          <t>KRAMFORS</t>
        </is>
      </c>
      <c r="G231" t="n">
        <v>1.7</v>
      </c>
      <c r="H231" t="n">
        <v>0</v>
      </c>
      <c r="I231" t="n">
        <v>0</v>
      </c>
      <c r="J231" t="n">
        <v>0</v>
      </c>
      <c r="K231" t="n">
        <v>0</v>
      </c>
      <c r="L231" t="n">
        <v>0</v>
      </c>
      <c r="M231" t="n">
        <v>0</v>
      </c>
      <c r="N231" t="n">
        <v>0</v>
      </c>
      <c r="O231" t="n">
        <v>0</v>
      </c>
      <c r="P231" t="n">
        <v>0</v>
      </c>
      <c r="Q231" t="n">
        <v>0</v>
      </c>
      <c r="R231" s="2" t="inlineStr"/>
    </row>
    <row r="232" ht="15" customHeight="1">
      <c r="A232" t="inlineStr">
        <is>
          <t>A 51926-2020</t>
        </is>
      </c>
      <c r="B232" s="1" t="n">
        <v>44109</v>
      </c>
      <c r="C232" s="1" t="n">
        <v>45642</v>
      </c>
      <c r="D232" t="inlineStr">
        <is>
          <t>VÄSTERNORRLANDS LÄN</t>
        </is>
      </c>
      <c r="E232" t="inlineStr">
        <is>
          <t>KRAMFORS</t>
        </is>
      </c>
      <c r="G232" t="n">
        <v>4.1</v>
      </c>
      <c r="H232" t="n">
        <v>0</v>
      </c>
      <c r="I232" t="n">
        <v>0</v>
      </c>
      <c r="J232" t="n">
        <v>0</v>
      </c>
      <c r="K232" t="n">
        <v>0</v>
      </c>
      <c r="L232" t="n">
        <v>0</v>
      </c>
      <c r="M232" t="n">
        <v>0</v>
      </c>
      <c r="N232" t="n">
        <v>0</v>
      </c>
      <c r="O232" t="n">
        <v>0</v>
      </c>
      <c r="P232" t="n">
        <v>0</v>
      </c>
      <c r="Q232" t="n">
        <v>0</v>
      </c>
      <c r="R232" s="2" t="inlineStr"/>
    </row>
    <row r="233" ht="15" customHeight="1">
      <c r="A233" t="inlineStr">
        <is>
          <t>A 52951-2020</t>
        </is>
      </c>
      <c r="B233" s="1" t="n">
        <v>44119</v>
      </c>
      <c r="C233" s="1" t="n">
        <v>45642</v>
      </c>
      <c r="D233" t="inlineStr">
        <is>
          <t>VÄSTERNORRLANDS LÄN</t>
        </is>
      </c>
      <c r="E233" t="inlineStr">
        <is>
          <t>KRAMFORS</t>
        </is>
      </c>
      <c r="G233" t="n">
        <v>1.4</v>
      </c>
      <c r="H233" t="n">
        <v>0</v>
      </c>
      <c r="I233" t="n">
        <v>0</v>
      </c>
      <c r="J233" t="n">
        <v>0</v>
      </c>
      <c r="K233" t="n">
        <v>0</v>
      </c>
      <c r="L233" t="n">
        <v>0</v>
      </c>
      <c r="M233" t="n">
        <v>0</v>
      </c>
      <c r="N233" t="n">
        <v>0</v>
      </c>
      <c r="O233" t="n">
        <v>0</v>
      </c>
      <c r="P233" t="n">
        <v>0</v>
      </c>
      <c r="Q233" t="n">
        <v>0</v>
      </c>
      <c r="R233" s="2" t="inlineStr"/>
    </row>
    <row r="234" ht="15" customHeight="1">
      <c r="A234" t="inlineStr">
        <is>
          <t>A 52959-2020</t>
        </is>
      </c>
      <c r="B234" s="1" t="n">
        <v>44119</v>
      </c>
      <c r="C234" s="1" t="n">
        <v>45642</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54188-2020</t>
        </is>
      </c>
      <c r="B235" s="1" t="n">
        <v>44125</v>
      </c>
      <c r="C235" s="1" t="n">
        <v>45642</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54189-2020</t>
        </is>
      </c>
      <c r="B236" s="1" t="n">
        <v>44125</v>
      </c>
      <c r="C236" s="1" t="n">
        <v>45642</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55828-2020</t>
        </is>
      </c>
      <c r="B237" s="1" t="n">
        <v>44132</v>
      </c>
      <c r="C237" s="1" t="n">
        <v>45642</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55832-2020</t>
        </is>
      </c>
      <c r="B238" s="1" t="n">
        <v>44132</v>
      </c>
      <c r="C238" s="1" t="n">
        <v>45642</v>
      </c>
      <c r="D238" t="inlineStr">
        <is>
          <t>VÄSTERNORRLANDS LÄN</t>
        </is>
      </c>
      <c r="E238" t="inlineStr">
        <is>
          <t>KRAMFORS</t>
        </is>
      </c>
      <c r="G238" t="n">
        <v>0.3</v>
      </c>
      <c r="H238" t="n">
        <v>0</v>
      </c>
      <c r="I238" t="n">
        <v>0</v>
      </c>
      <c r="J238" t="n">
        <v>0</v>
      </c>
      <c r="K238" t="n">
        <v>0</v>
      </c>
      <c r="L238" t="n">
        <v>0</v>
      </c>
      <c r="M238" t="n">
        <v>0</v>
      </c>
      <c r="N238" t="n">
        <v>0</v>
      </c>
      <c r="O238" t="n">
        <v>0</v>
      </c>
      <c r="P238" t="n">
        <v>0</v>
      </c>
      <c r="Q238" t="n">
        <v>0</v>
      </c>
      <c r="R238" s="2" t="inlineStr"/>
    </row>
    <row r="239" ht="15" customHeight="1">
      <c r="A239" t="inlineStr">
        <is>
          <t>A 56558-2020</t>
        </is>
      </c>
      <c r="B239" s="1" t="n">
        <v>44137</v>
      </c>
      <c r="C239" s="1" t="n">
        <v>45642</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59044-2020</t>
        </is>
      </c>
      <c r="B240" s="1" t="n">
        <v>44147</v>
      </c>
      <c r="C240" s="1" t="n">
        <v>45642</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59043-2020</t>
        </is>
      </c>
      <c r="B241" s="1" t="n">
        <v>44147</v>
      </c>
      <c r="C241" s="1" t="n">
        <v>45642</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61044-2020</t>
        </is>
      </c>
      <c r="B242" s="1" t="n">
        <v>44154</v>
      </c>
      <c r="C242" s="1" t="n">
        <v>45642</v>
      </c>
      <c r="D242" t="inlineStr">
        <is>
          <t>VÄSTERNORRLANDS LÄN</t>
        </is>
      </c>
      <c r="E242" t="inlineStr">
        <is>
          <t>KRAMFORS</t>
        </is>
      </c>
      <c r="G242" t="n">
        <v>5.3</v>
      </c>
      <c r="H242" t="n">
        <v>0</v>
      </c>
      <c r="I242" t="n">
        <v>0</v>
      </c>
      <c r="J242" t="n">
        <v>0</v>
      </c>
      <c r="K242" t="n">
        <v>0</v>
      </c>
      <c r="L242" t="n">
        <v>0</v>
      </c>
      <c r="M242" t="n">
        <v>0</v>
      </c>
      <c r="N242" t="n">
        <v>0</v>
      </c>
      <c r="O242" t="n">
        <v>0</v>
      </c>
      <c r="P242" t="n">
        <v>0</v>
      </c>
      <c r="Q242" t="n">
        <v>0</v>
      </c>
      <c r="R242" s="2" t="inlineStr"/>
    </row>
    <row r="243" ht="15" customHeight="1">
      <c r="A243" t="inlineStr">
        <is>
          <t>A 61051-2020</t>
        </is>
      </c>
      <c r="B243" s="1" t="n">
        <v>44154</v>
      </c>
      <c r="C243" s="1" t="n">
        <v>45642</v>
      </c>
      <c r="D243" t="inlineStr">
        <is>
          <t>VÄSTERNORRLANDS LÄN</t>
        </is>
      </c>
      <c r="E243" t="inlineStr">
        <is>
          <t>KRAMFORS</t>
        </is>
      </c>
      <c r="G243" t="n">
        <v>15.4</v>
      </c>
      <c r="H243" t="n">
        <v>0</v>
      </c>
      <c r="I243" t="n">
        <v>0</v>
      </c>
      <c r="J243" t="n">
        <v>0</v>
      </c>
      <c r="K243" t="n">
        <v>0</v>
      </c>
      <c r="L243" t="n">
        <v>0</v>
      </c>
      <c r="M243" t="n">
        <v>0</v>
      </c>
      <c r="N243" t="n">
        <v>0</v>
      </c>
      <c r="O243" t="n">
        <v>0</v>
      </c>
      <c r="P243" t="n">
        <v>0</v>
      </c>
      <c r="Q243" t="n">
        <v>0</v>
      </c>
      <c r="R243" s="2" t="inlineStr"/>
    </row>
    <row r="244" ht="15" customHeight="1">
      <c r="A244" t="inlineStr">
        <is>
          <t>A 61047-2020</t>
        </is>
      </c>
      <c r="B244" s="1" t="n">
        <v>44154</v>
      </c>
      <c r="C244" s="1" t="n">
        <v>45642</v>
      </c>
      <c r="D244" t="inlineStr">
        <is>
          <t>VÄSTERNORRLANDS LÄN</t>
        </is>
      </c>
      <c r="E244" t="inlineStr">
        <is>
          <t>KRAMFORS</t>
        </is>
      </c>
      <c r="G244" t="n">
        <v>2.1</v>
      </c>
      <c r="H244" t="n">
        <v>0</v>
      </c>
      <c r="I244" t="n">
        <v>0</v>
      </c>
      <c r="J244" t="n">
        <v>0</v>
      </c>
      <c r="K244" t="n">
        <v>0</v>
      </c>
      <c r="L244" t="n">
        <v>0</v>
      </c>
      <c r="M244" t="n">
        <v>0</v>
      </c>
      <c r="N244" t="n">
        <v>0</v>
      </c>
      <c r="O244" t="n">
        <v>0</v>
      </c>
      <c r="P244" t="n">
        <v>0</v>
      </c>
      <c r="Q244" t="n">
        <v>0</v>
      </c>
      <c r="R244" s="2" t="inlineStr"/>
    </row>
    <row r="245" ht="15" customHeight="1">
      <c r="A245" t="inlineStr">
        <is>
          <t>A 61049-2020</t>
        </is>
      </c>
      <c r="B245" s="1" t="n">
        <v>44154</v>
      </c>
      <c r="C245" s="1" t="n">
        <v>45642</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61932-2020</t>
        </is>
      </c>
      <c r="B246" s="1" t="n">
        <v>44155</v>
      </c>
      <c r="C246" s="1" t="n">
        <v>45642</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62933-2020</t>
        </is>
      </c>
      <c r="B247" s="1" t="n">
        <v>44160</v>
      </c>
      <c r="C247" s="1" t="n">
        <v>45642</v>
      </c>
      <c r="D247" t="inlineStr">
        <is>
          <t>VÄSTERNORRLANDS LÄN</t>
        </is>
      </c>
      <c r="E247" t="inlineStr">
        <is>
          <t>KRAMFORS</t>
        </is>
      </c>
      <c r="G247" t="n">
        <v>3.7</v>
      </c>
      <c r="H247" t="n">
        <v>0</v>
      </c>
      <c r="I247" t="n">
        <v>0</v>
      </c>
      <c r="J247" t="n">
        <v>0</v>
      </c>
      <c r="K247" t="n">
        <v>0</v>
      </c>
      <c r="L247" t="n">
        <v>0</v>
      </c>
      <c r="M247" t="n">
        <v>0</v>
      </c>
      <c r="N247" t="n">
        <v>0</v>
      </c>
      <c r="O247" t="n">
        <v>0</v>
      </c>
      <c r="P247" t="n">
        <v>0</v>
      </c>
      <c r="Q247" t="n">
        <v>0</v>
      </c>
      <c r="R247" s="2" t="inlineStr"/>
    </row>
    <row r="248" ht="15" customHeight="1">
      <c r="A248" t="inlineStr">
        <is>
          <t>A 62870-2020</t>
        </is>
      </c>
      <c r="B248" s="1" t="n">
        <v>44161</v>
      </c>
      <c r="C248" s="1" t="n">
        <v>45642</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64207-2020</t>
        </is>
      </c>
      <c r="B249" s="1" t="n">
        <v>44167</v>
      </c>
      <c r="C249" s="1" t="n">
        <v>45642</v>
      </c>
      <c r="D249" t="inlineStr">
        <is>
          <t>VÄSTERNORRLANDS LÄN</t>
        </is>
      </c>
      <c r="E249" t="inlineStr">
        <is>
          <t>KRAMFORS</t>
        </is>
      </c>
      <c r="G249" t="n">
        <v>3.2</v>
      </c>
      <c r="H249" t="n">
        <v>0</v>
      </c>
      <c r="I249" t="n">
        <v>0</v>
      </c>
      <c r="J249" t="n">
        <v>0</v>
      </c>
      <c r="K249" t="n">
        <v>0</v>
      </c>
      <c r="L249" t="n">
        <v>0</v>
      </c>
      <c r="M249" t="n">
        <v>0</v>
      </c>
      <c r="N249" t="n">
        <v>0</v>
      </c>
      <c r="O249" t="n">
        <v>0</v>
      </c>
      <c r="P249" t="n">
        <v>0</v>
      </c>
      <c r="Q249" t="n">
        <v>0</v>
      </c>
      <c r="R249" s="2" t="inlineStr"/>
    </row>
    <row r="250" ht="15" customHeight="1">
      <c r="A250" t="inlineStr">
        <is>
          <t>A 65056-2020</t>
        </is>
      </c>
      <c r="B250" s="1" t="n">
        <v>44167</v>
      </c>
      <c r="C250" s="1" t="n">
        <v>45642</v>
      </c>
      <c r="D250" t="inlineStr">
        <is>
          <t>VÄSTERNORRLANDS LÄN</t>
        </is>
      </c>
      <c r="E250" t="inlineStr">
        <is>
          <t>KRAMFORS</t>
        </is>
      </c>
      <c r="G250" t="n">
        <v>2.5</v>
      </c>
      <c r="H250" t="n">
        <v>0</v>
      </c>
      <c r="I250" t="n">
        <v>0</v>
      </c>
      <c r="J250" t="n">
        <v>0</v>
      </c>
      <c r="K250" t="n">
        <v>0</v>
      </c>
      <c r="L250" t="n">
        <v>0</v>
      </c>
      <c r="M250" t="n">
        <v>0</v>
      </c>
      <c r="N250" t="n">
        <v>0</v>
      </c>
      <c r="O250" t="n">
        <v>0</v>
      </c>
      <c r="P250" t="n">
        <v>0</v>
      </c>
      <c r="Q250" t="n">
        <v>0</v>
      </c>
      <c r="R250" s="2" t="inlineStr"/>
    </row>
    <row r="251" ht="15" customHeight="1">
      <c r="A251" t="inlineStr">
        <is>
          <t>A 64205-2020</t>
        </is>
      </c>
      <c r="B251" s="1" t="n">
        <v>44167</v>
      </c>
      <c r="C251" s="1" t="n">
        <v>45642</v>
      </c>
      <c r="D251" t="inlineStr">
        <is>
          <t>VÄSTERNORRLANDS LÄN</t>
        </is>
      </c>
      <c r="E251" t="inlineStr">
        <is>
          <t>KRAMFORS</t>
        </is>
      </c>
      <c r="G251" t="n">
        <v>2.4</v>
      </c>
      <c r="H251" t="n">
        <v>0</v>
      </c>
      <c r="I251" t="n">
        <v>0</v>
      </c>
      <c r="J251" t="n">
        <v>0</v>
      </c>
      <c r="K251" t="n">
        <v>0</v>
      </c>
      <c r="L251" t="n">
        <v>0</v>
      </c>
      <c r="M251" t="n">
        <v>0</v>
      </c>
      <c r="N251" t="n">
        <v>0</v>
      </c>
      <c r="O251" t="n">
        <v>0</v>
      </c>
      <c r="P251" t="n">
        <v>0</v>
      </c>
      <c r="Q251" t="n">
        <v>0</v>
      </c>
      <c r="R251" s="2" t="inlineStr"/>
    </row>
    <row r="252" ht="15" customHeight="1">
      <c r="A252" t="inlineStr">
        <is>
          <t>A 65265-2020</t>
        </is>
      </c>
      <c r="B252" s="1" t="n">
        <v>44172</v>
      </c>
      <c r="C252" s="1" t="n">
        <v>45642</v>
      </c>
      <c r="D252" t="inlineStr">
        <is>
          <t>VÄSTERNORRLANDS LÄN</t>
        </is>
      </c>
      <c r="E252" t="inlineStr">
        <is>
          <t>KRAMFORS</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65546-2020</t>
        </is>
      </c>
      <c r="B253" s="1" t="n">
        <v>44173</v>
      </c>
      <c r="C253" s="1" t="n">
        <v>45642</v>
      </c>
      <c r="D253" t="inlineStr">
        <is>
          <t>VÄSTERNORRLANDS LÄN</t>
        </is>
      </c>
      <c r="E253" t="inlineStr">
        <is>
          <t>KRAMFORS</t>
        </is>
      </c>
      <c r="G253" t="n">
        <v>1.1</v>
      </c>
      <c r="H253" t="n">
        <v>0</v>
      </c>
      <c r="I253" t="n">
        <v>0</v>
      </c>
      <c r="J253" t="n">
        <v>0</v>
      </c>
      <c r="K253" t="n">
        <v>0</v>
      </c>
      <c r="L253" t="n">
        <v>0</v>
      </c>
      <c r="M253" t="n">
        <v>0</v>
      </c>
      <c r="N253" t="n">
        <v>0</v>
      </c>
      <c r="O253" t="n">
        <v>0</v>
      </c>
      <c r="P253" t="n">
        <v>0</v>
      </c>
      <c r="Q253" t="n">
        <v>0</v>
      </c>
      <c r="R253" s="2" t="inlineStr"/>
    </row>
    <row r="254" ht="15" customHeight="1">
      <c r="A254" t="inlineStr">
        <is>
          <t>A 65905-2020</t>
        </is>
      </c>
      <c r="B254" s="1" t="n">
        <v>44174</v>
      </c>
      <c r="C254" s="1" t="n">
        <v>45642</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66252-2020</t>
        </is>
      </c>
      <c r="B255" s="1" t="n">
        <v>44175</v>
      </c>
      <c r="C255" s="1" t="n">
        <v>45642</v>
      </c>
      <c r="D255" t="inlineStr">
        <is>
          <t>VÄSTERNORRLANDS LÄN</t>
        </is>
      </c>
      <c r="E255" t="inlineStr">
        <is>
          <t>KRAMFORS</t>
        </is>
      </c>
      <c r="G255" t="n">
        <v>3.8</v>
      </c>
      <c r="H255" t="n">
        <v>0</v>
      </c>
      <c r="I255" t="n">
        <v>0</v>
      </c>
      <c r="J255" t="n">
        <v>0</v>
      </c>
      <c r="K255" t="n">
        <v>0</v>
      </c>
      <c r="L255" t="n">
        <v>0</v>
      </c>
      <c r="M255" t="n">
        <v>0</v>
      </c>
      <c r="N255" t="n">
        <v>0</v>
      </c>
      <c r="O255" t="n">
        <v>0</v>
      </c>
      <c r="P255" t="n">
        <v>0</v>
      </c>
      <c r="Q255" t="n">
        <v>0</v>
      </c>
      <c r="R255" s="2" t="inlineStr"/>
    </row>
    <row r="256" ht="15" customHeight="1">
      <c r="A256" t="inlineStr">
        <is>
          <t>A 66245-2020</t>
        </is>
      </c>
      <c r="B256" s="1" t="n">
        <v>44175</v>
      </c>
      <c r="C256" s="1" t="n">
        <v>45642</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66783-2020</t>
        </is>
      </c>
      <c r="B257" s="1" t="n">
        <v>44179</v>
      </c>
      <c r="C257" s="1" t="n">
        <v>45642</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66826-2020</t>
        </is>
      </c>
      <c r="B258" s="1" t="n">
        <v>44179</v>
      </c>
      <c r="C258" s="1" t="n">
        <v>45642</v>
      </c>
      <c r="D258" t="inlineStr">
        <is>
          <t>VÄSTERNORRLANDS LÄN</t>
        </is>
      </c>
      <c r="E258" t="inlineStr">
        <is>
          <t>KRAMFORS</t>
        </is>
      </c>
      <c r="G258" t="n">
        <v>1.5</v>
      </c>
      <c r="H258" t="n">
        <v>0</v>
      </c>
      <c r="I258" t="n">
        <v>0</v>
      </c>
      <c r="J258" t="n">
        <v>0</v>
      </c>
      <c r="K258" t="n">
        <v>0</v>
      </c>
      <c r="L258" t="n">
        <v>0</v>
      </c>
      <c r="M258" t="n">
        <v>0</v>
      </c>
      <c r="N258" t="n">
        <v>0</v>
      </c>
      <c r="O258" t="n">
        <v>0</v>
      </c>
      <c r="P258" t="n">
        <v>0</v>
      </c>
      <c r="Q258" t="n">
        <v>0</v>
      </c>
      <c r="R258" s="2" t="inlineStr"/>
    </row>
    <row r="259" ht="15" customHeight="1">
      <c r="A259" t="inlineStr">
        <is>
          <t>A 67499-2020</t>
        </is>
      </c>
      <c r="B259" s="1" t="n">
        <v>44181</v>
      </c>
      <c r="C259" s="1" t="n">
        <v>45642</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67527-2020</t>
        </is>
      </c>
      <c r="B260" s="1" t="n">
        <v>44181</v>
      </c>
      <c r="C260" s="1" t="n">
        <v>45642</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67523-2020</t>
        </is>
      </c>
      <c r="B261" s="1" t="n">
        <v>44181</v>
      </c>
      <c r="C261" s="1" t="n">
        <v>45642</v>
      </c>
      <c r="D261" t="inlineStr">
        <is>
          <t>VÄSTERNORRLANDS LÄN</t>
        </is>
      </c>
      <c r="E261" t="inlineStr">
        <is>
          <t>KRAMFORS</t>
        </is>
      </c>
      <c r="G261" t="n">
        <v>1</v>
      </c>
      <c r="H261" t="n">
        <v>0</v>
      </c>
      <c r="I261" t="n">
        <v>0</v>
      </c>
      <c r="J261" t="n">
        <v>0</v>
      </c>
      <c r="K261" t="n">
        <v>0</v>
      </c>
      <c r="L261" t="n">
        <v>0</v>
      </c>
      <c r="M261" t="n">
        <v>0</v>
      </c>
      <c r="N261" t="n">
        <v>0</v>
      </c>
      <c r="O261" t="n">
        <v>0</v>
      </c>
      <c r="P261" t="n">
        <v>0</v>
      </c>
      <c r="Q261" t="n">
        <v>0</v>
      </c>
      <c r="R261" s="2" t="inlineStr"/>
    </row>
    <row r="262" ht="15" customHeight="1">
      <c r="A262" t="inlineStr">
        <is>
          <t>A 67519-2020</t>
        </is>
      </c>
      <c r="B262" s="1" t="n">
        <v>44181</v>
      </c>
      <c r="C262" s="1" t="n">
        <v>45642</v>
      </c>
      <c r="D262" t="inlineStr">
        <is>
          <t>VÄSTERNORRLANDS LÄN</t>
        </is>
      </c>
      <c r="E262" t="inlineStr">
        <is>
          <t>KRAMFORS</t>
        </is>
      </c>
      <c r="G262" t="n">
        <v>1.4</v>
      </c>
      <c r="H262" t="n">
        <v>0</v>
      </c>
      <c r="I262" t="n">
        <v>0</v>
      </c>
      <c r="J262" t="n">
        <v>0</v>
      </c>
      <c r="K262" t="n">
        <v>0</v>
      </c>
      <c r="L262" t="n">
        <v>0</v>
      </c>
      <c r="M262" t="n">
        <v>0</v>
      </c>
      <c r="N262" t="n">
        <v>0</v>
      </c>
      <c r="O262" t="n">
        <v>0</v>
      </c>
      <c r="P262" t="n">
        <v>0</v>
      </c>
      <c r="Q262" t="n">
        <v>0</v>
      </c>
      <c r="R262" s="2" t="inlineStr"/>
    </row>
    <row r="263" ht="15" customHeight="1">
      <c r="A263" t="inlineStr">
        <is>
          <t>A 67601-2020</t>
        </is>
      </c>
      <c r="B263" s="1" t="n">
        <v>44181</v>
      </c>
      <c r="C263" s="1" t="n">
        <v>45642</v>
      </c>
      <c r="D263" t="inlineStr">
        <is>
          <t>VÄSTERNORRLANDS LÄN</t>
        </is>
      </c>
      <c r="E263" t="inlineStr">
        <is>
          <t>KRAMFORS</t>
        </is>
      </c>
      <c r="G263" t="n">
        <v>0.6</v>
      </c>
      <c r="H263" t="n">
        <v>0</v>
      </c>
      <c r="I263" t="n">
        <v>0</v>
      </c>
      <c r="J263" t="n">
        <v>0</v>
      </c>
      <c r="K263" t="n">
        <v>0</v>
      </c>
      <c r="L263" t="n">
        <v>0</v>
      </c>
      <c r="M263" t="n">
        <v>0</v>
      </c>
      <c r="N263" t="n">
        <v>0</v>
      </c>
      <c r="O263" t="n">
        <v>0</v>
      </c>
      <c r="P263" t="n">
        <v>0</v>
      </c>
      <c r="Q263" t="n">
        <v>0</v>
      </c>
      <c r="R263" s="2" t="inlineStr"/>
    </row>
    <row r="264" ht="15" customHeight="1">
      <c r="A264" t="inlineStr">
        <is>
          <t>A 67513-2020</t>
        </is>
      </c>
      <c r="B264" s="1" t="n">
        <v>44181</v>
      </c>
      <c r="C264" s="1" t="n">
        <v>45642</v>
      </c>
      <c r="D264" t="inlineStr">
        <is>
          <t>VÄSTERNORRLANDS LÄN</t>
        </is>
      </c>
      <c r="E264" t="inlineStr">
        <is>
          <t>KRAMFORS</t>
        </is>
      </c>
      <c r="G264" t="n">
        <v>0.9</v>
      </c>
      <c r="H264" t="n">
        <v>0</v>
      </c>
      <c r="I264" t="n">
        <v>0</v>
      </c>
      <c r="J264" t="n">
        <v>0</v>
      </c>
      <c r="K264" t="n">
        <v>0</v>
      </c>
      <c r="L264" t="n">
        <v>0</v>
      </c>
      <c r="M264" t="n">
        <v>0</v>
      </c>
      <c r="N264" t="n">
        <v>0</v>
      </c>
      <c r="O264" t="n">
        <v>0</v>
      </c>
      <c r="P264" t="n">
        <v>0</v>
      </c>
      <c r="Q264" t="n">
        <v>0</v>
      </c>
      <c r="R264" s="2" t="inlineStr"/>
    </row>
    <row r="265" ht="15" customHeight="1">
      <c r="A265" t="inlineStr">
        <is>
          <t>A 67503-2020</t>
        </is>
      </c>
      <c r="B265" s="1" t="n">
        <v>44181</v>
      </c>
      <c r="C265" s="1" t="n">
        <v>45642</v>
      </c>
      <c r="D265" t="inlineStr">
        <is>
          <t>VÄSTERNORRLANDS LÄN</t>
        </is>
      </c>
      <c r="E265" t="inlineStr">
        <is>
          <t>KRAMFORS</t>
        </is>
      </c>
      <c r="G265" t="n">
        <v>4.2</v>
      </c>
      <c r="H265" t="n">
        <v>0</v>
      </c>
      <c r="I265" t="n">
        <v>0</v>
      </c>
      <c r="J265" t="n">
        <v>0</v>
      </c>
      <c r="K265" t="n">
        <v>0</v>
      </c>
      <c r="L265" t="n">
        <v>0</v>
      </c>
      <c r="M265" t="n">
        <v>0</v>
      </c>
      <c r="N265" t="n">
        <v>0</v>
      </c>
      <c r="O265" t="n">
        <v>0</v>
      </c>
      <c r="P265" t="n">
        <v>0</v>
      </c>
      <c r="Q265" t="n">
        <v>0</v>
      </c>
      <c r="R265" s="2" t="inlineStr"/>
    </row>
    <row r="266" ht="15" customHeight="1">
      <c r="A266" t="inlineStr">
        <is>
          <t>A 68445-2020</t>
        </is>
      </c>
      <c r="B266" s="1" t="n">
        <v>44186</v>
      </c>
      <c r="C266" s="1" t="n">
        <v>45642</v>
      </c>
      <c r="D266" t="inlineStr">
        <is>
          <t>VÄSTERNORRLANDS LÄN</t>
        </is>
      </c>
      <c r="E266" t="inlineStr">
        <is>
          <t>KRAMFORS</t>
        </is>
      </c>
      <c r="G266" t="n">
        <v>1.7</v>
      </c>
      <c r="H266" t="n">
        <v>0</v>
      </c>
      <c r="I266" t="n">
        <v>0</v>
      </c>
      <c r="J266" t="n">
        <v>0</v>
      </c>
      <c r="K266" t="n">
        <v>0</v>
      </c>
      <c r="L266" t="n">
        <v>0</v>
      </c>
      <c r="M266" t="n">
        <v>0</v>
      </c>
      <c r="N266" t="n">
        <v>0</v>
      </c>
      <c r="O266" t="n">
        <v>0</v>
      </c>
      <c r="P266" t="n">
        <v>0</v>
      </c>
      <c r="Q266" t="n">
        <v>0</v>
      </c>
      <c r="R266" s="2" t="inlineStr"/>
    </row>
    <row r="267" ht="15" customHeight="1">
      <c r="A267" t="inlineStr">
        <is>
          <t>A 69365-2020</t>
        </is>
      </c>
      <c r="B267" s="1" t="n">
        <v>44193</v>
      </c>
      <c r="C267" s="1" t="n">
        <v>45642</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302-2021</t>
        </is>
      </c>
      <c r="B268" s="1" t="n">
        <v>44201</v>
      </c>
      <c r="C268" s="1" t="n">
        <v>45642</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301-2021</t>
        </is>
      </c>
      <c r="B269" s="1" t="n">
        <v>44201</v>
      </c>
      <c r="C269" s="1" t="n">
        <v>45642</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1010-2021</t>
        </is>
      </c>
      <c r="B270" s="1" t="n">
        <v>44207</v>
      </c>
      <c r="C270" s="1" t="n">
        <v>45642</v>
      </c>
      <c r="D270" t="inlineStr">
        <is>
          <t>VÄSTERNORRLANDS LÄN</t>
        </is>
      </c>
      <c r="E270" t="inlineStr">
        <is>
          <t>KRAMFORS</t>
        </is>
      </c>
      <c r="G270" t="n">
        <v>1.6</v>
      </c>
      <c r="H270" t="n">
        <v>0</v>
      </c>
      <c r="I270" t="n">
        <v>0</v>
      </c>
      <c r="J270" t="n">
        <v>0</v>
      </c>
      <c r="K270" t="n">
        <v>0</v>
      </c>
      <c r="L270" t="n">
        <v>0</v>
      </c>
      <c r="M270" t="n">
        <v>0</v>
      </c>
      <c r="N270" t="n">
        <v>0</v>
      </c>
      <c r="O270" t="n">
        <v>0</v>
      </c>
      <c r="P270" t="n">
        <v>0</v>
      </c>
      <c r="Q270" t="n">
        <v>0</v>
      </c>
      <c r="R270" s="2" t="inlineStr"/>
    </row>
    <row r="271" ht="15" customHeight="1">
      <c r="A271" t="inlineStr">
        <is>
          <t>A 1013-2021</t>
        </is>
      </c>
      <c r="B271" s="1" t="n">
        <v>44207</v>
      </c>
      <c r="C271" s="1" t="n">
        <v>45642</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1203-2021</t>
        </is>
      </c>
      <c r="B272" s="1" t="n">
        <v>44207</v>
      </c>
      <c r="C272" s="1" t="n">
        <v>45642</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1282-2021</t>
        </is>
      </c>
      <c r="B273" s="1" t="n">
        <v>44207</v>
      </c>
      <c r="C273" s="1" t="n">
        <v>45642</v>
      </c>
      <c r="D273" t="inlineStr">
        <is>
          <t>VÄSTERNORRLANDS LÄN</t>
        </is>
      </c>
      <c r="E273" t="inlineStr">
        <is>
          <t>KRAMFORS</t>
        </is>
      </c>
      <c r="G273" t="n">
        <v>12.5</v>
      </c>
      <c r="H273" t="n">
        <v>0</v>
      </c>
      <c r="I273" t="n">
        <v>0</v>
      </c>
      <c r="J273" t="n">
        <v>0</v>
      </c>
      <c r="K273" t="n">
        <v>0</v>
      </c>
      <c r="L273" t="n">
        <v>0</v>
      </c>
      <c r="M273" t="n">
        <v>0</v>
      </c>
      <c r="N273" t="n">
        <v>0</v>
      </c>
      <c r="O273" t="n">
        <v>0</v>
      </c>
      <c r="P273" t="n">
        <v>0</v>
      </c>
      <c r="Q273" t="n">
        <v>0</v>
      </c>
      <c r="R273" s="2" t="inlineStr"/>
    </row>
    <row r="274" ht="15" customHeight="1">
      <c r="A274" t="inlineStr">
        <is>
          <t>A 1776-2021</t>
        </is>
      </c>
      <c r="B274" s="1" t="n">
        <v>44209</v>
      </c>
      <c r="C274" s="1" t="n">
        <v>45642</v>
      </c>
      <c r="D274" t="inlineStr">
        <is>
          <t>VÄSTERNORRLANDS LÄN</t>
        </is>
      </c>
      <c r="E274" t="inlineStr">
        <is>
          <t>KRAMFORS</t>
        </is>
      </c>
      <c r="G274" t="n">
        <v>4.1</v>
      </c>
      <c r="H274" t="n">
        <v>0</v>
      </c>
      <c r="I274" t="n">
        <v>0</v>
      </c>
      <c r="J274" t="n">
        <v>0</v>
      </c>
      <c r="K274" t="n">
        <v>0</v>
      </c>
      <c r="L274" t="n">
        <v>0</v>
      </c>
      <c r="M274" t="n">
        <v>0</v>
      </c>
      <c r="N274" t="n">
        <v>0</v>
      </c>
      <c r="O274" t="n">
        <v>0</v>
      </c>
      <c r="P274" t="n">
        <v>0</v>
      </c>
      <c r="Q274" t="n">
        <v>0</v>
      </c>
      <c r="R274" s="2" t="inlineStr"/>
    </row>
    <row r="275" ht="15" customHeight="1">
      <c r="A275" t="inlineStr">
        <is>
          <t>A 2022-2021</t>
        </is>
      </c>
      <c r="B275" s="1" t="n">
        <v>44210</v>
      </c>
      <c r="C275" s="1" t="n">
        <v>45642</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2289-2021</t>
        </is>
      </c>
      <c r="B276" s="1" t="n">
        <v>44211</v>
      </c>
      <c r="C276" s="1" t="n">
        <v>45642</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2677-2021</t>
        </is>
      </c>
      <c r="B277" s="1" t="n">
        <v>44215</v>
      </c>
      <c r="C277" s="1" t="n">
        <v>45642</v>
      </c>
      <c r="D277" t="inlineStr">
        <is>
          <t>VÄSTERNORRLANDS LÄN</t>
        </is>
      </c>
      <c r="E277" t="inlineStr">
        <is>
          <t>KRAMFORS</t>
        </is>
      </c>
      <c r="G277" t="n">
        <v>4.9</v>
      </c>
      <c r="H277" t="n">
        <v>0</v>
      </c>
      <c r="I277" t="n">
        <v>0</v>
      </c>
      <c r="J277" t="n">
        <v>0</v>
      </c>
      <c r="K277" t="n">
        <v>0</v>
      </c>
      <c r="L277" t="n">
        <v>0</v>
      </c>
      <c r="M277" t="n">
        <v>0</v>
      </c>
      <c r="N277" t="n">
        <v>0</v>
      </c>
      <c r="O277" t="n">
        <v>0</v>
      </c>
      <c r="P277" t="n">
        <v>0</v>
      </c>
      <c r="Q277" t="n">
        <v>0</v>
      </c>
      <c r="R277" s="2" t="inlineStr"/>
    </row>
    <row r="278" ht="15" customHeight="1">
      <c r="A278" t="inlineStr">
        <is>
          <t>A 3830-2021</t>
        </is>
      </c>
      <c r="B278" s="1" t="n">
        <v>44216</v>
      </c>
      <c r="C278" s="1" t="n">
        <v>45642</v>
      </c>
      <c r="D278" t="inlineStr">
        <is>
          <t>VÄSTERNORRLANDS LÄN</t>
        </is>
      </c>
      <c r="E278" t="inlineStr">
        <is>
          <t>KRAMFORS</t>
        </is>
      </c>
      <c r="G278" t="n">
        <v>28</v>
      </c>
      <c r="H278" t="n">
        <v>0</v>
      </c>
      <c r="I278" t="n">
        <v>0</v>
      </c>
      <c r="J278" t="n">
        <v>0</v>
      </c>
      <c r="K278" t="n">
        <v>0</v>
      </c>
      <c r="L278" t="n">
        <v>0</v>
      </c>
      <c r="M278" t="n">
        <v>0</v>
      </c>
      <c r="N278" t="n">
        <v>0</v>
      </c>
      <c r="O278" t="n">
        <v>0</v>
      </c>
      <c r="P278" t="n">
        <v>0</v>
      </c>
      <c r="Q278" t="n">
        <v>0</v>
      </c>
      <c r="R278" s="2" t="inlineStr"/>
    </row>
    <row r="279" ht="15" customHeight="1">
      <c r="A279" t="inlineStr">
        <is>
          <t>A 3754-2021</t>
        </is>
      </c>
      <c r="B279" s="1" t="n">
        <v>44221</v>
      </c>
      <c r="C279" s="1" t="n">
        <v>45642</v>
      </c>
      <c r="D279" t="inlineStr">
        <is>
          <t>VÄSTERNORRLANDS LÄN</t>
        </is>
      </c>
      <c r="E279" t="inlineStr">
        <is>
          <t>KRAMFORS</t>
        </is>
      </c>
      <c r="G279" t="n">
        <v>2.8</v>
      </c>
      <c r="H279" t="n">
        <v>0</v>
      </c>
      <c r="I279" t="n">
        <v>0</v>
      </c>
      <c r="J279" t="n">
        <v>0</v>
      </c>
      <c r="K279" t="n">
        <v>0</v>
      </c>
      <c r="L279" t="n">
        <v>0</v>
      </c>
      <c r="M279" t="n">
        <v>0</v>
      </c>
      <c r="N279" t="n">
        <v>0</v>
      </c>
      <c r="O279" t="n">
        <v>0</v>
      </c>
      <c r="P279" t="n">
        <v>0</v>
      </c>
      <c r="Q279" t="n">
        <v>0</v>
      </c>
      <c r="R279" s="2" t="inlineStr"/>
    </row>
    <row r="280" ht="15" customHeight="1">
      <c r="A280" t="inlineStr">
        <is>
          <t>A 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4664-2021</t>
        </is>
      </c>
      <c r="B281" s="1" t="n">
        <v>44224</v>
      </c>
      <c r="C281" s="1" t="n">
        <v>45642</v>
      </c>
      <c r="D281" t="inlineStr">
        <is>
          <t>VÄSTERNORRLANDS LÄN</t>
        </is>
      </c>
      <c r="E281" t="inlineStr">
        <is>
          <t>KRAMFORS</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5210-2021</t>
        </is>
      </c>
      <c r="B282" s="1" t="n">
        <v>44228</v>
      </c>
      <c r="C282" s="1" t="n">
        <v>45642</v>
      </c>
      <c r="D282" t="inlineStr">
        <is>
          <t>VÄSTERNORRLANDS LÄN</t>
        </is>
      </c>
      <c r="E282" t="inlineStr">
        <is>
          <t>KRAMFORS</t>
        </is>
      </c>
      <c r="G282" t="n">
        <v>2.1</v>
      </c>
      <c r="H282" t="n">
        <v>0</v>
      </c>
      <c r="I282" t="n">
        <v>0</v>
      </c>
      <c r="J282" t="n">
        <v>0</v>
      </c>
      <c r="K282" t="n">
        <v>0</v>
      </c>
      <c r="L282" t="n">
        <v>0</v>
      </c>
      <c r="M282" t="n">
        <v>0</v>
      </c>
      <c r="N282" t="n">
        <v>0</v>
      </c>
      <c r="O282" t="n">
        <v>0</v>
      </c>
      <c r="P282" t="n">
        <v>0</v>
      </c>
      <c r="Q282" t="n">
        <v>0</v>
      </c>
      <c r="R282" s="2" t="inlineStr"/>
    </row>
    <row r="283" ht="15" customHeight="1">
      <c r="A283" t="inlineStr">
        <is>
          <t>A 5209-2021</t>
        </is>
      </c>
      <c r="B283" s="1" t="n">
        <v>44228</v>
      </c>
      <c r="C283" s="1" t="n">
        <v>45642</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5684-2021</t>
        </is>
      </c>
      <c r="B284" s="1" t="n">
        <v>44229</v>
      </c>
      <c r="C284" s="1" t="n">
        <v>45642</v>
      </c>
      <c r="D284" t="inlineStr">
        <is>
          <t>VÄSTERNORRLANDS LÄN</t>
        </is>
      </c>
      <c r="E284" t="inlineStr">
        <is>
          <t>KRAMFORS</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6492-2021</t>
        </is>
      </c>
      <c r="B285" s="1" t="n">
        <v>44235</v>
      </c>
      <c r="C285" s="1" t="n">
        <v>45642</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6938-2021</t>
        </is>
      </c>
      <c r="B286" s="1" t="n">
        <v>44237</v>
      </c>
      <c r="C286" s="1" t="n">
        <v>45642</v>
      </c>
      <c r="D286" t="inlineStr">
        <is>
          <t>VÄSTERNORRLANDS LÄN</t>
        </is>
      </c>
      <c r="E286" t="inlineStr">
        <is>
          <t>KRAMFORS</t>
        </is>
      </c>
      <c r="G286" t="n">
        <v>7.2</v>
      </c>
      <c r="H286" t="n">
        <v>0</v>
      </c>
      <c r="I286" t="n">
        <v>0</v>
      </c>
      <c r="J286" t="n">
        <v>0</v>
      </c>
      <c r="K286" t="n">
        <v>0</v>
      </c>
      <c r="L286" t="n">
        <v>0</v>
      </c>
      <c r="M286" t="n">
        <v>0</v>
      </c>
      <c r="N286" t="n">
        <v>0</v>
      </c>
      <c r="O286" t="n">
        <v>0</v>
      </c>
      <c r="P286" t="n">
        <v>0</v>
      </c>
      <c r="Q286" t="n">
        <v>0</v>
      </c>
      <c r="R286" s="2" t="inlineStr"/>
    </row>
    <row r="287" ht="15" customHeight="1">
      <c r="A287" t="inlineStr">
        <is>
          <t>A 7318-2021</t>
        </is>
      </c>
      <c r="B287" s="1" t="n">
        <v>44239</v>
      </c>
      <c r="C287" s="1" t="n">
        <v>45642</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8078-2021</t>
        </is>
      </c>
      <c r="B288" s="1" t="n">
        <v>44243</v>
      </c>
      <c r="C288" s="1" t="n">
        <v>45642</v>
      </c>
      <c r="D288" t="inlineStr">
        <is>
          <t>VÄSTERNORRLANDS LÄN</t>
        </is>
      </c>
      <c r="E288" t="inlineStr">
        <is>
          <t>KRAMFORS</t>
        </is>
      </c>
      <c r="G288" t="n">
        <v>27.7</v>
      </c>
      <c r="H288" t="n">
        <v>0</v>
      </c>
      <c r="I288" t="n">
        <v>0</v>
      </c>
      <c r="J288" t="n">
        <v>0</v>
      </c>
      <c r="K288" t="n">
        <v>0</v>
      </c>
      <c r="L288" t="n">
        <v>0</v>
      </c>
      <c r="M288" t="n">
        <v>0</v>
      </c>
      <c r="N288" t="n">
        <v>0</v>
      </c>
      <c r="O288" t="n">
        <v>0</v>
      </c>
      <c r="P288" t="n">
        <v>0</v>
      </c>
      <c r="Q288" t="n">
        <v>0</v>
      </c>
      <c r="R288" s="2" t="inlineStr"/>
    </row>
    <row r="289" ht="15" customHeight="1">
      <c r="A289" t="inlineStr">
        <is>
          <t>A 8068-2021</t>
        </is>
      </c>
      <c r="B289" s="1" t="n">
        <v>44243</v>
      </c>
      <c r="C289" s="1" t="n">
        <v>45642</v>
      </c>
      <c r="D289" t="inlineStr">
        <is>
          <t>VÄSTERNORRLANDS LÄN</t>
        </is>
      </c>
      <c r="E289" t="inlineStr">
        <is>
          <t>KRAMFORS</t>
        </is>
      </c>
      <c r="G289" t="n">
        <v>10.4</v>
      </c>
      <c r="H289" t="n">
        <v>0</v>
      </c>
      <c r="I289" t="n">
        <v>0</v>
      </c>
      <c r="J289" t="n">
        <v>0</v>
      </c>
      <c r="K289" t="n">
        <v>0</v>
      </c>
      <c r="L289" t="n">
        <v>0</v>
      </c>
      <c r="M289" t="n">
        <v>0</v>
      </c>
      <c r="N289" t="n">
        <v>0</v>
      </c>
      <c r="O289" t="n">
        <v>0</v>
      </c>
      <c r="P289" t="n">
        <v>0</v>
      </c>
      <c r="Q289" t="n">
        <v>0</v>
      </c>
      <c r="R289" s="2" t="inlineStr"/>
    </row>
    <row r="290" ht="15" customHeight="1">
      <c r="A290" t="inlineStr">
        <is>
          <t>A 8200-2021</t>
        </is>
      </c>
      <c r="B290" s="1" t="n">
        <v>44243</v>
      </c>
      <c r="C290" s="1" t="n">
        <v>45642</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8298-2021</t>
        </is>
      </c>
      <c r="B291" s="1" t="n">
        <v>44244</v>
      </c>
      <c r="C291" s="1" t="n">
        <v>45642</v>
      </c>
      <c r="D291" t="inlineStr">
        <is>
          <t>VÄSTERNORRLANDS LÄN</t>
        </is>
      </c>
      <c r="E291" t="inlineStr">
        <is>
          <t>KRAMFORS</t>
        </is>
      </c>
      <c r="G291" t="n">
        <v>0.1</v>
      </c>
      <c r="H291" t="n">
        <v>0</v>
      </c>
      <c r="I291" t="n">
        <v>0</v>
      </c>
      <c r="J291" t="n">
        <v>0</v>
      </c>
      <c r="K291" t="n">
        <v>0</v>
      </c>
      <c r="L291" t="n">
        <v>0</v>
      </c>
      <c r="M291" t="n">
        <v>0</v>
      </c>
      <c r="N291" t="n">
        <v>0</v>
      </c>
      <c r="O291" t="n">
        <v>0</v>
      </c>
      <c r="P291" t="n">
        <v>0</v>
      </c>
      <c r="Q291" t="n">
        <v>0</v>
      </c>
      <c r="R291" s="2" t="inlineStr"/>
    </row>
    <row r="292" ht="15" customHeight="1">
      <c r="A292" t="inlineStr">
        <is>
          <t>A 8645-2021</t>
        </is>
      </c>
      <c r="B292" s="1" t="n">
        <v>44245</v>
      </c>
      <c r="C292" s="1" t="n">
        <v>45642</v>
      </c>
      <c r="D292" t="inlineStr">
        <is>
          <t>VÄSTERNORRLANDS LÄN</t>
        </is>
      </c>
      <c r="E292" t="inlineStr">
        <is>
          <t>KRAMFORS</t>
        </is>
      </c>
      <c r="G292" t="n">
        <v>1.2</v>
      </c>
      <c r="H292" t="n">
        <v>0</v>
      </c>
      <c r="I292" t="n">
        <v>0</v>
      </c>
      <c r="J292" t="n">
        <v>0</v>
      </c>
      <c r="K292" t="n">
        <v>0</v>
      </c>
      <c r="L292" t="n">
        <v>0</v>
      </c>
      <c r="M292" t="n">
        <v>0</v>
      </c>
      <c r="N292" t="n">
        <v>0</v>
      </c>
      <c r="O292" t="n">
        <v>0</v>
      </c>
      <c r="P292" t="n">
        <v>0</v>
      </c>
      <c r="Q292" t="n">
        <v>0</v>
      </c>
      <c r="R292" s="2" t="inlineStr"/>
    </row>
    <row r="293" ht="15" customHeight="1">
      <c r="A293" t="inlineStr">
        <is>
          <t>A 8861-2021</t>
        </is>
      </c>
      <c r="B293" s="1" t="n">
        <v>44246</v>
      </c>
      <c r="C293" s="1" t="n">
        <v>45642</v>
      </c>
      <c r="D293" t="inlineStr">
        <is>
          <t>VÄSTERNORRLANDS LÄN</t>
        </is>
      </c>
      <c r="E293" t="inlineStr">
        <is>
          <t>KRAMFORS</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9815-2021</t>
        </is>
      </c>
      <c r="B294" s="1" t="n">
        <v>44252</v>
      </c>
      <c r="C294" s="1" t="n">
        <v>45642</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10277-2021</t>
        </is>
      </c>
      <c r="B295" s="1" t="n">
        <v>44256</v>
      </c>
      <c r="C295" s="1" t="n">
        <v>45642</v>
      </c>
      <c r="D295" t="inlineStr">
        <is>
          <t>VÄSTERNORRLANDS LÄN</t>
        </is>
      </c>
      <c r="E295" t="inlineStr">
        <is>
          <t>KRAMFORS</t>
        </is>
      </c>
      <c r="G295" t="n">
        <v>3.2</v>
      </c>
      <c r="H295" t="n">
        <v>0</v>
      </c>
      <c r="I295" t="n">
        <v>0</v>
      </c>
      <c r="J295" t="n">
        <v>0</v>
      </c>
      <c r="K295" t="n">
        <v>0</v>
      </c>
      <c r="L295" t="n">
        <v>0</v>
      </c>
      <c r="M295" t="n">
        <v>0</v>
      </c>
      <c r="N295" t="n">
        <v>0</v>
      </c>
      <c r="O295" t="n">
        <v>0</v>
      </c>
      <c r="P295" t="n">
        <v>0</v>
      </c>
      <c r="Q295" t="n">
        <v>0</v>
      </c>
      <c r="R295" s="2" t="inlineStr"/>
    </row>
    <row r="296" ht="15" customHeight="1">
      <c r="A296" t="inlineStr">
        <is>
          <t>A 11717-2021</t>
        </is>
      </c>
      <c r="B296" s="1" t="n">
        <v>44264</v>
      </c>
      <c r="C296" s="1" t="n">
        <v>45642</v>
      </c>
      <c r="D296" t="inlineStr">
        <is>
          <t>VÄSTERNORRLANDS LÄN</t>
        </is>
      </c>
      <c r="E296" t="inlineStr">
        <is>
          <t>KRAMFORS</t>
        </is>
      </c>
      <c r="G296" t="n">
        <v>0.9</v>
      </c>
      <c r="H296" t="n">
        <v>0</v>
      </c>
      <c r="I296" t="n">
        <v>0</v>
      </c>
      <c r="J296" t="n">
        <v>0</v>
      </c>
      <c r="K296" t="n">
        <v>0</v>
      </c>
      <c r="L296" t="n">
        <v>0</v>
      </c>
      <c r="M296" t="n">
        <v>0</v>
      </c>
      <c r="N296" t="n">
        <v>0</v>
      </c>
      <c r="O296" t="n">
        <v>0</v>
      </c>
      <c r="P296" t="n">
        <v>0</v>
      </c>
      <c r="Q296" t="n">
        <v>0</v>
      </c>
      <c r="R296" s="2" t="inlineStr"/>
    </row>
    <row r="297" ht="15" customHeight="1">
      <c r="A297" t="inlineStr">
        <is>
          <t>A 12040-2021</t>
        </is>
      </c>
      <c r="B297" s="1" t="n">
        <v>44266</v>
      </c>
      <c r="C297" s="1" t="n">
        <v>45642</v>
      </c>
      <c r="D297" t="inlineStr">
        <is>
          <t>VÄSTERNORRLANDS LÄN</t>
        </is>
      </c>
      <c r="E297" t="inlineStr">
        <is>
          <t>KRAMFORS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12307-2021</t>
        </is>
      </c>
      <c r="B298" s="1" t="n">
        <v>44267</v>
      </c>
      <c r="C298" s="1" t="n">
        <v>45642</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12306-2021</t>
        </is>
      </c>
      <c r="B299" s="1" t="n">
        <v>44267</v>
      </c>
      <c r="C299" s="1" t="n">
        <v>45642</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12315-2021</t>
        </is>
      </c>
      <c r="B300" s="1" t="n">
        <v>44267</v>
      </c>
      <c r="C300" s="1" t="n">
        <v>45642</v>
      </c>
      <c r="D300" t="inlineStr">
        <is>
          <t>VÄSTERNORRLANDS LÄN</t>
        </is>
      </c>
      <c r="E300" t="inlineStr">
        <is>
          <t>KRAMFORS</t>
        </is>
      </c>
      <c r="G300" t="n">
        <v>14.4</v>
      </c>
      <c r="H300" t="n">
        <v>0</v>
      </c>
      <c r="I300" t="n">
        <v>0</v>
      </c>
      <c r="J300" t="n">
        <v>0</v>
      </c>
      <c r="K300" t="n">
        <v>0</v>
      </c>
      <c r="L300" t="n">
        <v>0</v>
      </c>
      <c r="M300" t="n">
        <v>0</v>
      </c>
      <c r="N300" t="n">
        <v>0</v>
      </c>
      <c r="O300" t="n">
        <v>0</v>
      </c>
      <c r="P300" t="n">
        <v>0</v>
      </c>
      <c r="Q300" t="n">
        <v>0</v>
      </c>
      <c r="R300" s="2" t="inlineStr"/>
    </row>
    <row r="301" ht="15" customHeight="1">
      <c r="A301" t="inlineStr">
        <is>
          <t>A 13189-2021</t>
        </is>
      </c>
      <c r="B301" s="1" t="n">
        <v>44272</v>
      </c>
      <c r="C301" s="1" t="n">
        <v>45642</v>
      </c>
      <c r="D301" t="inlineStr">
        <is>
          <t>VÄSTERNORRLANDS LÄN</t>
        </is>
      </c>
      <c r="E301" t="inlineStr">
        <is>
          <t>KRAMFORS</t>
        </is>
      </c>
      <c r="G301" t="n">
        <v>21.6</v>
      </c>
      <c r="H301" t="n">
        <v>0</v>
      </c>
      <c r="I301" t="n">
        <v>0</v>
      </c>
      <c r="J301" t="n">
        <v>0</v>
      </c>
      <c r="K301" t="n">
        <v>0</v>
      </c>
      <c r="L301" t="n">
        <v>0</v>
      </c>
      <c r="M301" t="n">
        <v>0</v>
      </c>
      <c r="N301" t="n">
        <v>0</v>
      </c>
      <c r="O301" t="n">
        <v>0</v>
      </c>
      <c r="P301" t="n">
        <v>0</v>
      </c>
      <c r="Q301" t="n">
        <v>0</v>
      </c>
      <c r="R301" s="2" t="inlineStr"/>
    </row>
    <row r="302" ht="15" customHeight="1">
      <c r="A302" t="inlineStr">
        <is>
          <t>A 14254-2021</t>
        </is>
      </c>
      <c r="B302" s="1" t="n">
        <v>44278</v>
      </c>
      <c r="C302" s="1" t="n">
        <v>45642</v>
      </c>
      <c r="D302" t="inlineStr">
        <is>
          <t>VÄSTERNORRLANDS LÄN</t>
        </is>
      </c>
      <c r="E302" t="inlineStr">
        <is>
          <t>KRAMFORS</t>
        </is>
      </c>
      <c r="G302" t="n">
        <v>1.5</v>
      </c>
      <c r="H302" t="n">
        <v>0</v>
      </c>
      <c r="I302" t="n">
        <v>0</v>
      </c>
      <c r="J302" t="n">
        <v>0</v>
      </c>
      <c r="K302" t="n">
        <v>0</v>
      </c>
      <c r="L302" t="n">
        <v>0</v>
      </c>
      <c r="M302" t="n">
        <v>0</v>
      </c>
      <c r="N302" t="n">
        <v>0</v>
      </c>
      <c r="O302" t="n">
        <v>0</v>
      </c>
      <c r="P302" t="n">
        <v>0</v>
      </c>
      <c r="Q302" t="n">
        <v>0</v>
      </c>
      <c r="R302" s="2" t="inlineStr"/>
    </row>
    <row r="303" ht="15" customHeight="1">
      <c r="A303" t="inlineStr">
        <is>
          <t>A 14705-2021</t>
        </is>
      </c>
      <c r="B303" s="1" t="n">
        <v>44280</v>
      </c>
      <c r="C303" s="1" t="n">
        <v>45642</v>
      </c>
      <c r="D303" t="inlineStr">
        <is>
          <t>VÄSTERNORRLANDS LÄN</t>
        </is>
      </c>
      <c r="E303" t="inlineStr">
        <is>
          <t>KRAMFORS</t>
        </is>
      </c>
      <c r="G303" t="n">
        <v>4.1</v>
      </c>
      <c r="H303" t="n">
        <v>0</v>
      </c>
      <c r="I303" t="n">
        <v>0</v>
      </c>
      <c r="J303" t="n">
        <v>0</v>
      </c>
      <c r="K303" t="n">
        <v>0</v>
      </c>
      <c r="L303" t="n">
        <v>0</v>
      </c>
      <c r="M303" t="n">
        <v>0</v>
      </c>
      <c r="N303" t="n">
        <v>0</v>
      </c>
      <c r="O303" t="n">
        <v>0</v>
      </c>
      <c r="P303" t="n">
        <v>0</v>
      </c>
      <c r="Q303" t="n">
        <v>0</v>
      </c>
      <c r="R303" s="2" t="inlineStr"/>
    </row>
    <row r="304" ht="15" customHeight="1">
      <c r="A304" t="inlineStr">
        <is>
          <t>A 15262-2021</t>
        </is>
      </c>
      <c r="B304" s="1" t="n">
        <v>44284</v>
      </c>
      <c r="C304" s="1" t="n">
        <v>45642</v>
      </c>
      <c r="D304" t="inlineStr">
        <is>
          <t>VÄSTERNORRLANDS LÄN</t>
        </is>
      </c>
      <c r="E304" t="inlineStr">
        <is>
          <t>KRAMFORS</t>
        </is>
      </c>
      <c r="G304" t="n">
        <v>1</v>
      </c>
      <c r="H304" t="n">
        <v>0</v>
      </c>
      <c r="I304" t="n">
        <v>0</v>
      </c>
      <c r="J304" t="n">
        <v>0</v>
      </c>
      <c r="K304" t="n">
        <v>0</v>
      </c>
      <c r="L304" t="n">
        <v>0</v>
      </c>
      <c r="M304" t="n">
        <v>0</v>
      </c>
      <c r="N304" t="n">
        <v>0</v>
      </c>
      <c r="O304" t="n">
        <v>0</v>
      </c>
      <c r="P304" t="n">
        <v>0</v>
      </c>
      <c r="Q304" t="n">
        <v>0</v>
      </c>
      <c r="R304" s="2" t="inlineStr"/>
    </row>
    <row r="305" ht="15" customHeight="1">
      <c r="A305" t="inlineStr">
        <is>
          <t>A 16066-2021</t>
        </is>
      </c>
      <c r="B305" s="1" t="n">
        <v>44287</v>
      </c>
      <c r="C305" s="1" t="n">
        <v>45642</v>
      </c>
      <c r="D305" t="inlineStr">
        <is>
          <t>VÄSTERNORRLANDS LÄN</t>
        </is>
      </c>
      <c r="E305" t="inlineStr">
        <is>
          <t>KRAMFORS</t>
        </is>
      </c>
      <c r="G305" t="n">
        <v>1.1</v>
      </c>
      <c r="H305" t="n">
        <v>0</v>
      </c>
      <c r="I305" t="n">
        <v>0</v>
      </c>
      <c r="J305" t="n">
        <v>0</v>
      </c>
      <c r="K305" t="n">
        <v>0</v>
      </c>
      <c r="L305" t="n">
        <v>0</v>
      </c>
      <c r="M305" t="n">
        <v>0</v>
      </c>
      <c r="N305" t="n">
        <v>0</v>
      </c>
      <c r="O305" t="n">
        <v>0</v>
      </c>
      <c r="P305" t="n">
        <v>0</v>
      </c>
      <c r="Q305" t="n">
        <v>0</v>
      </c>
      <c r="R305" s="2" t="inlineStr"/>
    </row>
    <row r="306" ht="15" customHeight="1">
      <c r="A306" t="inlineStr">
        <is>
          <t>A 16345-2021</t>
        </is>
      </c>
      <c r="B306" s="1" t="n">
        <v>44292</v>
      </c>
      <c r="C306" s="1" t="n">
        <v>45642</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16448-2021</t>
        </is>
      </c>
      <c r="B307" s="1" t="n">
        <v>44292</v>
      </c>
      <c r="C307" s="1" t="n">
        <v>45642</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16354-2021</t>
        </is>
      </c>
      <c r="B308" s="1" t="n">
        <v>44292</v>
      </c>
      <c r="C308" s="1" t="n">
        <v>45642</v>
      </c>
      <c r="D308" t="inlineStr">
        <is>
          <t>VÄSTERNORRLANDS LÄN</t>
        </is>
      </c>
      <c r="E308" t="inlineStr">
        <is>
          <t>KRAMFORS</t>
        </is>
      </c>
      <c r="F308" t="inlineStr">
        <is>
          <t>Kyrkan</t>
        </is>
      </c>
      <c r="G308" t="n">
        <v>2.7</v>
      </c>
      <c r="H308" t="n">
        <v>0</v>
      </c>
      <c r="I308" t="n">
        <v>0</v>
      </c>
      <c r="J308" t="n">
        <v>0</v>
      </c>
      <c r="K308" t="n">
        <v>0</v>
      </c>
      <c r="L308" t="n">
        <v>0</v>
      </c>
      <c r="M308" t="n">
        <v>0</v>
      </c>
      <c r="N308" t="n">
        <v>0</v>
      </c>
      <c r="O308" t="n">
        <v>0</v>
      </c>
      <c r="P308" t="n">
        <v>0</v>
      </c>
      <c r="Q308" t="n">
        <v>0</v>
      </c>
      <c r="R308" s="2" t="inlineStr"/>
    </row>
    <row r="309" ht="15" customHeight="1">
      <c r="A309" t="inlineStr">
        <is>
          <t>A 16338-2021</t>
        </is>
      </c>
      <c r="B309" s="1" t="n">
        <v>44293</v>
      </c>
      <c r="C309" s="1" t="n">
        <v>45642</v>
      </c>
      <c r="D309" t="inlineStr">
        <is>
          <t>VÄSTERNORRLANDS LÄN</t>
        </is>
      </c>
      <c r="E309" t="inlineStr">
        <is>
          <t>KRAMFORS</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16444-2021</t>
        </is>
      </c>
      <c r="B310" s="1" t="n">
        <v>44293</v>
      </c>
      <c r="C310" s="1" t="n">
        <v>45642</v>
      </c>
      <c r="D310" t="inlineStr">
        <is>
          <t>VÄSTERNORRLANDS LÄN</t>
        </is>
      </c>
      <c r="E310" t="inlineStr">
        <is>
          <t>KRAMFORS</t>
        </is>
      </c>
      <c r="G310" t="n">
        <v>14.1</v>
      </c>
      <c r="H310" t="n">
        <v>0</v>
      </c>
      <c r="I310" t="n">
        <v>0</v>
      </c>
      <c r="J310" t="n">
        <v>0</v>
      </c>
      <c r="K310" t="n">
        <v>0</v>
      </c>
      <c r="L310" t="n">
        <v>0</v>
      </c>
      <c r="M310" t="n">
        <v>0</v>
      </c>
      <c r="N310" t="n">
        <v>0</v>
      </c>
      <c r="O310" t="n">
        <v>0</v>
      </c>
      <c r="P310" t="n">
        <v>0</v>
      </c>
      <c r="Q310" t="n">
        <v>0</v>
      </c>
      <c r="R310" s="2" t="inlineStr"/>
    </row>
    <row r="311" ht="15" customHeight="1">
      <c r="A311" t="inlineStr">
        <is>
          <t>A 16636-2021</t>
        </is>
      </c>
      <c r="B311" s="1" t="n">
        <v>44294</v>
      </c>
      <c r="C311" s="1" t="n">
        <v>45642</v>
      </c>
      <c r="D311" t="inlineStr">
        <is>
          <t>VÄSTERNORRLANDS LÄN</t>
        </is>
      </c>
      <c r="E311" t="inlineStr">
        <is>
          <t>KRAMFORS</t>
        </is>
      </c>
      <c r="G311" t="n">
        <v>4.7</v>
      </c>
      <c r="H311" t="n">
        <v>0</v>
      </c>
      <c r="I311" t="n">
        <v>0</v>
      </c>
      <c r="J311" t="n">
        <v>0</v>
      </c>
      <c r="K311" t="n">
        <v>0</v>
      </c>
      <c r="L311" t="n">
        <v>0</v>
      </c>
      <c r="M311" t="n">
        <v>0</v>
      </c>
      <c r="N311" t="n">
        <v>0</v>
      </c>
      <c r="O311" t="n">
        <v>0</v>
      </c>
      <c r="P311" t="n">
        <v>0</v>
      </c>
      <c r="Q311" t="n">
        <v>0</v>
      </c>
      <c r="R311" s="2" t="inlineStr"/>
    </row>
    <row r="312" ht="15" customHeight="1">
      <c r="A312" t="inlineStr">
        <is>
          <t>A 16902-2021</t>
        </is>
      </c>
      <c r="B312" s="1" t="n">
        <v>44294</v>
      </c>
      <c r="C312" s="1" t="n">
        <v>45642</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17129-2021</t>
        </is>
      </c>
      <c r="B313" s="1" t="n">
        <v>44298</v>
      </c>
      <c r="C313" s="1" t="n">
        <v>45642</v>
      </c>
      <c r="D313" t="inlineStr">
        <is>
          <t>VÄSTERNORRLANDS LÄN</t>
        </is>
      </c>
      <c r="E313" t="inlineStr">
        <is>
          <t>KRAMFORS</t>
        </is>
      </c>
      <c r="G313" t="n">
        <v>2</v>
      </c>
      <c r="H313" t="n">
        <v>0</v>
      </c>
      <c r="I313" t="n">
        <v>0</v>
      </c>
      <c r="J313" t="n">
        <v>0</v>
      </c>
      <c r="K313" t="n">
        <v>0</v>
      </c>
      <c r="L313" t="n">
        <v>0</v>
      </c>
      <c r="M313" t="n">
        <v>0</v>
      </c>
      <c r="N313" t="n">
        <v>0</v>
      </c>
      <c r="O313" t="n">
        <v>0</v>
      </c>
      <c r="P313" t="n">
        <v>0</v>
      </c>
      <c r="Q313" t="n">
        <v>0</v>
      </c>
      <c r="R313" s="2" t="inlineStr"/>
    </row>
    <row r="314" ht="15" customHeight="1">
      <c r="A314" t="inlineStr">
        <is>
          <t>A 18225-2021</t>
        </is>
      </c>
      <c r="B314" s="1" t="n">
        <v>44302</v>
      </c>
      <c r="C314" s="1" t="n">
        <v>45642</v>
      </c>
      <c r="D314" t="inlineStr">
        <is>
          <t>VÄSTERNORRLANDS LÄN</t>
        </is>
      </c>
      <c r="E314" t="inlineStr">
        <is>
          <t>KRAMFORS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18223-2021</t>
        </is>
      </c>
      <c r="B315" s="1" t="n">
        <v>44303</v>
      </c>
      <c r="C315" s="1" t="n">
        <v>45642</v>
      </c>
      <c r="D315" t="inlineStr">
        <is>
          <t>VÄSTERNORRLANDS LÄN</t>
        </is>
      </c>
      <c r="E315" t="inlineStr">
        <is>
          <t>KRAMFORS</t>
        </is>
      </c>
      <c r="G315" t="n">
        <v>0.6</v>
      </c>
      <c r="H315" t="n">
        <v>0</v>
      </c>
      <c r="I315" t="n">
        <v>0</v>
      </c>
      <c r="J315" t="n">
        <v>0</v>
      </c>
      <c r="K315" t="n">
        <v>0</v>
      </c>
      <c r="L315" t="n">
        <v>0</v>
      </c>
      <c r="M315" t="n">
        <v>0</v>
      </c>
      <c r="N315" t="n">
        <v>0</v>
      </c>
      <c r="O315" t="n">
        <v>0</v>
      </c>
      <c r="P315" t="n">
        <v>0</v>
      </c>
      <c r="Q315" t="n">
        <v>0</v>
      </c>
      <c r="R315" s="2" t="inlineStr"/>
    </row>
    <row r="316" ht="15" customHeight="1">
      <c r="A316" t="inlineStr">
        <is>
          <t>A 18224-2021</t>
        </is>
      </c>
      <c r="B316" s="1" t="n">
        <v>44303</v>
      </c>
      <c r="C316" s="1" t="n">
        <v>45642</v>
      </c>
      <c r="D316" t="inlineStr">
        <is>
          <t>VÄSTERNORRLANDS LÄN</t>
        </is>
      </c>
      <c r="E316" t="inlineStr">
        <is>
          <t>KRAMFORS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18222-2021</t>
        </is>
      </c>
      <c r="B317" s="1" t="n">
        <v>44302</v>
      </c>
      <c r="C317" s="1" t="n">
        <v>45642</v>
      </c>
      <c r="D317" t="inlineStr">
        <is>
          <t>VÄSTERNORRLANDS LÄN</t>
        </is>
      </c>
      <c r="E317" t="inlineStr">
        <is>
          <t>KRAMFORS</t>
        </is>
      </c>
      <c r="G317" t="n">
        <v>0.7</v>
      </c>
      <c r="H317" t="n">
        <v>0</v>
      </c>
      <c r="I317" t="n">
        <v>0</v>
      </c>
      <c r="J317" t="n">
        <v>0</v>
      </c>
      <c r="K317" t="n">
        <v>0</v>
      </c>
      <c r="L317" t="n">
        <v>0</v>
      </c>
      <c r="M317" t="n">
        <v>0</v>
      </c>
      <c r="N317" t="n">
        <v>0</v>
      </c>
      <c r="O317" t="n">
        <v>0</v>
      </c>
      <c r="P317" t="n">
        <v>0</v>
      </c>
      <c r="Q317" t="n">
        <v>0</v>
      </c>
      <c r="R317" s="2" t="inlineStr"/>
    </row>
    <row r="318" ht="15" customHeight="1">
      <c r="A318" t="inlineStr">
        <is>
          <t>A 18226-2021</t>
        </is>
      </c>
      <c r="B318" s="1" t="n">
        <v>44302</v>
      </c>
      <c r="C318" s="1" t="n">
        <v>45642</v>
      </c>
      <c r="D318" t="inlineStr">
        <is>
          <t>VÄSTERNORRLANDS LÄN</t>
        </is>
      </c>
      <c r="E318" t="inlineStr">
        <is>
          <t>KRAMFORS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18682-2021</t>
        </is>
      </c>
      <c r="B319" s="1" t="n">
        <v>44307</v>
      </c>
      <c r="C319" s="1" t="n">
        <v>45642</v>
      </c>
      <c r="D319" t="inlineStr">
        <is>
          <t>VÄSTERNORRLANDS LÄN</t>
        </is>
      </c>
      <c r="E319" t="inlineStr">
        <is>
          <t>KRAMFORS</t>
        </is>
      </c>
      <c r="G319" t="n">
        <v>4.8</v>
      </c>
      <c r="H319" t="n">
        <v>0</v>
      </c>
      <c r="I319" t="n">
        <v>0</v>
      </c>
      <c r="J319" t="n">
        <v>0</v>
      </c>
      <c r="K319" t="n">
        <v>0</v>
      </c>
      <c r="L319" t="n">
        <v>0</v>
      </c>
      <c r="M319" t="n">
        <v>0</v>
      </c>
      <c r="N319" t="n">
        <v>0</v>
      </c>
      <c r="O319" t="n">
        <v>0</v>
      </c>
      <c r="P319" t="n">
        <v>0</v>
      </c>
      <c r="Q319" t="n">
        <v>0</v>
      </c>
      <c r="R319" s="2" t="inlineStr"/>
    </row>
    <row r="320" ht="15" customHeight="1">
      <c r="A320" t="inlineStr">
        <is>
          <t>A 19131-2021</t>
        </is>
      </c>
      <c r="B320" s="1" t="n">
        <v>44308</v>
      </c>
      <c r="C320" s="1" t="n">
        <v>45642</v>
      </c>
      <c r="D320" t="inlineStr">
        <is>
          <t>VÄSTERNORRLANDS LÄN</t>
        </is>
      </c>
      <c r="E320" t="inlineStr">
        <is>
          <t>KRAMFORS</t>
        </is>
      </c>
      <c r="G320" t="n">
        <v>1.9</v>
      </c>
      <c r="H320" t="n">
        <v>0</v>
      </c>
      <c r="I320" t="n">
        <v>0</v>
      </c>
      <c r="J320" t="n">
        <v>0</v>
      </c>
      <c r="K320" t="n">
        <v>0</v>
      </c>
      <c r="L320" t="n">
        <v>0</v>
      </c>
      <c r="M320" t="n">
        <v>0</v>
      </c>
      <c r="N320" t="n">
        <v>0</v>
      </c>
      <c r="O320" t="n">
        <v>0</v>
      </c>
      <c r="P320" t="n">
        <v>0</v>
      </c>
      <c r="Q320" t="n">
        <v>0</v>
      </c>
      <c r="R320" s="2" t="inlineStr"/>
    </row>
    <row r="321" ht="15" customHeight="1">
      <c r="A321" t="inlineStr">
        <is>
          <t>A 19122-2021</t>
        </is>
      </c>
      <c r="B321" s="1" t="n">
        <v>44308</v>
      </c>
      <c r="C321" s="1" t="n">
        <v>45642</v>
      </c>
      <c r="D321" t="inlineStr">
        <is>
          <t>VÄSTERNORRLANDS LÄN</t>
        </is>
      </c>
      <c r="E321" t="inlineStr">
        <is>
          <t>KRAMFORS</t>
        </is>
      </c>
      <c r="G321" t="n">
        <v>2.7</v>
      </c>
      <c r="H321" t="n">
        <v>0</v>
      </c>
      <c r="I321" t="n">
        <v>0</v>
      </c>
      <c r="J321" t="n">
        <v>0</v>
      </c>
      <c r="K321" t="n">
        <v>0</v>
      </c>
      <c r="L321" t="n">
        <v>0</v>
      </c>
      <c r="M321" t="n">
        <v>0</v>
      </c>
      <c r="N321" t="n">
        <v>0</v>
      </c>
      <c r="O321" t="n">
        <v>0</v>
      </c>
      <c r="P321" t="n">
        <v>0</v>
      </c>
      <c r="Q321" t="n">
        <v>0</v>
      </c>
      <c r="R321" s="2" t="inlineStr"/>
    </row>
    <row r="322" ht="15" customHeight="1">
      <c r="A322" t="inlineStr">
        <is>
          <t>A 19128-2021</t>
        </is>
      </c>
      <c r="B322" s="1" t="n">
        <v>44308</v>
      </c>
      <c r="C322" s="1" t="n">
        <v>45642</v>
      </c>
      <c r="D322" t="inlineStr">
        <is>
          <t>VÄSTERNORRLANDS LÄN</t>
        </is>
      </c>
      <c r="E322" t="inlineStr">
        <is>
          <t>KRAMFORS</t>
        </is>
      </c>
      <c r="G322" t="n">
        <v>6.9</v>
      </c>
      <c r="H322" t="n">
        <v>0</v>
      </c>
      <c r="I322" t="n">
        <v>0</v>
      </c>
      <c r="J322" t="n">
        <v>0</v>
      </c>
      <c r="K322" t="n">
        <v>0</v>
      </c>
      <c r="L322" t="n">
        <v>0</v>
      </c>
      <c r="M322" t="n">
        <v>0</v>
      </c>
      <c r="N322" t="n">
        <v>0</v>
      </c>
      <c r="O322" t="n">
        <v>0</v>
      </c>
      <c r="P322" t="n">
        <v>0</v>
      </c>
      <c r="Q322" t="n">
        <v>0</v>
      </c>
      <c r="R322" s="2" t="inlineStr"/>
    </row>
    <row r="323" ht="15" customHeight="1">
      <c r="A323" t="inlineStr">
        <is>
          <t>A 19136-2021</t>
        </is>
      </c>
      <c r="B323" s="1" t="n">
        <v>44308</v>
      </c>
      <c r="C323" s="1" t="n">
        <v>45642</v>
      </c>
      <c r="D323" t="inlineStr">
        <is>
          <t>VÄSTERNORRLANDS LÄN</t>
        </is>
      </c>
      <c r="E323" t="inlineStr">
        <is>
          <t>KRAMFORS</t>
        </is>
      </c>
      <c r="G323" t="n">
        <v>4</v>
      </c>
      <c r="H323" t="n">
        <v>0</v>
      </c>
      <c r="I323" t="n">
        <v>0</v>
      </c>
      <c r="J323" t="n">
        <v>0</v>
      </c>
      <c r="K323" t="n">
        <v>0</v>
      </c>
      <c r="L323" t="n">
        <v>0</v>
      </c>
      <c r="M323" t="n">
        <v>0</v>
      </c>
      <c r="N323" t="n">
        <v>0</v>
      </c>
      <c r="O323" t="n">
        <v>0</v>
      </c>
      <c r="P323" t="n">
        <v>0</v>
      </c>
      <c r="Q323" t="n">
        <v>0</v>
      </c>
      <c r="R323" s="2" t="inlineStr"/>
    </row>
    <row r="324" ht="15" customHeight="1">
      <c r="A324" t="inlineStr">
        <is>
          <t>A 19418-2021</t>
        </is>
      </c>
      <c r="B324" s="1" t="n">
        <v>44309</v>
      </c>
      <c r="C324" s="1" t="n">
        <v>45642</v>
      </c>
      <c r="D324" t="inlineStr">
        <is>
          <t>VÄSTERNORRLANDS LÄN</t>
        </is>
      </c>
      <c r="E324" t="inlineStr">
        <is>
          <t>KRAMFORS</t>
        </is>
      </c>
      <c r="G324" t="n">
        <v>6.4</v>
      </c>
      <c r="H324" t="n">
        <v>0</v>
      </c>
      <c r="I324" t="n">
        <v>0</v>
      </c>
      <c r="J324" t="n">
        <v>0</v>
      </c>
      <c r="K324" t="n">
        <v>0</v>
      </c>
      <c r="L324" t="n">
        <v>0</v>
      </c>
      <c r="M324" t="n">
        <v>0</v>
      </c>
      <c r="N324" t="n">
        <v>0</v>
      </c>
      <c r="O324" t="n">
        <v>0</v>
      </c>
      <c r="P324" t="n">
        <v>0</v>
      </c>
      <c r="Q324" t="n">
        <v>0</v>
      </c>
      <c r="R324" s="2" t="inlineStr"/>
    </row>
    <row r="325" ht="15" customHeight="1">
      <c r="A325" t="inlineStr">
        <is>
          <t>A 19420-2021</t>
        </is>
      </c>
      <c r="B325" s="1" t="n">
        <v>44310</v>
      </c>
      <c r="C325" s="1" t="n">
        <v>45642</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19425-2021</t>
        </is>
      </c>
      <c r="B326" s="1" t="n">
        <v>44309</v>
      </c>
      <c r="C326" s="1" t="n">
        <v>45642</v>
      </c>
      <c r="D326" t="inlineStr">
        <is>
          <t>VÄSTERNORRLANDS LÄN</t>
        </is>
      </c>
      <c r="E326" t="inlineStr">
        <is>
          <t>KRAMFORS</t>
        </is>
      </c>
      <c r="G326" t="n">
        <v>2.3</v>
      </c>
      <c r="H326" t="n">
        <v>0</v>
      </c>
      <c r="I326" t="n">
        <v>0</v>
      </c>
      <c r="J326" t="n">
        <v>0</v>
      </c>
      <c r="K326" t="n">
        <v>0</v>
      </c>
      <c r="L326" t="n">
        <v>0</v>
      </c>
      <c r="M326" t="n">
        <v>0</v>
      </c>
      <c r="N326" t="n">
        <v>0</v>
      </c>
      <c r="O326" t="n">
        <v>0</v>
      </c>
      <c r="P326" t="n">
        <v>0</v>
      </c>
      <c r="Q326" t="n">
        <v>0</v>
      </c>
      <c r="R326" s="2" t="inlineStr"/>
    </row>
    <row r="327" ht="15" customHeight="1">
      <c r="A327" t="inlineStr">
        <is>
          <t>A 19438-2021</t>
        </is>
      </c>
      <c r="B327" s="1" t="n">
        <v>44310</v>
      </c>
      <c r="C327" s="1" t="n">
        <v>45642</v>
      </c>
      <c r="D327" t="inlineStr">
        <is>
          <t>VÄSTERNORRLANDS LÄN</t>
        </is>
      </c>
      <c r="E327" t="inlineStr">
        <is>
          <t>KRAMFORS</t>
        </is>
      </c>
      <c r="G327" t="n">
        <v>5</v>
      </c>
      <c r="H327" t="n">
        <v>0</v>
      </c>
      <c r="I327" t="n">
        <v>0</v>
      </c>
      <c r="J327" t="n">
        <v>0</v>
      </c>
      <c r="K327" t="n">
        <v>0</v>
      </c>
      <c r="L327" t="n">
        <v>0</v>
      </c>
      <c r="M327" t="n">
        <v>0</v>
      </c>
      <c r="N327" t="n">
        <v>0</v>
      </c>
      <c r="O327" t="n">
        <v>0</v>
      </c>
      <c r="P327" t="n">
        <v>0</v>
      </c>
      <c r="Q327" t="n">
        <v>0</v>
      </c>
      <c r="R327" s="2" t="inlineStr"/>
    </row>
    <row r="328" ht="15" customHeight="1">
      <c r="A328" t="inlineStr">
        <is>
          <t>A 19440-2021</t>
        </is>
      </c>
      <c r="B328" s="1" t="n">
        <v>44310</v>
      </c>
      <c r="C328" s="1" t="n">
        <v>45642</v>
      </c>
      <c r="D328" t="inlineStr">
        <is>
          <t>VÄSTERNORRLANDS LÄN</t>
        </is>
      </c>
      <c r="E328" t="inlineStr">
        <is>
          <t>KRAMFORS</t>
        </is>
      </c>
      <c r="G328" t="n">
        <v>10.3</v>
      </c>
      <c r="H328" t="n">
        <v>0</v>
      </c>
      <c r="I328" t="n">
        <v>0</v>
      </c>
      <c r="J328" t="n">
        <v>0</v>
      </c>
      <c r="K328" t="n">
        <v>0</v>
      </c>
      <c r="L328" t="n">
        <v>0</v>
      </c>
      <c r="M328" t="n">
        <v>0</v>
      </c>
      <c r="N328" t="n">
        <v>0</v>
      </c>
      <c r="O328" t="n">
        <v>0</v>
      </c>
      <c r="P328" t="n">
        <v>0</v>
      </c>
      <c r="Q328" t="n">
        <v>0</v>
      </c>
      <c r="R328" s="2" t="inlineStr"/>
    </row>
    <row r="329" ht="15" customHeight="1">
      <c r="A329" t="inlineStr">
        <is>
          <t>A 20296-2021</t>
        </is>
      </c>
      <c r="B329" s="1" t="n">
        <v>44314</v>
      </c>
      <c r="C329" s="1" t="n">
        <v>45642</v>
      </c>
      <c r="D329" t="inlineStr">
        <is>
          <t>VÄSTERNORRLANDS LÄN</t>
        </is>
      </c>
      <c r="E329" t="inlineStr">
        <is>
          <t>KRAMFORS</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20541-2021</t>
        </is>
      </c>
      <c r="B330" s="1" t="n">
        <v>44316</v>
      </c>
      <c r="C330" s="1" t="n">
        <v>45642</v>
      </c>
      <c r="D330" t="inlineStr">
        <is>
          <t>VÄSTERNORRLANDS LÄN</t>
        </is>
      </c>
      <c r="E330" t="inlineStr">
        <is>
          <t>KRAMFORS</t>
        </is>
      </c>
      <c r="F330" t="inlineStr">
        <is>
          <t>SCA</t>
        </is>
      </c>
      <c r="G330" t="n">
        <v>9.9</v>
      </c>
      <c r="H330" t="n">
        <v>0</v>
      </c>
      <c r="I330" t="n">
        <v>0</v>
      </c>
      <c r="J330" t="n">
        <v>0</v>
      </c>
      <c r="K330" t="n">
        <v>0</v>
      </c>
      <c r="L330" t="n">
        <v>0</v>
      </c>
      <c r="M330" t="n">
        <v>0</v>
      </c>
      <c r="N330" t="n">
        <v>0</v>
      </c>
      <c r="O330" t="n">
        <v>0</v>
      </c>
      <c r="P330" t="n">
        <v>0</v>
      </c>
      <c r="Q330" t="n">
        <v>0</v>
      </c>
      <c r="R330" s="2" t="inlineStr"/>
    </row>
    <row r="331" ht="15" customHeight="1">
      <c r="A331" t="inlineStr">
        <is>
          <t>A 20545-2021</t>
        </is>
      </c>
      <c r="B331" s="1" t="n">
        <v>44315</v>
      </c>
      <c r="C331" s="1" t="n">
        <v>45642</v>
      </c>
      <c r="D331" t="inlineStr">
        <is>
          <t>VÄSTERNORRLANDS LÄN</t>
        </is>
      </c>
      <c r="E331" t="inlineStr">
        <is>
          <t>KRAMFORS</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20546-2021</t>
        </is>
      </c>
      <c r="B332" s="1" t="n">
        <v>44316</v>
      </c>
      <c r="C332" s="1" t="n">
        <v>45642</v>
      </c>
      <c r="D332" t="inlineStr">
        <is>
          <t>VÄSTERNORRLANDS LÄN</t>
        </is>
      </c>
      <c r="E332" t="inlineStr">
        <is>
          <t>KRAMFORS</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20543-2021</t>
        </is>
      </c>
      <c r="B333" s="1" t="n">
        <v>44315</v>
      </c>
      <c r="C333" s="1" t="n">
        <v>45642</v>
      </c>
      <c r="D333" t="inlineStr">
        <is>
          <t>VÄSTERNORRLANDS LÄN</t>
        </is>
      </c>
      <c r="E333" t="inlineStr">
        <is>
          <t>KRAMFORS</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20542-2021</t>
        </is>
      </c>
      <c r="B334" s="1" t="n">
        <v>44316</v>
      </c>
      <c r="C334" s="1" t="n">
        <v>45642</v>
      </c>
      <c r="D334" t="inlineStr">
        <is>
          <t>VÄSTERNORRLANDS LÄN</t>
        </is>
      </c>
      <c r="E334" t="inlineStr">
        <is>
          <t>KRAMFORS</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20540-2021</t>
        </is>
      </c>
      <c r="B335" s="1" t="n">
        <v>44316</v>
      </c>
      <c r="C335" s="1" t="n">
        <v>45642</v>
      </c>
      <c r="D335" t="inlineStr">
        <is>
          <t>VÄSTERNORRLANDS LÄN</t>
        </is>
      </c>
      <c r="E335" t="inlineStr">
        <is>
          <t>KRAMFORS</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20544-2021</t>
        </is>
      </c>
      <c r="B336" s="1" t="n">
        <v>44316</v>
      </c>
      <c r="C336" s="1" t="n">
        <v>45642</v>
      </c>
      <c r="D336" t="inlineStr">
        <is>
          <t>VÄSTERNORRLANDS LÄN</t>
        </is>
      </c>
      <c r="E336" t="inlineStr">
        <is>
          <t>KRAMFORS</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20554-2021</t>
        </is>
      </c>
      <c r="B337" s="1" t="n">
        <v>44315</v>
      </c>
      <c r="C337" s="1" t="n">
        <v>45642</v>
      </c>
      <c r="D337" t="inlineStr">
        <is>
          <t>VÄSTERNORRLANDS LÄN</t>
        </is>
      </c>
      <c r="E337" t="inlineStr">
        <is>
          <t>KRAMFORS</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45642</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45642</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45642</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45642</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45642</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45642</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45642</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45642</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45642</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45642</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45642</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45642</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45642</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45642</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45642</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45642</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45642</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45642</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45642</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45642</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45642</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45642</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45642</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45642</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45642</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45642</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45642</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45642</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45642</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45642</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45642</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45642</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45642</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45642</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45642</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45642</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45642</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45642</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45642</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45642</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45642</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45642</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45642</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45642</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45642</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45642</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45642</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45642</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45642</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45642</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45642</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45642</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45642</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45642</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45642</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45642</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45642</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45642</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45642</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45642</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45642</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45642</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45642</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45642</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45642</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45642</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45642</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45642</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45642</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45642</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45642</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45642</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45642</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45642</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45642</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45642</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45642</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45642</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45642</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45642</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45642</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45642</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45642</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45642</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45642</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45642</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45642</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45642</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45642</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45642</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45642</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45642</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45642</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45642</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45642</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45642</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45642</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45642</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45642</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45642</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45642</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45642</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45642</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45642</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45642</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45642</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45642</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45642</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45642</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45642</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45642</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45642</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45642</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45642</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45642</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45642</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45642</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45642</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45642</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45642</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45642</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45642</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45642</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45642</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45642</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45642</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45642</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45642</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45642</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45642</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45642</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45642</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45642</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45642</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45642</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45642</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45642</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45642</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45642</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45642</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45642</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45642</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45642</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45642</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45642</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45642</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45642</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45642</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45642</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45642</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45642</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45642</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45642</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45642</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45642</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45642</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45642</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45642</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45642</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45642</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45642</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45642</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45642</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45642</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45642</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45642</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45642</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45642</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45642</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45642</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45642</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45642</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45642</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45642</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45642</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45642</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45642</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45642</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45642</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45642</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45642</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45642</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45642</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45642</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45642</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45642</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45642</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45642</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45642</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45642</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45642</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45642</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45642</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45642</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45642</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45642</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45642</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45642</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45642</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45642</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45642</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45642</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45642</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45642</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45642</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45642</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45642</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45642</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45642</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45642</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45642</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45642</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45642</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45642</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45642</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45642</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45642</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45642</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45642</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45642</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45642</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45642</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45642</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45642</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45642</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45642</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45642</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45642</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45642</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45642</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45642</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45642</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45642</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45642</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45642</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45642</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45642</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45642</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45642</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45642</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45642</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45642</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45642</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45642</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45642</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45642</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45642</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45642</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45642</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45642</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45642</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45642</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45642</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45642</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45642</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45642</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45642</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45642</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45642</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45642</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45642</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45642</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45642</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45642</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45642</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45642</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45642</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45642</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45642</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45642</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45642</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45642</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45642</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45642</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45642</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45642</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45642</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45642</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45642</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45642</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45642</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45642</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45642</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45642</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45642</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45642</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45642</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45642</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45642</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45642</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45642</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45642</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45642</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45642</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45642</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45642</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45642</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45642</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45642</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45642</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45642</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45642</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45642</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45642</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45642</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45642</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45642</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45642</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45642</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45642</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45642</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45642</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45642</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45642</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45642</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45642</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45642</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45642</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45642</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45642</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45642</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45642</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45642</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45642</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45642</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45642</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45642</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45642</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45642</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45642</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45642</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45642</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45642</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45642</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45642</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45642</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45642</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45642</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45642</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45642</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45642</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45642</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45642</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45642</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45642</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45642</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45642</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45642</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45642</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45642</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45642</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45642</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45642</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45642</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45642</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45642</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45642</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45642</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45642</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45642</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45642</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45642</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45642</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45642</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45642</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45642</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45642</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45642</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45642</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45642</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45642</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45642</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45642</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45642</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45642</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45642</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45642</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45642</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45642</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45642</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45642</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45642</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45642</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45642</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45642</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45642</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45642</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45642</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45642</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45642</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45642</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45642</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45642</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45642</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45642</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45642</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45642</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45642</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45642</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45642</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45642</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45642</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45642</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45642</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45642</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45642</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45642</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45642</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45642</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45642</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45642</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45642</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45642</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45642</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45642</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45642</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45642</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45642</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45642</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45642</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45642</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45642</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45642</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45642</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45642</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45642</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45642</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45642</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45642</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45642</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45642</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45642</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45642</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45642</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45642</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45642</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45642</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45642</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45642</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45642</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45642</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45642</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45642</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45642</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45642</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45642</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45642</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45642</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45642</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45642</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45642</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45642</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45642</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45642</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45642</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45642</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45642</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45642</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45642</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45642</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45642</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45642</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45642</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45642</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45642</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45642</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45642</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45642</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45642</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45642</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45642</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45642</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45642</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45642</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45642</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45642</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45642</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45642</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45642</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45642</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45642</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45642</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45642</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45642</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45642</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45642</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45642</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45642</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45642</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45642</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45642</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45642</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45642</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45642</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45642</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45642</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45642</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45642</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45642</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45642</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45642</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45642</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45642</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45642</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45642</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45642</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45642</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45642</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45642</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45642</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45642</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45642</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45642</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45642</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45642</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45642</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45642</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45642</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45642</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45642</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45642</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45642</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45642</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45642</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45642</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45642</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45642</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45642</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45642</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45642</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45642</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45642</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45642</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45642</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45642</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45642</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45642</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45642</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45642</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45642</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45642</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45642</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45642</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45642</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45642</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45642</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45642</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45642</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45642</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45642</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45642</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45642</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45642</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45642</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45642</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45642</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45642</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45642</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45642</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c r="U896">
        <f>HYPERLINK("https://klasma.github.io/Logging_2282/knärot/A 50290-2023 karta knärot.png", "A 50290-2023")</f>
        <v/>
      </c>
      <c r="V896">
        <f>HYPERLINK("https://klasma.github.io/Logging_2282/klagomål/A 50290-2023 FSC-klagomål.docx", "A 50290-2023")</f>
        <v/>
      </c>
      <c r="W896">
        <f>HYPERLINK("https://klasma.github.io/Logging_2282/klagomålsmail/A 50290-2023 FSC-klagomål mail.docx", "A 50290-2023")</f>
        <v/>
      </c>
      <c r="X896">
        <f>HYPERLINK("https://klasma.github.io/Logging_2282/tillsyn/A 50290-2023 tillsynsbegäran.docx", "A 50290-2023")</f>
        <v/>
      </c>
      <c r="Y896">
        <f>HYPERLINK("https://klasma.github.io/Logging_2282/tillsynsmail/A 50290-2023 tillsynsbegäran mail.docx", "A 50290-2023")</f>
        <v/>
      </c>
    </row>
    <row r="897" ht="15" customHeight="1">
      <c r="A897" t="inlineStr">
        <is>
          <t>A 50496-2023</t>
        </is>
      </c>
      <c r="B897" s="1" t="n">
        <v>45216</v>
      </c>
      <c r="C897" s="1" t="n">
        <v>45642</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45642</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45642</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45642</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45642</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45642</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45642</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45642</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45642</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45642</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45642</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45642</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45642</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45642</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45642</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45642</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45642</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45642</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45642</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45642</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45642</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45642</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45642</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45642</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45642</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45642</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45642</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45642</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45642</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45642</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45642</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45642</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45642</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45642</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45642</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45642</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45642</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45642</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45642</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45642</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45642</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45642</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45642</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45642</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45642</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45642</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45642</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45642</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45642</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45642</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45642</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45642</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45642</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45642</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45642</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45642</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45642</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45642</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45642</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45642</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45642</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45642</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45642</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45642</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45642</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45642</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45642</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45642</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45642</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45642</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45642</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45642</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45642</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45642</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45642</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45642</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45642</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45642</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45642</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45642</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45642</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45642</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45642</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45642</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45642</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45642</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45642</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45642</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45642</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45642</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45642</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45642</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45642</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45642</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45642</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45642</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45642</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45642</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45642</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45642</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45642</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45642</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45642</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45642</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45642</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45642</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45642</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45642</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45642</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45642</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45642</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45642</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45642</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45642</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45642</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45642</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45642</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45642</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45642</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45642</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45642</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45642</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45642</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45642</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45642</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45642</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45642</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45642</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45642</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45642</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45642</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45642</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45642</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45642</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45642</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45642</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45642</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45642</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45642</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45642</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45642</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45642</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45642</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45642</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45642</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45642</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45642</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45642</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45642</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45642</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45642</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45642</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45642</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45642</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45642</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45642</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45642</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45642</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45642</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45642</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45642</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45642</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45642</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45642</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45642</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45642</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45642</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45642</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45642</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45642</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45642</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45642</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45642</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45642</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45642</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45642</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45642</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45642</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45642</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45642</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45642</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45642</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45642</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45642</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45642</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45642</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45642</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45642</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45642</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45642</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45642</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45642</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45642</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45642</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45642</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45642</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45642</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45642</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45642</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45642</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45642</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45642</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45642</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45642</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45642</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45642</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45642</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45642</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45642</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45642</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45642</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45642</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45642</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45642</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45642</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45642</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45642</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45642</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45642</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45642</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45642</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45642</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45642</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45642</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45642</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45642</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45642</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45642</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45642</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45642</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45642</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45642</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45642</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45642</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45642</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45642</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45642</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45642</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45642</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45642</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45642</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45642</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45642</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45642</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45642</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45642</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45642</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45642</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45642</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45642</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45642</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45642</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45642</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45642</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45642</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45642</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45642</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45642</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45642</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45642</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45642</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45642</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45642</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45642</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45642</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45642</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45642</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45642</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45642</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45642</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45642</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45642</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45642</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45642</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45642</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45642</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45642</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45642</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45642</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45642</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45642</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45642</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45642</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45642</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45642</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45642</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45642</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45642</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45642</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45642</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45642</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45642</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45642</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45642</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45642</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45642</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45642</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45642</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45642</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45642</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45642</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45642</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45642</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45642</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45642</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45642</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45642</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45642</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45642</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45642</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45642</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45642</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45642</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45642</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45642</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45642</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45642</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45642</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45642</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45642</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45642</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45642</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45642</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45642</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45642</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45642</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45642</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45642</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45642</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45642</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45642</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45642</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45642</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45642</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45642</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45642</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45642</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45642</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45642</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45642</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45642</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45642</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45642</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45642</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45642</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45642</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45642</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45642</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45642</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45642</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45642</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45642</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45642</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45642</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45642</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45642</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45642</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45642</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45642</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45642</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45642</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45642</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45642</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45642</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45642</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45642</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45642</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45642</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45642</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45642</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45642</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51844-2024</t>
        </is>
      </c>
      <c r="B1268" s="1" t="n">
        <v>45607</v>
      </c>
      <c r="C1268" s="1" t="n">
        <v>45642</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45642</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51846-2024</t>
        </is>
      </c>
      <c r="B1270" s="1" t="n">
        <v>45607</v>
      </c>
      <c r="C1270" s="1" t="n">
        <v>45642</v>
      </c>
      <c r="D1270" t="inlineStr">
        <is>
          <t>VÄSTERNORRLANDS LÄN</t>
        </is>
      </c>
      <c r="E1270" t="inlineStr">
        <is>
          <t>KRAMFORS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45642</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45642</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45642</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45642</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53558-2024</t>
        </is>
      </c>
      <c r="B1275" s="1" t="n">
        <v>45614</v>
      </c>
      <c r="C1275" s="1" t="n">
        <v>45642</v>
      </c>
      <c r="D1275" t="inlineStr">
        <is>
          <t>VÄSTERNORRLANDS LÄN</t>
        </is>
      </c>
      <c r="E1275" t="inlineStr">
        <is>
          <t>KRAMFORS</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53575-2024</t>
        </is>
      </c>
      <c r="B1276" s="1" t="n">
        <v>45614</v>
      </c>
      <c r="C1276" s="1" t="n">
        <v>45642</v>
      </c>
      <c r="D1276" t="inlineStr">
        <is>
          <t>VÄSTERNORRLANDS LÄN</t>
        </is>
      </c>
      <c r="E1276" t="inlineStr">
        <is>
          <t>KRAMFORS</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53668-2024</t>
        </is>
      </c>
      <c r="B1277" s="1" t="n">
        <v>45615</v>
      </c>
      <c r="C1277" s="1" t="n">
        <v>45642</v>
      </c>
      <c r="D1277" t="inlineStr">
        <is>
          <t>VÄSTERNORRLANDS LÄN</t>
        </is>
      </c>
      <c r="E1277" t="inlineStr">
        <is>
          <t>KRAMFORS</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53728-2024</t>
        </is>
      </c>
      <c r="B1278" s="1" t="n">
        <v>45615</v>
      </c>
      <c r="C1278" s="1" t="n">
        <v>45642</v>
      </c>
      <c r="D1278" t="inlineStr">
        <is>
          <t>VÄSTERNORRLANDS LÄN</t>
        </is>
      </c>
      <c r="E1278" t="inlineStr">
        <is>
          <t>KRAMFORS</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53684-2024</t>
        </is>
      </c>
      <c r="B1279" s="1" t="n">
        <v>45615</v>
      </c>
      <c r="C1279" s="1" t="n">
        <v>45642</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54045-2024</t>
        </is>
      </c>
      <c r="B1280" s="1" t="n">
        <v>45616</v>
      </c>
      <c r="C1280" s="1" t="n">
        <v>45642</v>
      </c>
      <c r="D1280" t="inlineStr">
        <is>
          <t>VÄSTERNORRLANDS LÄN</t>
        </is>
      </c>
      <c r="E1280" t="inlineStr">
        <is>
          <t>KRAMFORS</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54148-2024</t>
        </is>
      </c>
      <c r="B1281" s="1" t="n">
        <v>45616</v>
      </c>
      <c r="C1281" s="1" t="n">
        <v>45642</v>
      </c>
      <c r="D1281" t="inlineStr">
        <is>
          <t>VÄSTERNORRLANDS LÄN</t>
        </is>
      </c>
      <c r="E1281" t="inlineStr">
        <is>
          <t>KRAMFORS</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54379-2024</t>
        </is>
      </c>
      <c r="B1282" s="1" t="n">
        <v>45617</v>
      </c>
      <c r="C1282" s="1" t="n">
        <v>45642</v>
      </c>
      <c r="D1282" t="inlineStr">
        <is>
          <t>VÄSTERNORRLANDS LÄN</t>
        </is>
      </c>
      <c r="E1282" t="inlineStr">
        <is>
          <t>KRAMFORS</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54362-2024</t>
        </is>
      </c>
      <c r="B1283" s="1" t="n">
        <v>45617</v>
      </c>
      <c r="C1283" s="1" t="n">
        <v>45642</v>
      </c>
      <c r="D1283" t="inlineStr">
        <is>
          <t>VÄSTERNORRLANDS LÄN</t>
        </is>
      </c>
      <c r="E1283" t="inlineStr">
        <is>
          <t>KRAMFORS</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54378-2024</t>
        </is>
      </c>
      <c r="B1284" s="1" t="n">
        <v>45617</v>
      </c>
      <c r="C1284" s="1" t="n">
        <v>45642</v>
      </c>
      <c r="D1284" t="inlineStr">
        <is>
          <t>VÄSTERNORRLANDS LÄN</t>
        </is>
      </c>
      <c r="E1284" t="inlineStr">
        <is>
          <t>KRAMFORS</t>
        </is>
      </c>
      <c r="G1284" t="n">
        <v>20.5</v>
      </c>
      <c r="H1284" t="n">
        <v>0</v>
      </c>
      <c r="I1284" t="n">
        <v>0</v>
      </c>
      <c r="J1284" t="n">
        <v>0</v>
      </c>
      <c r="K1284" t="n">
        <v>0</v>
      </c>
      <c r="L1284" t="n">
        <v>0</v>
      </c>
      <c r="M1284" t="n">
        <v>0</v>
      </c>
      <c r="N1284" t="n">
        <v>0</v>
      </c>
      <c r="O1284" t="n">
        <v>0</v>
      </c>
      <c r="P1284" t="n">
        <v>0</v>
      </c>
      <c r="Q1284" t="n">
        <v>0</v>
      </c>
      <c r="R1284" s="2" t="inlineStr"/>
    </row>
    <row r="1285" ht="15" customHeight="1">
      <c r="A1285" t="inlineStr">
        <is>
          <t>A 54361-2024</t>
        </is>
      </c>
      <c r="B1285" s="1" t="n">
        <v>45617</v>
      </c>
      <c r="C1285" s="1" t="n">
        <v>45642</v>
      </c>
      <c r="D1285" t="inlineStr">
        <is>
          <t>VÄSTERNORRLANDS LÄN</t>
        </is>
      </c>
      <c r="E1285" t="inlineStr">
        <is>
          <t>KRAMFORS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54360-2024</t>
        </is>
      </c>
      <c r="B1286" s="1" t="n">
        <v>45617</v>
      </c>
      <c r="C1286" s="1" t="n">
        <v>45642</v>
      </c>
      <c r="D1286" t="inlineStr">
        <is>
          <t>VÄSTERNORRLANDS LÄN</t>
        </is>
      </c>
      <c r="E1286" t="inlineStr">
        <is>
          <t>KRAMFORS</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54388-2024</t>
        </is>
      </c>
      <c r="B1287" s="1" t="n">
        <v>45617</v>
      </c>
      <c r="C1287" s="1" t="n">
        <v>45642</v>
      </c>
      <c r="D1287" t="inlineStr">
        <is>
          <t>VÄSTERNORRLANDS LÄN</t>
        </is>
      </c>
      <c r="E1287" t="inlineStr">
        <is>
          <t>KRAMFORS</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54737-2024</t>
        </is>
      </c>
      <c r="B1288" s="1" t="n">
        <v>45618</v>
      </c>
      <c r="C1288" s="1" t="n">
        <v>45642</v>
      </c>
      <c r="D1288" t="inlineStr">
        <is>
          <t>VÄSTERNORRLANDS LÄN</t>
        </is>
      </c>
      <c r="E1288" t="inlineStr">
        <is>
          <t>KRAMFORS</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54741-2024</t>
        </is>
      </c>
      <c r="B1289" s="1" t="n">
        <v>45618</v>
      </c>
      <c r="C1289" s="1" t="n">
        <v>45642</v>
      </c>
      <c r="D1289" t="inlineStr">
        <is>
          <t>VÄSTERNORRLANDS LÄN</t>
        </is>
      </c>
      <c r="E1289" t="inlineStr">
        <is>
          <t>KRAMFORS</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54672-2024</t>
        </is>
      </c>
      <c r="B1290" s="1" t="n">
        <v>45618</v>
      </c>
      <c r="C1290" s="1" t="n">
        <v>45642</v>
      </c>
      <c r="D1290" t="inlineStr">
        <is>
          <t>VÄSTERNORRLANDS LÄN</t>
        </is>
      </c>
      <c r="E1290" t="inlineStr">
        <is>
          <t>KRAMFORS</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45642</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55789-2024</t>
        </is>
      </c>
      <c r="B1292" s="1" t="n">
        <v>45623</v>
      </c>
      <c r="C1292" s="1" t="n">
        <v>45642</v>
      </c>
      <c r="D1292" t="inlineStr">
        <is>
          <t>VÄSTERNORRLANDS LÄN</t>
        </is>
      </c>
      <c r="E1292" t="inlineStr">
        <is>
          <t>KRAMFORS</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55760-2024</t>
        </is>
      </c>
      <c r="B1293" s="1" t="n">
        <v>45623</v>
      </c>
      <c r="C1293" s="1" t="n">
        <v>45642</v>
      </c>
      <c r="D1293" t="inlineStr">
        <is>
          <t>VÄSTERNORRLANDS LÄN</t>
        </is>
      </c>
      <c r="E1293" t="inlineStr">
        <is>
          <t>KRAMFORS</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45642</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55923-2024</t>
        </is>
      </c>
      <c r="B1295" s="1" t="n">
        <v>45623</v>
      </c>
      <c r="C1295" s="1" t="n">
        <v>45642</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55820-2024</t>
        </is>
      </c>
      <c r="B1296" s="1" t="n">
        <v>45623</v>
      </c>
      <c r="C1296" s="1" t="n">
        <v>45642</v>
      </c>
      <c r="D1296" t="inlineStr">
        <is>
          <t>VÄSTERNORRLANDS LÄN</t>
        </is>
      </c>
      <c r="E1296" t="inlineStr">
        <is>
          <t>KRAMFORS</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45642</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57330-2024</t>
        </is>
      </c>
      <c r="B1298" s="1" t="n">
        <v>45629</v>
      </c>
      <c r="C1298" s="1" t="n">
        <v>45642</v>
      </c>
      <c r="D1298" t="inlineStr">
        <is>
          <t>VÄSTERNORRLANDS LÄN</t>
        </is>
      </c>
      <c r="E1298" t="inlineStr">
        <is>
          <t>KRAMFORS</t>
        </is>
      </c>
      <c r="G1298" t="n">
        <v>15.8</v>
      </c>
      <c r="H1298" t="n">
        <v>0</v>
      </c>
      <c r="I1298" t="n">
        <v>0</v>
      </c>
      <c r="J1298" t="n">
        <v>0</v>
      </c>
      <c r="K1298" t="n">
        <v>0</v>
      </c>
      <c r="L1298" t="n">
        <v>0</v>
      </c>
      <c r="M1298" t="n">
        <v>0</v>
      </c>
      <c r="N1298" t="n">
        <v>0</v>
      </c>
      <c r="O1298" t="n">
        <v>0</v>
      </c>
      <c r="P1298" t="n">
        <v>0</v>
      </c>
      <c r="Q1298" t="n">
        <v>0</v>
      </c>
      <c r="R1298" s="2" t="inlineStr"/>
    </row>
    <row r="1299" ht="15" customHeight="1">
      <c r="A1299" t="inlineStr">
        <is>
          <t>A 58521-2024</t>
        </is>
      </c>
      <c r="B1299" s="1" t="n">
        <v>45629</v>
      </c>
      <c r="C1299" s="1" t="n">
        <v>45642</v>
      </c>
      <c r="D1299" t="inlineStr">
        <is>
          <t>VÄSTERNORRLANDS LÄN</t>
        </is>
      </c>
      <c r="E1299" t="inlineStr">
        <is>
          <t>KRAMFORS</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58075-2024</t>
        </is>
      </c>
      <c r="B1300" s="1" t="n">
        <v>45632</v>
      </c>
      <c r="C1300" s="1" t="n">
        <v>45642</v>
      </c>
      <c r="D1300" t="inlineStr">
        <is>
          <t>VÄSTERNORRLANDS LÄN</t>
        </is>
      </c>
      <c r="E1300" t="inlineStr">
        <is>
          <t>KRAMFORS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58276-2024</t>
        </is>
      </c>
      <c r="B1301" s="1" t="n">
        <v>45632</v>
      </c>
      <c r="C1301" s="1" t="n">
        <v>45642</v>
      </c>
      <c r="D1301" t="inlineStr">
        <is>
          <t>VÄSTERNORRLANDS LÄN</t>
        </is>
      </c>
      <c r="E1301" t="inlineStr">
        <is>
          <t>KRAMFORS</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58277-2024</t>
        </is>
      </c>
      <c r="B1302" s="1" t="n">
        <v>45632</v>
      </c>
      <c r="C1302" s="1" t="n">
        <v>45642</v>
      </c>
      <c r="D1302" t="inlineStr">
        <is>
          <t>VÄSTERNORRLANDS LÄN</t>
        </is>
      </c>
      <c r="E1302" t="inlineStr">
        <is>
          <t>KRAMFORS</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58806-2024</t>
        </is>
      </c>
      <c r="B1303" s="1" t="n">
        <v>45636</v>
      </c>
      <c r="C1303" s="1" t="n">
        <v>45642</v>
      </c>
      <c r="D1303" t="inlineStr">
        <is>
          <t>VÄSTERNORRLANDS LÄN</t>
        </is>
      </c>
      <c r="E1303" t="inlineStr">
        <is>
          <t>KRAMFORS</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58811-2024</t>
        </is>
      </c>
      <c r="B1304" s="1" t="n">
        <v>45636</v>
      </c>
      <c r="C1304" s="1" t="n">
        <v>45642</v>
      </c>
      <c r="D1304" t="inlineStr">
        <is>
          <t>VÄSTERNORRLANDS LÄN</t>
        </is>
      </c>
      <c r="E1304" t="inlineStr">
        <is>
          <t>KRAMFORS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45642</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45642</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58966-2024</t>
        </is>
      </c>
      <c r="B1307" s="1" t="n">
        <v>45636</v>
      </c>
      <c r="C1307" s="1" t="n">
        <v>45642</v>
      </c>
      <c r="D1307" t="inlineStr">
        <is>
          <t>VÄSTERNORRLANDS LÄN</t>
        </is>
      </c>
      <c r="E1307" t="inlineStr">
        <is>
          <t>KRAMFORS</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58958-2024</t>
        </is>
      </c>
      <c r="B1308" s="1" t="n">
        <v>45636</v>
      </c>
      <c r="C1308" s="1" t="n">
        <v>45642</v>
      </c>
      <c r="D1308" t="inlineStr">
        <is>
          <t>VÄSTERNORRLANDS LÄN</t>
        </is>
      </c>
      <c r="E1308" t="inlineStr">
        <is>
          <t>KRAMFORS</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58963-2024</t>
        </is>
      </c>
      <c r="B1309" s="1" t="n">
        <v>45636</v>
      </c>
      <c r="C1309" s="1" t="n">
        <v>45642</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45642</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58965-2024</t>
        </is>
      </c>
      <c r="B1311" s="1" t="n">
        <v>45636</v>
      </c>
      <c r="C1311" s="1" t="n">
        <v>45642</v>
      </c>
      <c r="D1311" t="inlineStr">
        <is>
          <t>VÄSTERNORRLANDS LÄN</t>
        </is>
      </c>
      <c r="E1311" t="inlineStr">
        <is>
          <t>KRAMFORS</t>
        </is>
      </c>
      <c r="G1311" t="n">
        <v>11.7</v>
      </c>
      <c r="H1311" t="n">
        <v>0</v>
      </c>
      <c r="I1311" t="n">
        <v>0</v>
      </c>
      <c r="J1311" t="n">
        <v>0</v>
      </c>
      <c r="K1311" t="n">
        <v>0</v>
      </c>
      <c r="L1311" t="n">
        <v>0</v>
      </c>
      <c r="M1311" t="n">
        <v>0</v>
      </c>
      <c r="N1311" t="n">
        <v>0</v>
      </c>
      <c r="O1311" t="n">
        <v>0</v>
      </c>
      <c r="P1311" t="n">
        <v>0</v>
      </c>
      <c r="Q1311" t="n">
        <v>0</v>
      </c>
      <c r="R1311" s="2" t="inlineStr"/>
    </row>
    <row r="1312" ht="15" customHeight="1">
      <c r="A1312" t="inlineStr">
        <is>
          <t>A 59065-2024</t>
        </is>
      </c>
      <c r="B1312" s="1" t="n">
        <v>45636</v>
      </c>
      <c r="C1312" s="1" t="n">
        <v>45642</v>
      </c>
      <c r="D1312" t="inlineStr">
        <is>
          <t>VÄSTERNORRLANDS LÄN</t>
        </is>
      </c>
      <c r="E1312" t="inlineStr">
        <is>
          <t>KRAMFORS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59115-2024</t>
        </is>
      </c>
      <c r="B1313" s="1" t="n">
        <v>45637</v>
      </c>
      <c r="C1313" s="1" t="n">
        <v>45642</v>
      </c>
      <c r="D1313" t="inlineStr">
        <is>
          <t>VÄSTERNORRLANDS LÄN</t>
        </is>
      </c>
      <c r="E1313" t="inlineStr">
        <is>
          <t>KRAMFORS</t>
        </is>
      </c>
      <c r="G1313" t="n">
        <v>1.5</v>
      </c>
      <c r="H1313" t="n">
        <v>0</v>
      </c>
      <c r="I1313" t="n">
        <v>0</v>
      </c>
      <c r="J1313" t="n">
        <v>0</v>
      </c>
      <c r="K1313" t="n">
        <v>0</v>
      </c>
      <c r="L1313" t="n">
        <v>0</v>
      </c>
      <c r="M1313" t="n">
        <v>0</v>
      </c>
      <c r="N1313" t="n">
        <v>0</v>
      </c>
      <c r="O1313" t="n">
        <v>0</v>
      </c>
      <c r="P1313" t="n">
        <v>0</v>
      </c>
      <c r="Q1313" t="n">
        <v>0</v>
      </c>
      <c r="R1313" s="2" t="inlineStr"/>
    </row>
    <row r="1314">
      <c r="A1314" t="inlineStr">
        <is>
          <t>A 59378-2024</t>
        </is>
      </c>
      <c r="B1314" s="1" t="n">
        <v>45638</v>
      </c>
      <c r="C1314" s="1" t="n">
        <v>45642</v>
      </c>
      <c r="D1314" t="inlineStr">
        <is>
          <t>VÄSTERNORRLANDS LÄN</t>
        </is>
      </c>
      <c r="E1314" t="inlineStr">
        <is>
          <t>KRAMFORS</t>
        </is>
      </c>
      <c r="G1314" t="n">
        <v>7.1</v>
      </c>
      <c r="H1314" t="n">
        <v>0</v>
      </c>
      <c r="I1314" t="n">
        <v>0</v>
      </c>
      <c r="J1314" t="n">
        <v>0</v>
      </c>
      <c r="K1314" t="n">
        <v>0</v>
      </c>
      <c r="L1314" t="n">
        <v>0</v>
      </c>
      <c r="M1314" t="n">
        <v>0</v>
      </c>
      <c r="N1314" t="n">
        <v>0</v>
      </c>
      <c r="O1314" t="n">
        <v>0</v>
      </c>
      <c r="P1314" t="n">
        <v>0</v>
      </c>
      <c r="Q1314" t="n">
        <v>0</v>
      </c>
      <c r="R1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2024-12-16T15:08:50Z</dcterms:created>
  <dcterms:modified xmlns:dcterms="http://purl.org/dc/terms/" xmlns:xsi="http://www.w3.org/2001/XMLSchema-instance" xsi:type="dcterms:W3CDTF">2024-12-16T15:08:51Z</dcterms:modified>
</cp:coreProperties>
</file>