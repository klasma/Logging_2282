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45749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45749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45749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45749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45749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45749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45749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45749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45749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45749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45749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45749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45749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45749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45749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45749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45749</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45749</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45749</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45749</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45749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45749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45749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45749</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45749</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45749</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45749</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45749</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45749</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45749</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45749</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45749</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45749</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45749</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45749</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45749</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45749</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45749</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45749</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45749</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45749</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45749</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45749</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45749</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45749</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45749</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45749</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45749</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45749</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45749</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45749</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45749</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45749</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45749</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45749</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45749</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45749</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45749</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45749</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45749</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45749</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45749</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45749</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HYPERLINK("https://klasma.github.io/Logging_222282/artfynd/A 12120-2025 artfynd.xlsx", "A 12120-2025")</f>
        <v/>
      </c>
      <c r="T64">
        <f>HYPERLINK("https://klasma.github.io/Logging_222282/kartor/A 12120-2025 karta.png", "A 12120-2025")</f>
        <v/>
      </c>
      <c r="V64">
        <f>HYPERLINK("https://klasma.github.io/Logging_222282/klagomål/A 12120-2025 FSC-klagomål.docx", "A 12120-2025")</f>
        <v/>
      </c>
      <c r="W64">
        <f>HYPERLINK("https://klasma.github.io/Logging_222282/klagomålsmail/A 12120-2025 FSC-klagomål mail.docx", "A 12120-2025")</f>
        <v/>
      </c>
      <c r="X64">
        <f>HYPERLINK("https://klasma.github.io/Logging_222282/tillsyn/A 12120-2025 tillsynsbegäran.docx", "A 12120-2025")</f>
        <v/>
      </c>
      <c r="Y64">
        <f>HYPERLINK("https://klasma.github.io/Logging_222282/tillsynsmail/A 12120-2025 tillsynsbegäran mail.docx", "A 12120-2025")</f>
        <v/>
      </c>
    </row>
    <row r="65" ht="15" customHeight="1">
      <c r="A65" t="inlineStr">
        <is>
          <t>A 16648-2020</t>
        </is>
      </c>
      <c r="B65" s="1" t="n">
        <v>43920</v>
      </c>
      <c r="C65" s="1" t="n">
        <v>45749</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45749</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45749</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45749</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45749</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45749</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45749</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45749</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45749</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45749</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45749</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45749</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45749</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45749</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45749</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45749</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HYPERLINK("https://klasma.github.io/Logging_222282/artfynd/A 11276-2025 artfynd.xlsx", "A 11276-2025")</f>
        <v/>
      </c>
      <c r="T80">
        <f>HYPERLINK("https://klasma.github.io/Logging_222282/kartor/A 11276-2025 karta.png", "A 11276-2025")</f>
        <v/>
      </c>
      <c r="V80">
        <f>HYPERLINK("https://klasma.github.io/Logging_222282/klagomål/A 11276-2025 FSC-klagomål.docx", "A 11276-2025")</f>
        <v/>
      </c>
      <c r="W80">
        <f>HYPERLINK("https://klasma.github.io/Logging_222282/klagomålsmail/A 11276-2025 FSC-klagomål mail.docx", "A 11276-2025")</f>
        <v/>
      </c>
      <c r="X80">
        <f>HYPERLINK("https://klasma.github.io/Logging_222282/tillsyn/A 11276-2025 tillsynsbegäran.docx", "A 11276-2025")</f>
        <v/>
      </c>
      <c r="Y80">
        <f>HYPERLINK("https://klasma.github.io/Logging_222282/tillsynsmail/A 11276-2025 tillsynsbegäran mail.docx", "A 11276-2025")</f>
        <v/>
      </c>
    </row>
    <row r="81" ht="15" customHeight="1">
      <c r="A81" t="inlineStr">
        <is>
          <t>A 18842-2019</t>
        </is>
      </c>
      <c r="B81" s="1" t="n">
        <v>43563</v>
      </c>
      <c r="C81" s="1" t="n">
        <v>45749</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45749</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45749</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45749</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45749</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45749</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45749</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45749</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45749</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45749</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45749</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45749</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45749</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45749</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45749</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45749</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45749</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45749</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45749</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45749</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45749</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45749</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45749</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45749</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45749</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45749</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45749</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45749</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45749</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45749</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45749</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45749</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45749</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45749</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45749</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45749</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45749</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45749</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45749</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45749</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45749</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45749</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45749</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45749</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45749</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45749</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45749</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45749</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45749</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45749</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45749</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45749</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45749</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45749</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45749</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45749</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45749</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45749</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45749</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45749</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45749</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45749</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45749</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45749</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45749</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45749</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45749</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45749</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45749</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45749</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45749</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45749</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45749</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45749</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45749</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45749</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45749</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45749</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45749</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45749</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45749</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45749</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45749</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45749</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45749</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45749</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45749</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45749</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45749</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45749</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45749</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45749</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45749</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45749</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45749</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45749</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45749</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45749</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45749</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45749</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45749</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45749</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45749</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45749</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45749</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45749</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45749</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45749</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45749</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45749</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45749</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45749</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45749</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45749</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45749</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45749</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45749</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45749</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45749</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45749</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45749</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45749</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45749</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45749</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45749</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45749</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45749</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45749</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45749</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45749</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45749</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45749</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45749</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45749</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45749</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45749</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45749</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45749</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45749</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45749</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45749</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45749</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45749</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45749</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45749</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45749</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45749</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45749</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45749</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45749</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45749</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45749</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45749</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45749</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45749</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45749</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45749</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45749</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45749</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45749</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45749</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45749</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45749</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45749</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45749</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45749</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45749</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45749</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45749</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45749</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45749</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45749</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45749</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45749</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45749</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45749</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45749</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45749</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45749</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45749</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45749</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45749</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45749</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45749</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45749</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45749</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45749</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45749</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45749</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45749</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45749</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45749</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45749</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45749</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45749</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45749</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45749</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45749</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45749</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45749</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45749</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45749</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45749</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45749</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45749</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45749</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45749</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45749</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45749</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45749</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45749</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45749</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45749</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45749</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45749</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45749</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45749</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45749</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45749</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45749</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45749</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45749</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45749</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45749</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45749</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45749</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45749</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45749</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45749</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45749</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45749</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45749</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45749</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45749</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45749</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45749</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45749</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45749</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45749</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45749</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45749</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45749</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45749</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45749</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45749</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45749</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45749</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45749</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45749</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45749</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45749</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45749</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45749</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45749</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45749</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45749</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45749</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45749</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45749</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45749</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45749</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45749</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45749</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45749</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45749</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45749</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45749</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45749</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45749</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45749</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45749</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45749</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45749</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45749</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45749</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45749</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45749</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45749</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45749</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45749</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45749</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45749</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45749</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45749</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45749</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45749</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45749</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45749</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45749</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45749</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45749</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45749</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45749</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45749</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45749</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45749</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45749</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45749</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45749</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45749</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45749</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45749</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45749</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45749</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45749</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45749</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45749</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45749</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45749</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45749</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45749</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45749</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45749</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45749</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45749</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45749</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45749</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45749</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45749</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45749</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45749</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45749</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45749</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45749</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45749</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45749</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45749</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45749</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45749</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45749</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45749</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45749</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45749</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45749</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45749</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45749</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45749</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45749</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45749</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45749</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45749</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45749</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45749</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45749</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45749</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45749</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45749</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45749</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45749</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45749</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45749</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45749</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45749</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45749</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45749</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45749</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45749</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45749</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45749</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45749</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45749</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45749</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45749</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45749</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45749</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45749</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45749</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45749</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45749</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45749</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45749</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45749</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45749</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45749</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45749</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45749</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45749</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45749</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45749</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45749</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45749</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45749</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45749</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45749</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45749</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45749</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45749</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45749</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45749</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45749</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45749</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45749</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45749</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45749</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45749</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45749</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45749</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45749</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45749</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45749</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45749</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45749</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45749</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45749</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45749</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45749</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45749</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45749</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45749</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45749</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45749</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45749</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45749</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45749</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45749</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45749</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45749</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45749</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45749</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45749</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45749</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45749</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45749</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45749</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45749</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45749</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45749</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45749</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45749</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45749</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45749</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45749</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45749</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45749</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45749</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45749</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45749</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45749</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45749</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45749</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45749</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45749</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45749</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45749</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45749</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45749</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45749</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45749</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45749</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45749</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45749</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45749</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45749</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45749</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45749</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45749</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45749</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45749</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45749</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45749</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45749</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45749</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45749</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45749</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45749</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45749</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45749</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45749</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45749</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45749</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45749</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45749</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45749</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45749</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45749</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45749</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45749</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45749</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45749</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45749</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45749</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45749</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45749</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45749</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45749</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45749</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45749</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45749</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45749</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45749</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45749</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45749</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45749</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45749</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45749</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45749</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45749</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45749</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45749</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45749</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45749</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45749</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45749</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45749</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45749</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45749</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45749</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45749</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45749</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45749</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45749</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45749</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45749</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45749</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45749</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45749</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45749</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45749</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45749</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45749</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45749</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45749</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45749</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45749</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45749</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45749</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45749</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45749</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45749</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45749</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45749</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45749</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45749</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45749</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45749</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45749</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45749</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45749</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45749</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45749</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45749</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45749</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45749</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45749</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45749</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45749</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45749</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45749</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45749</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45749</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45749</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45749</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45749</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45749</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45749</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45749</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45749</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45749</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45749</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45749</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45749</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45749</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45749</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45749</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45749</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45749</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45749</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45749</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45749</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45749</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45749</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45749</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45749</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45749</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45749</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45749</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45749</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45749</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45749</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45749</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45749</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45749</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45749</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45749</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45749</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45749</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45749</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45749</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45749</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45749</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45749</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45749</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45749</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45749</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45749</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45749</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45749</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45749</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45749</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45749</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45749</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45749</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45749</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45749</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45749</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45749</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45749</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45749</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45749</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45749</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45749</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45749</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45749</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45749</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45749</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45749</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45749</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45749</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45749</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45749</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45749</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45749</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45749</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45749</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45749</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45749</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45749</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45749</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45749</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45749</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45749</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45749</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45749</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45749</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45749</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45749</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45749</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45749</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45749</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45749</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45749</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45749</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45749</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45749</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45749</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45749</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45749</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45749</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45749</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45749</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45749</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45749</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45749</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45749</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45749</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45749</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45749</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45749</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45749</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45749</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45749</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45749</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45749</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45749</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45749</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45749</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45749</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45749</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45749</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45749</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45749</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45749</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45749</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45749</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45749</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45749</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45749</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45749</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45749</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45749</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45749</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45749</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45749</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45749</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45749</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45749</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45749</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45749</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45749</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45749</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45749</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45749</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45749</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45749</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45749</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45749</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45749</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45749</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45749</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45749</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45749</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45749</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45749</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45749</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45749</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45749</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45749</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45749</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45749</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45749</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45749</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45749</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45749</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45749</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45749</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45749</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45749</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45749</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45749</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45749</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45749</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45749</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45749</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45749</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45749</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45749</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45749</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45749</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45749</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45749</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45749</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45749</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45749</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45749</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45749</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45749</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45749</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45749</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45749</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45749</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45749</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45749</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45749</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45749</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45749</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45749</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45749</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45749</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45749</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45749</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45749</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45749</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45749</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45749</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45749</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45749</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45749</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45749</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45749</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45749</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45749</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45749</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45749</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45749</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45749</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45749</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45749</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45749</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45749</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45749</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45749</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45749</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45749</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45749</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45749</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45749</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45749</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45749</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45749</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45749</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45749</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45749</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45749</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45749</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45749</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45749</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45749</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45749</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45749</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45749</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45749</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45749</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45749</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45749</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45749</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45749</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45749</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45749</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45749</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45749</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45749</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45749</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45749</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45749</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45749</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45749</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45749</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45749</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45749</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45749</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45749</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45749</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45749</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45749</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45749</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45749</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45749</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45749</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45749</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45749</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45749</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45749</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45749</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45749</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45749</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45749</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45749</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45749</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45749</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45749</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45749</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45749</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45749</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45749</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45749</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45749</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45749</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45749</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45749</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45749</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45749</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45749</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45749</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45749</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45749</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45749</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45749</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45749</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45749</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45749</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45749</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45749</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45749</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45749</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45749</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45749</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45749</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45749</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45749</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45749</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45749</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45749</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45749</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45749</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45749</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45749</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45749</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45749</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45749</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45749</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45749</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45749</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45749</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45749</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45749</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45749</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45749</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45749</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45749</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45749</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45749</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45749</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45749</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45749</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45749</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45749</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45749</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45749</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45749</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45749</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45749</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45749</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45749</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45749</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45749</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45749</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45749</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45749</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45749</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45749</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45749</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45749</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45749</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45749</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45749</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45749</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45749</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45749</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45749</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45749</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45749</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45749</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45749</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45749</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45749</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45749</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45749</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45749</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45749</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45749</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45749</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45749</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45749</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45749</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45749</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45749</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45749</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45749</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45749</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45749</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45749</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45749</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45749</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45749</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45749</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45749</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45749</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45749</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45749</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45749</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45749</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45749</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45749</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45749</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45749</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45749</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45749</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45749</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45749</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45749</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45749</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45749</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45749</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45749</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45749</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45749</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45749</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45749</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45749</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45749</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45749</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45749</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45749</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45749</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45749</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45749</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45749</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45749</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45749</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45749</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45749</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45749</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45749</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45749</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45749</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45749</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45749</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45749</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45749</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45749</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45749</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45749</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45749</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45749</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45749</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45749</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45749</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45749</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45749</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45749</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45749</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45749</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45749</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45749</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45749</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45749</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45749</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45749</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45749</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45749</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45749</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45749</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45749</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45749</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45749</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45749</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45749</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45749</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45749</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45749</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45749</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45749</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45749</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45749</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45749</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45749</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45749</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45749</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45749</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45749</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45749</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45749</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45749</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45749</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45749</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45749</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45749</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45749</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45749</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45749</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45749</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45749</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45749</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45749</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45749</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45749</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45749</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45749</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45749</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45749</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45749</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45749</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45749</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45749</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45749</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45749</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45749</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45749</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45749</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45749</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45749</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45749</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45749</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45749</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45749</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45749</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45749</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45749</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45749</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45749</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45749</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45749</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45749</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45749</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45749</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45749</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45749</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45749</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45749</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45749</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45749</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45749</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45749</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45749</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45749</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45749</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45749</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45749</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45749</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45749</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45749</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45749</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45749</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45749</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45749</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45749</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45749</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45749</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45749</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45749</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45749</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45749</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45749</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45749</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45749</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45749</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45749</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45749</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45749</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45749</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45749</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45749</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45749</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45749</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45749</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45749</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45749</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45749</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45749</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45749</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45749</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45749</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45749</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45749</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45749</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45749</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45749</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45749</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45749</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45749</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45749</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45749</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45749</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45749</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45749</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45749</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45749</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45749</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45749</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45749</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45749</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45749</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45749</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45749</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45749</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45749</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45749</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45749</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45749</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45749</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45749</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45749</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45749</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45749</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45749</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45749</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45749</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45749</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45749</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45749</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45749</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45749</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45749</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45749</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45749</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45749</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45749</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45749</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45749</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45749</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45749</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45749</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45749</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45749</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45749</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45749</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45749</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45749</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45749</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45749</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45749</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45749</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45749</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45749</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45749</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45749</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45749</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45749</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45749</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45749</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45749</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45749</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45749</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45749</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45749</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45749</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45749</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45749</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45749</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45749</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45749</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45749</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45749</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45749</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45749</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45749</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45749</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45749</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45749</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45749</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45749</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45749</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45749</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45749</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45749</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45749</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45749</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45749</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45749</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45749</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45749</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45749</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45749</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45749</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45749</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45749</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45749</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45749</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45749</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45749</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45749</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45749</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45749</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45749</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45749</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45749</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45749</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45749</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45749</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45749</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45749</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45749</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45749</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45749</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45749</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45749</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45749</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45749</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45749</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45749</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45749</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45749</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45749</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45749</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45749</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45749</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45749</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45749</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45749</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45749</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45749</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45749</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45749</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45749</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45749</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45749</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45749</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45749</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45749</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45749</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45749</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45749</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45749</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45749</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45749</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45749</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45749</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45749</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45749</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45749</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45749</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45749</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45749</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45749</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45749</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45749</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45749</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45749</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45749</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45749</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45749</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45749</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45749</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45749</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45749</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45749</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45749</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45749</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45749</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45749</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45749</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45749</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45749</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45749</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45749</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45749</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45749</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45749</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45749</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45749</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45749</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45749</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45749</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45749</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45749</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45749</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45749</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45749</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45749</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45749</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45749</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45749</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45749</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45749</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45749</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45749</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45749</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45749</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45749</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45749</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45749</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45749</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45749</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45749</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45749</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45749</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45749</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45749</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45749</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45749</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45749</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45749</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8716-2025</t>
        </is>
      </c>
      <c r="B1413" s="1" t="n">
        <v>45712</v>
      </c>
      <c r="C1413" s="1" t="n">
        <v>45749</v>
      </c>
      <c r="D1413" t="inlineStr">
        <is>
          <t>VÄSTERNORRLANDS LÄN</t>
        </is>
      </c>
      <c r="E1413" t="inlineStr">
        <is>
          <t>KRAMFORS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45749</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45749</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45749</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10214-2025</t>
        </is>
      </c>
      <c r="B1417" s="1" t="n">
        <v>45719</v>
      </c>
      <c r="C1417" s="1" t="n">
        <v>45749</v>
      </c>
      <c r="D1417" t="inlineStr">
        <is>
          <t>VÄSTERNORRLANDS LÄN</t>
        </is>
      </c>
      <c r="E1417" t="inlineStr">
        <is>
          <t>KRAMFORS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10019-2025</t>
        </is>
      </c>
      <c r="B1418" s="1" t="n">
        <v>45719</v>
      </c>
      <c r="C1418" s="1" t="n">
        <v>45749</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10501-2025</t>
        </is>
      </c>
      <c r="B1419" s="1" t="n">
        <v>45721</v>
      </c>
      <c r="C1419" s="1" t="n">
        <v>45749</v>
      </c>
      <c r="D1419" t="inlineStr">
        <is>
          <t>VÄSTERNORRLANDS LÄN</t>
        </is>
      </c>
      <c r="E1419" t="inlineStr">
        <is>
          <t>KRAMFORS</t>
        </is>
      </c>
      <c r="F1419" t="inlineStr">
        <is>
          <t>SCA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10502-2025</t>
        </is>
      </c>
      <c r="B1420" s="1" t="n">
        <v>45721</v>
      </c>
      <c r="C1420" s="1" t="n">
        <v>45749</v>
      </c>
      <c r="D1420" t="inlineStr">
        <is>
          <t>VÄSTERNORRLANDS LÄN</t>
        </is>
      </c>
      <c r="E1420" t="inlineStr">
        <is>
          <t>KRAMFORS</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10503-2025</t>
        </is>
      </c>
      <c r="B1421" s="1" t="n">
        <v>45721</v>
      </c>
      <c r="C1421" s="1" t="n">
        <v>45749</v>
      </c>
      <c r="D1421" t="inlineStr">
        <is>
          <t>VÄSTERNORRLANDS LÄN</t>
        </is>
      </c>
      <c r="E1421" t="inlineStr">
        <is>
          <t>KRAMFORS</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10658-2025</t>
        </is>
      </c>
      <c r="B1422" s="1" t="n">
        <v>45721</v>
      </c>
      <c r="C1422" s="1" t="n">
        <v>45749</v>
      </c>
      <c r="D1422" t="inlineStr">
        <is>
          <t>VÄSTERNORRLANDS LÄN</t>
        </is>
      </c>
      <c r="E1422" t="inlineStr">
        <is>
          <t>KRAMFORS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45749</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45749</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11172-2025</t>
        </is>
      </c>
      <c r="B1425" s="1" t="n">
        <v>45724</v>
      </c>
      <c r="C1425" s="1" t="n">
        <v>45749</v>
      </c>
      <c r="D1425" t="inlineStr">
        <is>
          <t>VÄSTERNORRLANDS LÄN</t>
        </is>
      </c>
      <c r="E1425" t="inlineStr">
        <is>
          <t>KRAMFORS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45749</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45749</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11247-2025</t>
        </is>
      </c>
      <c r="B1428" s="1" t="n">
        <v>45726</v>
      </c>
      <c r="C1428" s="1" t="n">
        <v>45749</v>
      </c>
      <c r="D1428" t="inlineStr">
        <is>
          <t>VÄSTERNORRLANDS LÄN</t>
        </is>
      </c>
      <c r="E1428" t="inlineStr">
        <is>
          <t>KRAMFORS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45749</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45749</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45749</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11248-2025</t>
        </is>
      </c>
      <c r="B1432" s="1" t="n">
        <v>45726</v>
      </c>
      <c r="C1432" s="1" t="n">
        <v>45749</v>
      </c>
      <c r="D1432" t="inlineStr">
        <is>
          <t>VÄSTERNORRLANDS LÄN</t>
        </is>
      </c>
      <c r="E1432" t="inlineStr">
        <is>
          <t>KRAMFORS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45749</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45749</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45749</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45749</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45749</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45749</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12106-2025</t>
        </is>
      </c>
      <c r="B1439" s="1" t="n">
        <v>45729</v>
      </c>
      <c r="C1439" s="1" t="n">
        <v>45749</v>
      </c>
      <c r="D1439" t="inlineStr">
        <is>
          <t>VÄSTERNORRLANDS LÄN</t>
        </is>
      </c>
      <c r="E1439" t="inlineStr">
        <is>
          <t>KRAMFORS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45749</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45749</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45749</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45749</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45749</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45749</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45749</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45749</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12951-2025</t>
        </is>
      </c>
      <c r="B1448" s="1" t="n">
        <v>45734</v>
      </c>
      <c r="C1448" s="1" t="n">
        <v>45749</v>
      </c>
      <c r="D1448" t="inlineStr">
        <is>
          <t>VÄSTERNORRLANDS LÄN</t>
        </is>
      </c>
      <c r="E1448" t="inlineStr">
        <is>
          <t>KRAMFORS</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12955-2025</t>
        </is>
      </c>
      <c r="B1449" s="1" t="n">
        <v>45734</v>
      </c>
      <c r="C1449" s="1" t="n">
        <v>45749</v>
      </c>
      <c r="D1449" t="inlineStr">
        <is>
          <t>VÄSTERNORRLANDS LÄN</t>
        </is>
      </c>
      <c r="E1449" t="inlineStr">
        <is>
          <t>KRAMFORS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13052-2025</t>
        </is>
      </c>
      <c r="B1450" s="1" t="n">
        <v>45734</v>
      </c>
      <c r="C1450" s="1" t="n">
        <v>45749</v>
      </c>
      <c r="D1450" t="inlineStr">
        <is>
          <t>VÄSTERNORRLANDS LÄN</t>
        </is>
      </c>
      <c r="E1450" t="inlineStr">
        <is>
          <t>KRAMFORS</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13057-2025</t>
        </is>
      </c>
      <c r="B1451" s="1" t="n">
        <v>45734</v>
      </c>
      <c r="C1451" s="1" t="n">
        <v>45749</v>
      </c>
      <c r="D1451" t="inlineStr">
        <is>
          <t>VÄSTERNORRLANDS LÄN</t>
        </is>
      </c>
      <c r="E1451" t="inlineStr">
        <is>
          <t>KRAMFORS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45749</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13579-2025</t>
        </is>
      </c>
      <c r="B1453" s="1" t="n">
        <v>45736</v>
      </c>
      <c r="C1453" s="1" t="n">
        <v>45749</v>
      </c>
      <c r="D1453" t="inlineStr">
        <is>
          <t>VÄSTERNORRLANDS LÄN</t>
        </is>
      </c>
      <c r="E1453" t="inlineStr">
        <is>
          <t>KRAMFORS</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13648-2025</t>
        </is>
      </c>
      <c r="B1454" s="1" t="n">
        <v>45736</v>
      </c>
      <c r="C1454" s="1" t="n">
        <v>45749</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13455-2025</t>
        </is>
      </c>
      <c r="B1455" s="1" t="n">
        <v>45736</v>
      </c>
      <c r="C1455" s="1" t="n">
        <v>45749</v>
      </c>
      <c r="D1455" t="inlineStr">
        <is>
          <t>VÄSTERNORRLANDS LÄN</t>
        </is>
      </c>
      <c r="E1455" t="inlineStr">
        <is>
          <t>KRAMFORS</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45749</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45749</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45749</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45749</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14842-2025</t>
        </is>
      </c>
      <c r="B1460" s="1" t="n">
        <v>45743</v>
      </c>
      <c r="C1460" s="1" t="n">
        <v>45749</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14843-2025</t>
        </is>
      </c>
      <c r="B1461" s="1" t="n">
        <v>45743</v>
      </c>
      <c r="C1461" s="1" t="n">
        <v>45749</v>
      </c>
      <c r="D1461" t="inlineStr">
        <is>
          <t>VÄSTERNORRLANDS LÄN</t>
        </is>
      </c>
      <c r="E1461" t="inlineStr">
        <is>
          <t>KRAMFORS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14870-2025</t>
        </is>
      </c>
      <c r="B1462" s="1" t="n">
        <v>45743</v>
      </c>
      <c r="C1462" s="1" t="n">
        <v>45749</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14841-2025</t>
        </is>
      </c>
      <c r="B1463" s="1" t="n">
        <v>45743</v>
      </c>
      <c r="C1463" s="1" t="n">
        <v>45749</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45749</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15758-2025</t>
        </is>
      </c>
      <c r="B1465" s="1" t="n">
        <v>45748</v>
      </c>
      <c r="C1465" s="1" t="n">
        <v>45749</v>
      </c>
      <c r="D1465" t="inlineStr">
        <is>
          <t>VÄSTERNORRLANDS LÄN</t>
        </is>
      </c>
      <c r="E1465" t="inlineStr">
        <is>
          <t>KRAMFORS</t>
        </is>
      </c>
      <c r="G1465" t="n">
        <v>5</v>
      </c>
      <c r="H1465" t="n">
        <v>0</v>
      </c>
      <c r="I1465" t="n">
        <v>0</v>
      </c>
      <c r="J1465" t="n">
        <v>0</v>
      </c>
      <c r="K1465" t="n">
        <v>0</v>
      </c>
      <c r="L1465" t="n">
        <v>0</v>
      </c>
      <c r="M1465" t="n">
        <v>0</v>
      </c>
      <c r="N1465" t="n">
        <v>0</v>
      </c>
      <c r="O1465" t="n">
        <v>0</v>
      </c>
      <c r="P1465" t="n">
        <v>0</v>
      </c>
      <c r="Q1465" t="n">
        <v>0</v>
      </c>
      <c r="R1465" s="2" t="inlineStr"/>
    </row>
    <row r="1466">
      <c r="A1466" t="inlineStr">
        <is>
          <t>A 15751-2025</t>
        </is>
      </c>
      <c r="B1466" s="1" t="n">
        <v>45748</v>
      </c>
      <c r="C1466" s="1" t="n">
        <v>45749</v>
      </c>
      <c r="D1466" t="inlineStr">
        <is>
          <t>VÄSTERNORRLANDS LÄN</t>
        </is>
      </c>
      <c r="E1466" t="inlineStr">
        <is>
          <t>KRAMFORS</t>
        </is>
      </c>
      <c r="G1466" t="n">
        <v>1.4</v>
      </c>
      <c r="H1466" t="n">
        <v>0</v>
      </c>
      <c r="I1466" t="n">
        <v>0</v>
      </c>
      <c r="J1466" t="n">
        <v>0</v>
      </c>
      <c r="K1466" t="n">
        <v>0</v>
      </c>
      <c r="L1466" t="n">
        <v>0</v>
      </c>
      <c r="M1466" t="n">
        <v>0</v>
      </c>
      <c r="N1466" t="n">
        <v>0</v>
      </c>
      <c r="O1466" t="n">
        <v>0</v>
      </c>
      <c r="P1466" t="n">
        <v>0</v>
      </c>
      <c r="Q1466" t="n">
        <v>0</v>
      </c>
      <c r="R1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2025-04-02T16:59:38Z</dcterms:created>
  <dcterms:modified xmlns:dcterms="http://purl.org/dc/terms/" xmlns:xsi="http://www.w3.org/2001/XMLSchema-instance" xsi:type="dcterms:W3CDTF">2025-04-02T16:59:39Z</dcterms:modified>
</cp:coreProperties>
</file>