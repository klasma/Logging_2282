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46292</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56289-2025</t>
        </is>
      </c>
      <c r="B5" t="inlineStr">
        <is>
          <t>avverkningsanmälan</t>
        </is>
      </c>
      <c r="C5" t="inlineStr">
        <is>
          <t>Föryngringsavverkning</t>
        </is>
      </c>
      <c r="D5" s="1" t="n">
        <v>45974</v>
      </c>
      <c r="E5" s="1" t="n">
        <v>46292</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61873-2025</t>
        </is>
      </c>
      <c r="B6" t="inlineStr">
        <is>
          <t>avverkningsanmälan</t>
        </is>
      </c>
      <c r="C6" t="inlineStr">
        <is>
          <t>Föryngringsavverkning</t>
        </is>
      </c>
      <c r="D6" s="1" t="n">
        <v>46003</v>
      </c>
      <c r="E6" s="1" t="n">
        <v>46292</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46292</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46292</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46292</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46292</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46292</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30534-2025</t>
        </is>
      </c>
      <c r="B12" t="inlineStr">
        <is>
          <t>avverkningsanmälan</t>
        </is>
      </c>
      <c r="C12" t="inlineStr">
        <is>
          <t>Föryngringsavverkning</t>
        </is>
      </c>
      <c r="D12" s="1" t="n">
        <v>45831</v>
      </c>
      <c r="E12" s="1" t="n">
        <v>46292</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46292</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18654-2025</t>
        </is>
      </c>
      <c r="B14" t="inlineStr">
        <is>
          <t>avverkningsanmälan</t>
        </is>
      </c>
      <c r="C14" t="inlineStr">
        <is>
          <t>Föryngringsavverkning</t>
        </is>
      </c>
      <c r="D14" s="1" t="n">
        <v>45763</v>
      </c>
      <c r="E14" s="1" t="n">
        <v>46292</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46292</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46292</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46292</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46292</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46292</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46292</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32160-2024</t>
        </is>
      </c>
      <c r="B21" t="inlineStr">
        <is>
          <t>avverkningsanmälan</t>
        </is>
      </c>
      <c r="C21" t="inlineStr">
        <is>
          <t>Föryngringsavverkning</t>
        </is>
      </c>
      <c r="D21" s="1" t="n">
        <v>45511</v>
      </c>
      <c r="E21" s="1" t="n">
        <v>46292</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46292</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18648-2025</t>
        </is>
      </c>
      <c r="B23" t="inlineStr">
        <is>
          <t>avverkningsanmälan</t>
        </is>
      </c>
      <c r="C23" t="inlineStr">
        <is>
          <t>Föryngringsavverkning</t>
        </is>
      </c>
      <c r="D23" s="1" t="n">
        <v>45763</v>
      </c>
      <c r="E23" s="1" t="n">
        <v>46292</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26086-2026</t>
        </is>
      </c>
      <c r="B24" t="inlineStr">
        <is>
          <t>avverkningsanmälan</t>
        </is>
      </c>
      <c r="C24" t="inlineStr">
        <is>
          <t>Föryngringsavverkning</t>
        </is>
      </c>
      <c r="D24" s="1" t="n">
        <v>46181</v>
      </c>
      <c r="E24" s="1" t="n">
        <v>46292</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28305-2026</t>
        </is>
      </c>
      <c r="B25" t="inlineStr">
        <is>
          <t>avverkningsanmälan</t>
        </is>
      </c>
      <c r="C25" t="inlineStr">
        <is>
          <t>Föryngringsavverkning</t>
        </is>
      </c>
      <c r="D25" s="1" t="n">
        <v>46196</v>
      </c>
      <c r="E25" s="1" t="n">
        <v>46292</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46292</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46292</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46292</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46292</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46292</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46292</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28159-2025</t>
        </is>
      </c>
      <c r="B32" t="inlineStr">
        <is>
          <t>avverkningsanmälan</t>
        </is>
      </c>
      <c r="C32" t="inlineStr">
        <is>
          <t>Föryngringsavverkning</t>
        </is>
      </c>
      <c r="D32" s="1" t="n">
        <v>45818</v>
      </c>
      <c r="E32" s="1" t="n">
        <v>46292</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15139-2024</t>
        </is>
      </c>
      <c r="B33" t="inlineStr">
        <is>
          <t>avverkningsanmälan</t>
        </is>
      </c>
      <c r="C33" t="inlineStr">
        <is>
          <t>Föryngringsavverkning</t>
        </is>
      </c>
      <c r="D33" s="1" t="n">
        <v>45399</v>
      </c>
      <c r="E33" s="1" t="n">
        <v>46292</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56337-2025</t>
        </is>
      </c>
      <c r="B34" t="inlineStr">
        <is>
          <t>avverkningsanmälan</t>
        </is>
      </c>
      <c r="C34" t="inlineStr">
        <is>
          <t>Föryngringsavverkning</t>
        </is>
      </c>
      <c r="D34" s="1" t="n">
        <v>45974</v>
      </c>
      <c r="E34" s="1" t="n">
        <v>46292</v>
      </c>
      <c r="F34" t="inlineStr">
        <is>
          <t>VÄSTERNORRLANDS LÄN</t>
        </is>
      </c>
      <c r="G34" t="inlineStr">
        <is>
          <t>KRAMFORS</t>
        </is>
      </c>
      <c r="I34" t="n">
        <v>2.5</v>
      </c>
      <c r="J34" t="n">
        <v>1</v>
      </c>
      <c r="K34" t="n">
        <v>0</v>
      </c>
      <c r="L34" t="n">
        <v>4</v>
      </c>
      <c r="M34" t="n">
        <v>1</v>
      </c>
      <c r="N34" t="n">
        <v>0</v>
      </c>
      <c r="O34" t="n">
        <v>0</v>
      </c>
      <c r="P34" t="n">
        <v>0</v>
      </c>
      <c r="Q34" t="n">
        <v>5</v>
      </c>
      <c r="R34" t="n">
        <v>1</v>
      </c>
      <c r="S34" t="n">
        <v>5</v>
      </c>
      <c r="T34" t="n">
        <v>11</v>
      </c>
      <c r="U34" t="n">
        <v>11</v>
      </c>
      <c r="V34" s="2" t="inlineStr">
        <is>
          <t>Garnlav
Lunglav
Rosenticka
Tretåig hackspett
Ullticka</t>
        </is>
      </c>
      <c r="W34">
        <f>HYPERLINK("https://klasma.github.io/Logging_2282/artfynd/A 56337-2025 artfynd.xlsx", "A 56337-2025")</f>
        <v/>
      </c>
      <c r="X34">
        <f>HYPERLINK("https://klasma.github.io/Logging_2282/kartor/A 56337-2025 karta.png", "A 56337-2025")</f>
        <v/>
      </c>
      <c r="Y34">
        <f>HYPERLINK("https://klasma.github.io/Logging_2282/kartor_geotiff/A 56337-2025 georefererad karta.tif", "A 56337-2025")</f>
        <v/>
      </c>
      <c r="AA34">
        <f>HYPERLINK("https://klasma.github.io/Logging_2282/klagomål/A 56337-2025 FSC-klagomål.docx", "A 56337-2025")</f>
        <v/>
      </c>
      <c r="AB34">
        <f>HYPERLINK("https://klasma.github.io/Logging_2282/klagomålsmail/A 56337-2025 FSC-klagomål mail.docx", "A 56337-2025")</f>
        <v/>
      </c>
      <c r="AC34">
        <f>HYPERLINK("https://klasma.github.io/Logging_2282/tillsyn/A 56337-2025 tillsynsbegäran.docx", "A 56337-2025")</f>
        <v/>
      </c>
      <c r="AD34">
        <f>HYPERLINK("https://klasma.github.io/Logging_2282/tillsynsmail/A 56337-2025 tillsynsbegäran mail.docx", "A 56337-2025")</f>
        <v/>
      </c>
      <c r="AE34">
        <f>HYPERLINK("https://klasma.github.io/Logging_2282/fåglar/A 56337-2025 prioriterade fågelarter.docx", "A 56337-2025")</f>
        <v/>
      </c>
    </row>
    <row r="35" ht="15" customHeight="1">
      <c r="A35" t="inlineStr">
        <is>
          <t>A 22047-2025</t>
        </is>
      </c>
      <c r="B35" t="inlineStr">
        <is>
          <t>avverkningsanmälan</t>
        </is>
      </c>
      <c r="C35" t="inlineStr">
        <is>
          <t>Föryngringsavverkning</t>
        </is>
      </c>
      <c r="D35" s="1" t="n">
        <v>45785</v>
      </c>
      <c r="E35" s="1" t="n">
        <v>46292</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46292</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67478-2021</t>
        </is>
      </c>
      <c r="B37" t="inlineStr">
        <is>
          <t>avverkningsanmälan</t>
        </is>
      </c>
      <c r="C37" t="inlineStr">
        <is>
          <t>Föryngringsavverkning</t>
        </is>
      </c>
      <c r="D37" s="1" t="n">
        <v>44524</v>
      </c>
      <c r="E37" s="1" t="n">
        <v>46292</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46292</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46292</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46292</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46292</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46292</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46292</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46292</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28158-2025</t>
        </is>
      </c>
      <c r="B45" t="inlineStr">
        <is>
          <t>avverkningsanmälan</t>
        </is>
      </c>
      <c r="C45" t="inlineStr">
        <is>
          <t>Föryngringsavverkning</t>
        </is>
      </c>
      <c r="D45" s="1" t="n">
        <v>45818</v>
      </c>
      <c r="E45" s="1" t="n">
        <v>46292</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58292-2025</t>
        </is>
      </c>
      <c r="B46" t="inlineStr">
        <is>
          <t>avverkningsanmälan</t>
        </is>
      </c>
      <c r="C46" t="inlineStr">
        <is>
          <t>Föryngringsavverkning</t>
        </is>
      </c>
      <c r="D46" s="1" t="n">
        <v>45985</v>
      </c>
      <c r="E46" s="1" t="n">
        <v>46292</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46292</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28194-2026</t>
        </is>
      </c>
      <c r="B48" t="inlineStr">
        <is>
          <t>avverkningsanmälan</t>
        </is>
      </c>
      <c r="C48" t="inlineStr">
        <is>
          <t>Avverkning för annat ändamål</t>
        </is>
      </c>
      <c r="D48" s="1" t="n">
        <v>46195</v>
      </c>
      <c r="E48" s="1" t="n">
        <v>46292</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34880-2026</t>
        </is>
      </c>
      <c r="B49" t="inlineStr">
        <is>
          <t>avverkningsanmälan</t>
        </is>
      </c>
      <c r="C49" t="inlineStr">
        <is>
          <t>Föryngringsavverkning</t>
        </is>
      </c>
      <c r="D49" s="1" t="n">
        <v>46258</v>
      </c>
      <c r="E49" s="1" t="n">
        <v>46292</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38623-2022</t>
        </is>
      </c>
      <c r="B50" t="inlineStr">
        <is>
          <t>avverkningsanmälan</t>
        </is>
      </c>
      <c r="C50" t="inlineStr">
        <is>
          <t>Föryngringsavverkning</t>
        </is>
      </c>
      <c r="D50" s="1" t="n">
        <v>44813</v>
      </c>
      <c r="E50" s="1" t="n">
        <v>46292</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26368-2025</t>
        </is>
      </c>
      <c r="B51" t="inlineStr">
        <is>
          <t>avverkningsanmälan</t>
        </is>
      </c>
      <c r="C51" t="inlineStr">
        <is>
          <t>Föryngringsavverkning</t>
        </is>
      </c>
      <c r="D51" s="1" t="n">
        <v>45806</v>
      </c>
      <c r="E51" s="1" t="n">
        <v>46292</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4524-2026</t>
        </is>
      </c>
      <c r="B52" t="inlineStr">
        <is>
          <t>avverkningsanmälan</t>
        </is>
      </c>
      <c r="C52" t="inlineStr">
        <is>
          <t>Föryngringsavverkning</t>
        </is>
      </c>
      <c r="D52" s="1" t="n">
        <v>46046</v>
      </c>
      <c r="E52" s="1" t="n">
        <v>46292</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64904-2023</t>
        </is>
      </c>
      <c r="B53" t="inlineStr">
        <is>
          <t>avverkningsanmälan</t>
        </is>
      </c>
      <c r="C53" t="inlineStr">
        <is>
          <t>Föryngringsavverkning</t>
        </is>
      </c>
      <c r="D53" s="1" t="n">
        <v>45282</v>
      </c>
      <c r="E53" s="1" t="n">
        <v>46292</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2167-2026</t>
        </is>
      </c>
      <c r="B54" t="inlineStr">
        <is>
          <t>avverkningsanmälan</t>
        </is>
      </c>
      <c r="C54" t="inlineStr">
        <is>
          <t>Föryngringsavverkning</t>
        </is>
      </c>
      <c r="D54" s="1" t="n">
        <v>46036</v>
      </c>
      <c r="E54" s="1" t="n">
        <v>46292</v>
      </c>
      <c r="F54" t="inlineStr">
        <is>
          <t>VÄSTERNORRLANDS LÄN</t>
        </is>
      </c>
      <c r="G54" t="inlineStr">
        <is>
          <t>KRAMFORS</t>
        </is>
      </c>
      <c r="I54" t="n">
        <v>0.8</v>
      </c>
      <c r="J54" t="n">
        <v>1</v>
      </c>
      <c r="K54" t="n">
        <v>1</v>
      </c>
      <c r="L54" t="n">
        <v>0</v>
      </c>
      <c r="M54" t="n">
        <v>0</v>
      </c>
      <c r="N54" t="n">
        <v>0</v>
      </c>
      <c r="O54" t="n">
        <v>0</v>
      </c>
      <c r="P54" t="n">
        <v>0</v>
      </c>
      <c r="Q54" t="n">
        <v>0</v>
      </c>
      <c r="R54" t="n">
        <v>0</v>
      </c>
      <c r="S54" t="n">
        <v>2</v>
      </c>
      <c r="T54" t="n">
        <v>2</v>
      </c>
      <c r="U54" t="n">
        <v>0</v>
      </c>
      <c r="V54" s="2" t="inlineStr">
        <is>
          <t>Scharlakansskål
Blåsippa</t>
        </is>
      </c>
      <c r="W54">
        <f>HYPERLINK("https://klasma.github.io/Logging_2282/artfynd/A 2167-2026 artfynd.xlsx", "A 2167-2026")</f>
        <v/>
      </c>
      <c r="X54">
        <f>HYPERLINK("https://klasma.github.io/Logging_2282/kartor/A 2167-2026 karta.png", "A 2167-2026")</f>
        <v/>
      </c>
      <c r="Y54">
        <f>HYPERLINK("https://klasma.github.io/Logging_2282/kartor_geotiff/A 2167-2026 georefererad karta.tif", "A 2167-2026")</f>
        <v/>
      </c>
      <c r="AA54">
        <f>HYPERLINK("https://klasma.github.io/Logging_2282/klagomål/A 2167-2026 FSC-klagomål.docx", "A 2167-2026")</f>
        <v/>
      </c>
      <c r="AB54">
        <f>HYPERLINK("https://klasma.github.io/Logging_2282/klagomålsmail/A 2167-2026 FSC-klagomål mail.docx", "A 2167-2026")</f>
        <v/>
      </c>
      <c r="AC54">
        <f>HYPERLINK("https://klasma.github.io/Logging_2282/tillsyn/A 2167-2026 tillsynsbegäran.docx", "A 2167-2026")</f>
        <v/>
      </c>
      <c r="AD54">
        <f>HYPERLINK("https://klasma.github.io/Logging_2282/tillsynsmail/A 2167-2026 tillsynsbegäran mail.docx", "A 2167-2026")</f>
        <v/>
      </c>
    </row>
    <row r="55" ht="15" customHeight="1">
      <c r="A55" t="inlineStr">
        <is>
          <t>A 41024-2025</t>
        </is>
      </c>
      <c r="B55" t="inlineStr">
        <is>
          <t>avverkningsanmälan</t>
        </is>
      </c>
      <c r="C55" t="inlineStr">
        <is>
          <t>Föryngringsavverkning</t>
        </is>
      </c>
      <c r="D55" s="1" t="n">
        <v>45898</v>
      </c>
      <c r="E55" s="1" t="n">
        <v>46292</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46292</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26125-2024</t>
        </is>
      </c>
      <c r="B57" t="inlineStr">
        <is>
          <t>avverkningsanmälan</t>
        </is>
      </c>
      <c r="C57" t="inlineStr">
        <is>
          <t>Föryngringsavverkning</t>
        </is>
      </c>
      <c r="D57" s="1" t="n">
        <v>45468</v>
      </c>
      <c r="E57" s="1" t="n">
        <v>46292</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46292</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7018-2023</t>
        </is>
      </c>
      <c r="B59" t="inlineStr">
        <is>
          <t>avverkningsanmälan</t>
        </is>
      </c>
      <c r="C59" t="inlineStr">
        <is>
          <t>Avverkning för att bevara och utveckla /försöksver</t>
        </is>
      </c>
      <c r="D59" s="1" t="n">
        <v>44967</v>
      </c>
      <c r="E59" s="1" t="n">
        <v>46292</v>
      </c>
      <c r="F59" t="inlineStr">
        <is>
          <t>VÄSTERNORRLANDS LÄN</t>
        </is>
      </c>
      <c r="G59" t="inlineStr">
        <is>
          <t>KRAMFORS</t>
        </is>
      </c>
      <c r="H59" t="inlineStr">
        <is>
          <t>SCA</t>
        </is>
      </c>
      <c r="I59" t="n">
        <v>0.7</v>
      </c>
      <c r="J59" t="n">
        <v>0</v>
      </c>
      <c r="K59" t="n">
        <v>1</v>
      </c>
      <c r="L59" t="n">
        <v>1</v>
      </c>
      <c r="M59" t="n">
        <v>0</v>
      </c>
      <c r="N59" t="n">
        <v>0</v>
      </c>
      <c r="O59" t="n">
        <v>0</v>
      </c>
      <c r="P59" t="n">
        <v>0</v>
      </c>
      <c r="Q59" t="n">
        <v>1</v>
      </c>
      <c r="R59" t="n">
        <v>0</v>
      </c>
      <c r="S59" t="n">
        <v>2</v>
      </c>
      <c r="T59" t="n">
        <v>2</v>
      </c>
      <c r="U59" t="n">
        <v>0</v>
      </c>
      <c r="V59" s="2" t="inlineStr">
        <is>
          <t>Månlåsbräken
Skinnlav</t>
        </is>
      </c>
      <c r="W59">
        <f>HYPERLINK("https://klasma.github.io/Logging_2282/artfynd/A 7018-2023 artfynd.xlsx", "A 7018-2023")</f>
        <v/>
      </c>
      <c r="X59">
        <f>HYPERLINK("https://klasma.github.io/Logging_2282/kartor/A 7018-2023 karta.png", "A 7018-2023")</f>
        <v/>
      </c>
      <c r="Y59">
        <f>HYPERLINK("https://klasma.github.io/Logging_2282/kartor_geotiff/A 7018-2023 georefererad karta.tif", "A 7018-2023")</f>
        <v/>
      </c>
      <c r="AA59">
        <f>HYPERLINK("https://klasma.github.io/Logging_2282/klagomål/A 7018-2023 FSC-klagomål.docx", "A 7018-2023")</f>
        <v/>
      </c>
      <c r="AB59">
        <f>HYPERLINK("https://klasma.github.io/Logging_2282/klagomålsmail/A 7018-2023 FSC-klagomål mail.docx", "A 7018-2023")</f>
        <v/>
      </c>
      <c r="AC59">
        <f>HYPERLINK("https://klasma.github.io/Logging_2282/tillsyn/A 7018-2023 tillsynsbegäran.docx", "A 7018-2023")</f>
        <v/>
      </c>
      <c r="AD59">
        <f>HYPERLINK("https://klasma.github.io/Logging_2282/tillsynsmail/A 7018-2023 tillsynsbegäran mail.docx", "A 7018-2023")</f>
        <v/>
      </c>
    </row>
    <row r="60" ht="15" customHeight="1">
      <c r="A60" t="inlineStr">
        <is>
          <t>A 32160-2024</t>
        </is>
      </c>
      <c r="B60" t="inlineStr">
        <is>
          <t>avverkningsanmälan</t>
        </is>
      </c>
      <c r="C60" t="inlineStr">
        <is>
          <t>Föryngringsavverkning</t>
        </is>
      </c>
      <c r="D60" s="1" t="n">
        <v>45511</v>
      </c>
      <c r="E60" s="1" t="n">
        <v>46292</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33134-2025</t>
        </is>
      </c>
      <c r="B61" t="inlineStr">
        <is>
          <t>avverkningsanmälan</t>
        </is>
      </c>
      <c r="C61" t="inlineStr">
        <is>
          <t>Avverkning för annat ändamål</t>
        </is>
      </c>
      <c r="D61" s="1" t="n">
        <v>45840</v>
      </c>
      <c r="E61" s="1" t="n">
        <v>46292</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25763-2026</t>
        </is>
      </c>
      <c r="B62" t="inlineStr">
        <is>
          <t>avverkningsanmälan</t>
        </is>
      </c>
      <c r="C62" t="inlineStr">
        <is>
          <t>Föryngringsavverkning</t>
        </is>
      </c>
      <c r="D62" s="1" t="n">
        <v>46178</v>
      </c>
      <c r="E62" s="1" t="n">
        <v>46292</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34314-2026</t>
        </is>
      </c>
      <c r="B63" t="inlineStr">
        <is>
          <t>avverkningsanmälan</t>
        </is>
      </c>
      <c r="C63" t="inlineStr">
        <is>
          <t>Föryngringsavverkning</t>
        </is>
      </c>
      <c r="D63" s="1" t="n">
        <v>46254</v>
      </c>
      <c r="E63" s="1" t="n">
        <v>46292</v>
      </c>
      <c r="F63" t="inlineStr">
        <is>
          <t>VÄSTERNORRLANDS LÄN</t>
        </is>
      </c>
      <c r="G63" t="inlineStr">
        <is>
          <t>KRAMFORS</t>
        </is>
      </c>
      <c r="H63" t="inlineStr">
        <is>
          <t>SCA</t>
        </is>
      </c>
      <c r="I63" t="n">
        <v>14.8</v>
      </c>
      <c r="J63" t="n">
        <v>1</v>
      </c>
      <c r="K63" t="n">
        <v>1</v>
      </c>
      <c r="L63" t="n">
        <v>0</v>
      </c>
      <c r="M63" t="n">
        <v>1</v>
      </c>
      <c r="N63" t="n">
        <v>0</v>
      </c>
      <c r="O63" t="n">
        <v>0</v>
      </c>
      <c r="P63" t="n">
        <v>0</v>
      </c>
      <c r="Q63" t="n">
        <v>1</v>
      </c>
      <c r="R63" t="n">
        <v>1</v>
      </c>
      <c r="S63" t="n">
        <v>2</v>
      </c>
      <c r="T63" t="n">
        <v>3</v>
      </c>
      <c r="U63" t="n">
        <v>0</v>
      </c>
      <c r="V63" s="2" t="inlineStr">
        <is>
          <t>Garnlav
Korallrot</t>
        </is>
      </c>
      <c r="W63">
        <f>HYPERLINK("https://klasma.github.io/Logging_2282/artfynd/A 34314-2026 artfynd.xlsx", "A 34314-2026")</f>
        <v/>
      </c>
      <c r="X63">
        <f>HYPERLINK("https://klasma.github.io/Logging_2282/kartor/A 34314-2026 karta.png", "A 34314-2026")</f>
        <v/>
      </c>
      <c r="Y63">
        <f>HYPERLINK("https://klasma.github.io/Logging_2282/kartor_geotiff/A 34314-2026 georefererad karta.tif", "A 34314-2026")</f>
        <v/>
      </c>
      <c r="AA63">
        <f>HYPERLINK("https://klasma.github.io/Logging_2282/klagomål/A 34314-2026 FSC-klagomål.docx", "A 34314-2026")</f>
        <v/>
      </c>
      <c r="AB63">
        <f>HYPERLINK("https://klasma.github.io/Logging_2282/klagomålsmail/A 34314-2026 FSC-klagomål mail.docx", "A 34314-2026")</f>
        <v/>
      </c>
      <c r="AC63">
        <f>HYPERLINK("https://klasma.github.io/Logging_2282/tillsyn/A 34314-2026 tillsynsbegäran.docx", "A 34314-2026")</f>
        <v/>
      </c>
      <c r="AD63">
        <f>HYPERLINK("https://klasma.github.io/Logging_2282/tillsynsmail/A 34314-2026 tillsynsbegäran mail.docx", "A 34314-2026")</f>
        <v/>
      </c>
    </row>
    <row r="64" ht="15" customHeight="1">
      <c r="A64" t="inlineStr">
        <is>
          <t>A 43005-2023</t>
        </is>
      </c>
      <c r="B64" t="inlineStr">
        <is>
          <t>avverkningsanmälan</t>
        </is>
      </c>
      <c r="C64" t="inlineStr">
        <is>
          <t>Föryngringsavverkning</t>
        </is>
      </c>
      <c r="D64" s="1" t="n">
        <v>45182</v>
      </c>
      <c r="E64" s="1" t="n">
        <v>46292</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t="n">
        <v>1</v>
      </c>
      <c r="V64" s="2" t="inlineStr">
        <is>
          <t>Reliktbock
Spillkråka</t>
        </is>
      </c>
      <c r="W64">
        <f>HYPERLINK("https://klasma.github.io/Logging_2282/artfynd/A 43005-2023 artfynd.xlsx", "A 43005-2023")</f>
        <v/>
      </c>
      <c r="X64">
        <f>HYPERLINK("https://klasma.github.io/Logging_2282/kartor/A 43005-2023 karta.png", "A 43005-2023")</f>
        <v/>
      </c>
      <c r="Y64">
        <f>HYPERLINK("https://klasma.github.io/Logging_2282/kartor_geotiff/A 43005-2023 georefererad karta.tif", "A 43005-2023")</f>
        <v/>
      </c>
      <c r="AA64">
        <f>HYPERLINK("https://klasma.github.io/Logging_2282/klagomål/A 43005-2023 FSC-klagomål.docx", "A 43005-2023")</f>
        <v/>
      </c>
      <c r="AB64">
        <f>HYPERLINK("https://klasma.github.io/Logging_2282/klagomålsmail/A 43005-2023 FSC-klagomål mail.docx", "A 43005-2023")</f>
        <v/>
      </c>
      <c r="AC64">
        <f>HYPERLINK("https://klasma.github.io/Logging_2282/tillsyn/A 43005-2023 tillsynsbegäran.docx", "A 43005-2023")</f>
        <v/>
      </c>
      <c r="AD64">
        <f>HYPERLINK("https://klasma.github.io/Logging_2282/tillsynsmail/A 43005-2023 tillsynsbegäran mail.docx", "A 43005-2023")</f>
        <v/>
      </c>
      <c r="AE64">
        <f>HYPERLINK("https://klasma.github.io/Logging_2282/fåglar/A 43005-2023 prioriterade fågelarter.docx", "A 43005-2023")</f>
        <v/>
      </c>
    </row>
    <row r="65" ht="15" customHeight="1">
      <c r="A65" t="inlineStr">
        <is>
          <t>A 36976-2026</t>
        </is>
      </c>
      <c r="B65" t="inlineStr">
        <is>
          <t>avverkningsanmälan</t>
        </is>
      </c>
      <c r="C65" t="inlineStr">
        <is>
          <t>Föryngringsavverkning</t>
        </is>
      </c>
      <c r="D65" s="1" t="n">
        <v>46273</v>
      </c>
      <c r="E65" s="1" t="n">
        <v>46292</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46292</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32811-2026</t>
        </is>
      </c>
      <c r="B67" t="inlineStr">
        <is>
          <t>avverkningsanmälan</t>
        </is>
      </c>
      <c r="C67" t="inlineStr">
        <is>
          <t>Föryngringsavverkning</t>
        </is>
      </c>
      <c r="D67" s="1" t="n">
        <v>46241</v>
      </c>
      <c r="E67" s="1" t="n">
        <v>46292</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46292</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33210-2023</t>
        </is>
      </c>
      <c r="B69" t="inlineStr">
        <is>
          <t>avverkningsanmälan</t>
        </is>
      </c>
      <c r="C69" t="inlineStr">
        <is>
          <t>Föryngringsavverkning</t>
        </is>
      </c>
      <c r="D69" s="1" t="n">
        <v>45114</v>
      </c>
      <c r="E69" s="1" t="n">
        <v>46292</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A 39492-2024</t>
        </is>
      </c>
      <c r="B70" t="inlineStr">
        <is>
          <t>avverkningsanmälan</t>
        </is>
      </c>
      <c r="C70" t="inlineStr">
        <is>
          <t>Föryngringsavverkning</t>
        </is>
      </c>
      <c r="D70" s="1" t="n">
        <v>45551</v>
      </c>
      <c r="E70" s="1" t="n">
        <v>46292</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46292</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46292</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46292</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46292</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46292</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63915-2025</t>
        </is>
      </c>
      <c r="B76" t="inlineStr">
        <is>
          <t>avverkningsanmälan</t>
        </is>
      </c>
      <c r="C76" t="inlineStr">
        <is>
          <t>Föryngringsavverkning</t>
        </is>
      </c>
      <c r="D76" s="1" t="n">
        <v>46020</v>
      </c>
      <c r="E76" s="1" t="n">
        <v>46292</v>
      </c>
      <c r="F76" t="inlineStr">
        <is>
          <t>VÄSTERNORRLANDS LÄN</t>
        </is>
      </c>
      <c r="G76" t="inlineStr">
        <is>
          <t>KRAMFORS</t>
        </is>
      </c>
      <c r="I76" t="n">
        <v>10.2</v>
      </c>
      <c r="J76" t="n">
        <v>1</v>
      </c>
      <c r="K76" t="n">
        <v>0</v>
      </c>
      <c r="L76" t="n">
        <v>1</v>
      </c>
      <c r="M76" t="n">
        <v>0</v>
      </c>
      <c r="N76" t="n">
        <v>0</v>
      </c>
      <c r="O76" t="n">
        <v>0</v>
      </c>
      <c r="P76" t="n">
        <v>0</v>
      </c>
      <c r="Q76" t="n">
        <v>1</v>
      </c>
      <c r="R76" t="n">
        <v>0</v>
      </c>
      <c r="S76" t="n">
        <v>1</v>
      </c>
      <c r="T76" t="n">
        <v>1</v>
      </c>
      <c r="U76" t="n">
        <v>0</v>
      </c>
      <c r="V76" s="2" t="inlineStr">
        <is>
          <t>Mindre hackspett</t>
        </is>
      </c>
      <c r="W76">
        <f>HYPERLINK("https://klasma.github.io/Logging_2282/artfynd/A 63915-2025 artfynd.xlsx", "A 63915-2025")</f>
        <v/>
      </c>
      <c r="X76">
        <f>HYPERLINK("https://klasma.github.io/Logging_2282/kartor/A 63915-2025 karta.png", "A 63915-2025")</f>
        <v/>
      </c>
      <c r="Y76">
        <f>HYPERLINK("https://klasma.github.io/Logging_2282/kartor_geotiff/A 63915-2025 georefererad karta.tif", "A 63915-2025")</f>
        <v/>
      </c>
      <c r="AA76">
        <f>HYPERLINK("https://klasma.github.io/Logging_2282/klagomål/A 63915-2025 FSC-klagomål.docx", "A 63915-2025")</f>
        <v/>
      </c>
      <c r="AB76">
        <f>HYPERLINK("https://klasma.github.io/Logging_2282/klagomålsmail/A 63915-2025 FSC-klagomål mail.docx", "A 63915-2025")</f>
        <v/>
      </c>
      <c r="AC76">
        <f>HYPERLINK("https://klasma.github.io/Logging_2282/tillsyn/A 63915-2025 tillsynsbegäran.docx", "A 63915-2025")</f>
        <v/>
      </c>
      <c r="AD76">
        <f>HYPERLINK("https://klasma.github.io/Logging_2282/tillsynsmail/A 63915-2025 tillsynsbegäran mail.docx", "A 63915-2025")</f>
        <v/>
      </c>
      <c r="AE76">
        <f>HYPERLINK("https://klasma.github.io/Logging_2282/fåglar/A 63915-2025 prioriterade fågelarter.docx", "A 63915-2025")</f>
        <v/>
      </c>
    </row>
    <row r="77" ht="15" customHeight="1">
      <c r="A77" t="inlineStr">
        <is>
          <t>A 63983-2025</t>
        </is>
      </c>
      <c r="B77" t="inlineStr">
        <is>
          <t>avverkningsanmälan</t>
        </is>
      </c>
      <c r="C77" t="inlineStr">
        <is>
          <t>Föryngringsavverkning</t>
        </is>
      </c>
      <c r="D77" s="1" t="n">
        <v>46021</v>
      </c>
      <c r="E77" s="1" t="n">
        <v>46292</v>
      </c>
      <c r="F77" t="inlineStr">
        <is>
          <t>VÄSTERNORRLANDS LÄN</t>
        </is>
      </c>
      <c r="G77" t="inlineStr">
        <is>
          <t>KRAMFORS</t>
        </is>
      </c>
      <c r="I77" t="n">
        <v>4.6</v>
      </c>
      <c r="J77" t="n">
        <v>1</v>
      </c>
      <c r="K77" t="n">
        <v>0</v>
      </c>
      <c r="L77" t="n">
        <v>1</v>
      </c>
      <c r="M77" t="n">
        <v>0</v>
      </c>
      <c r="N77" t="n">
        <v>0</v>
      </c>
      <c r="O77" t="n">
        <v>0</v>
      </c>
      <c r="P77" t="n">
        <v>0</v>
      </c>
      <c r="Q77" t="n">
        <v>1</v>
      </c>
      <c r="R77" t="n">
        <v>0</v>
      </c>
      <c r="S77" t="n">
        <v>1</v>
      </c>
      <c r="T77" t="n">
        <v>1</v>
      </c>
      <c r="U77" t="n">
        <v>0</v>
      </c>
      <c r="V77" s="2" t="inlineStr">
        <is>
          <t>Talltita</t>
        </is>
      </c>
      <c r="W77">
        <f>HYPERLINK("https://klasma.github.io/Logging_2282/artfynd/A 63983-2025 artfynd.xlsx", "A 63983-2025")</f>
        <v/>
      </c>
      <c r="X77">
        <f>HYPERLINK("https://klasma.github.io/Logging_2282/kartor/A 63983-2025 karta.png", "A 63983-2025")</f>
        <v/>
      </c>
      <c r="Y77">
        <f>HYPERLINK("https://klasma.github.io/Logging_2282/kartor_geotiff/A 63983-2025 georefererad karta.tif", "A 63983-2025")</f>
        <v/>
      </c>
      <c r="AA77">
        <f>HYPERLINK("https://klasma.github.io/Logging_2282/klagomål/A 63983-2025 FSC-klagomål.docx", "A 63983-2025")</f>
        <v/>
      </c>
      <c r="AB77">
        <f>HYPERLINK("https://klasma.github.io/Logging_2282/klagomålsmail/A 63983-2025 FSC-klagomål mail.docx", "A 63983-2025")</f>
        <v/>
      </c>
      <c r="AC77">
        <f>HYPERLINK("https://klasma.github.io/Logging_2282/tillsyn/A 63983-2025 tillsynsbegäran.docx", "A 63983-2025")</f>
        <v/>
      </c>
      <c r="AD77">
        <f>HYPERLINK("https://klasma.github.io/Logging_2282/tillsynsmail/A 63983-2025 tillsynsbegäran mail.docx", "A 63983-2025")</f>
        <v/>
      </c>
      <c r="AE77">
        <f>HYPERLINK("https://klasma.github.io/Logging_2282/fåglar/A 63983-2025 prioriterade fågelarter.docx", "A 63983-2025")</f>
        <v/>
      </c>
    </row>
    <row r="78" ht="15" customHeight="1">
      <c r="A78" t="inlineStr">
        <is>
          <t>A 93-2026</t>
        </is>
      </c>
      <c r="B78" t="inlineStr">
        <is>
          <t>avverkningsanmälan</t>
        </is>
      </c>
      <c r="C78" t="inlineStr">
        <is>
          <t>Föryngringsavverkning</t>
        </is>
      </c>
      <c r="D78" s="1" t="n">
        <v>46024</v>
      </c>
      <c r="E78" s="1" t="n">
        <v>46292</v>
      </c>
      <c r="F78" t="inlineStr">
        <is>
          <t>VÄSTERNORRLANDS LÄN</t>
        </is>
      </c>
      <c r="G78" t="inlineStr">
        <is>
          <t>KRAMFORS</t>
        </is>
      </c>
      <c r="I78" t="n">
        <v>3.1</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HYPERLINK("https://klasma.github.io/Logging_2282/artfynd/A 93-2026 artfynd.xlsx", "A 93-2026")</f>
        <v/>
      </c>
      <c r="X78">
        <f>HYPERLINK("https://klasma.github.io/Logging_2282/kartor/A 93-2026 karta.png", "A 93-2026")</f>
        <v/>
      </c>
      <c r="Y78">
        <f>HYPERLINK("https://klasma.github.io/Logging_2282/kartor_geotiff/A 93-2026 georefererad karta.tif", "A 93-2026")</f>
        <v/>
      </c>
      <c r="AA78">
        <f>HYPERLINK("https://klasma.github.io/Logging_2282/klagomål/A 93-2026 FSC-klagomål.docx", "A 93-2026")</f>
        <v/>
      </c>
      <c r="AB78">
        <f>HYPERLINK("https://klasma.github.io/Logging_2282/klagomålsmail/A 93-2026 FSC-klagomål mail.docx", "A 93-2026")</f>
        <v/>
      </c>
      <c r="AC78">
        <f>HYPERLINK("https://klasma.github.io/Logging_2282/tillsyn/A 93-2026 tillsynsbegäran.docx", "A 93-2026")</f>
        <v/>
      </c>
      <c r="AD78">
        <f>HYPERLINK("https://klasma.github.io/Logging_2282/tillsynsmail/A 93-2026 tillsynsbegäran mail.docx", "A 93-2026")</f>
        <v/>
      </c>
    </row>
    <row r="79" ht="15" customHeight="1">
      <c r="A79" t="inlineStr">
        <is>
          <t>A 1131-2026</t>
        </is>
      </c>
      <c r="B79" t="inlineStr">
        <is>
          <t>avverkningsanmälan</t>
        </is>
      </c>
      <c r="C79" t="inlineStr">
        <is>
          <t>Föryngringsavverkning</t>
        </is>
      </c>
      <c r="D79" s="1" t="n">
        <v>46030</v>
      </c>
      <c r="E79" s="1" t="n">
        <v>46292</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1136-2026</t>
        </is>
      </c>
      <c r="B80" t="inlineStr">
        <is>
          <t>avverkningsanmälan</t>
        </is>
      </c>
      <c r="C80" t="inlineStr">
        <is>
          <t>Föryngringsavverkning</t>
        </is>
      </c>
      <c r="D80" s="1" t="n">
        <v>46030</v>
      </c>
      <c r="E80" s="1" t="n">
        <v>46292</v>
      </c>
      <c r="F80" t="inlineStr">
        <is>
          <t>VÄSTERNORRLANDS LÄN</t>
        </is>
      </c>
      <c r="G80" t="inlineStr">
        <is>
          <t>KRAMFORS</t>
        </is>
      </c>
      <c r="I80" t="n">
        <v>4</v>
      </c>
      <c r="J80" t="n">
        <v>1</v>
      </c>
      <c r="K80" t="n">
        <v>0</v>
      </c>
      <c r="L80" t="n">
        <v>0</v>
      </c>
      <c r="M80" t="n">
        <v>0</v>
      </c>
      <c r="N80" t="n">
        <v>0</v>
      </c>
      <c r="O80" t="n">
        <v>0</v>
      </c>
      <c r="P80" t="n">
        <v>0</v>
      </c>
      <c r="Q80" t="n">
        <v>0</v>
      </c>
      <c r="R80" t="n">
        <v>0</v>
      </c>
      <c r="S80" t="n">
        <v>1</v>
      </c>
      <c r="T80" t="n">
        <v>1</v>
      </c>
      <c r="U80" t="n">
        <v>0</v>
      </c>
      <c r="V80" s="2" t="inlineStr">
        <is>
          <t>Järpe</t>
        </is>
      </c>
      <c r="W80">
        <f>HYPERLINK("https://klasma.github.io/Logging_2282/artfynd/A 1136-2026 artfynd.xlsx", "A 1136-2026")</f>
        <v/>
      </c>
      <c r="X80">
        <f>HYPERLINK("https://klasma.github.io/Logging_2282/kartor/A 1136-2026 karta.png", "A 1136-2026")</f>
        <v/>
      </c>
      <c r="Y80">
        <f>HYPERLINK("https://klasma.github.io/Logging_2282/kartor_geotiff/A 1136-2026 georefererad karta.tif", "A 1136-2026")</f>
        <v/>
      </c>
      <c r="AA80">
        <f>HYPERLINK("https://klasma.github.io/Logging_2282/klagomål/A 1136-2026 FSC-klagomål.docx", "A 1136-2026")</f>
        <v/>
      </c>
      <c r="AB80">
        <f>HYPERLINK("https://klasma.github.io/Logging_2282/klagomålsmail/A 1136-2026 FSC-klagomål mail.docx", "A 1136-2026")</f>
        <v/>
      </c>
      <c r="AC80">
        <f>HYPERLINK("https://klasma.github.io/Logging_2282/tillsyn/A 1136-2026 tillsynsbegäran.docx", "A 1136-2026")</f>
        <v/>
      </c>
      <c r="AD80">
        <f>HYPERLINK("https://klasma.github.io/Logging_2282/tillsynsmail/A 1136-2026 tillsynsbegäran mail.docx", "A 1136-2026")</f>
        <v/>
      </c>
      <c r="AE80">
        <f>HYPERLINK("https://klasma.github.io/Logging_2282/fåglar/A 1136-2026 prioriterade fågelarter.docx", "A 1136-2026")</f>
        <v/>
      </c>
    </row>
    <row r="81" ht="15" customHeight="1">
      <c r="A81" t="inlineStr">
        <is>
          <t>A 4764-2026</t>
        </is>
      </c>
      <c r="B81" t="inlineStr">
        <is>
          <t>avverkningsanmälan</t>
        </is>
      </c>
      <c r="C81" t="inlineStr">
        <is>
          <t>Föryngringsavverkning</t>
        </is>
      </c>
      <c r="D81" s="1" t="n">
        <v>46048</v>
      </c>
      <c r="E81" s="1" t="n">
        <v>46292</v>
      </c>
      <c r="F81" t="inlineStr">
        <is>
          <t>VÄSTERNORRLANDS LÄN</t>
        </is>
      </c>
      <c r="G81" t="inlineStr">
        <is>
          <t>KRAMFORS</t>
        </is>
      </c>
      <c r="I81" t="n">
        <v>2.7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HYPERLINK("https://klasma.github.io/Logging_2282/artfynd/A 4764-2026 artfynd.xlsx", "A 4764-2026")</f>
        <v/>
      </c>
      <c r="X81">
        <f>HYPERLINK("https://klasma.github.io/Logging_2282/kartor/A 4764-2026 karta.png", "A 4764-2026")</f>
        <v/>
      </c>
      <c r="Y81">
        <f>HYPERLINK("https://klasma.github.io/Logging_2282/kartor_geotiff/A 4764-2026 georefererad karta.tif", "A 4764-2026")</f>
        <v/>
      </c>
      <c r="AA81">
        <f>HYPERLINK("https://klasma.github.io/Logging_2282/klagomål/A 4764-2026 FSC-klagomål.docx", "A 4764-2026")</f>
        <v/>
      </c>
      <c r="AB81">
        <f>HYPERLINK("https://klasma.github.io/Logging_2282/klagomålsmail/A 4764-2026 FSC-klagomål mail.docx", "A 4764-2026")</f>
        <v/>
      </c>
      <c r="AC81">
        <f>HYPERLINK("https://klasma.github.io/Logging_2282/tillsyn/A 4764-2026 tillsynsbegäran.docx", "A 4764-2026")</f>
        <v/>
      </c>
      <c r="AD81">
        <f>HYPERLINK("https://klasma.github.io/Logging_2282/tillsynsmail/A 4764-2026 tillsynsbegäran mail.docx", "A 4764-2026")</f>
        <v/>
      </c>
    </row>
    <row r="82" ht="15" customHeight="1">
      <c r="A82" t="inlineStr">
        <is>
          <t>A 46115-2025</t>
        </is>
      </c>
      <c r="B82" t="inlineStr">
        <is>
          <t>avverkningsanmälan</t>
        </is>
      </c>
      <c r="C82" t="inlineStr">
        <is>
          <t>Avverkning för annat ändamål</t>
        </is>
      </c>
      <c r="D82" s="1" t="n">
        <v>45924</v>
      </c>
      <c r="E82" s="1" t="n">
        <v>46292</v>
      </c>
      <c r="F82" t="inlineStr">
        <is>
          <t>VÄSTERNORRLANDS LÄN</t>
        </is>
      </c>
      <c r="G82" t="inlineStr">
        <is>
          <t>KRAMFORS</t>
        </is>
      </c>
      <c r="I82" t="n">
        <v>0.5</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HYPERLINK("https://klasma.github.io/Logging_2282/artfynd/A 46115-2025 artfynd.xlsx", "A 46115-2025")</f>
        <v/>
      </c>
      <c r="X82">
        <f>HYPERLINK("https://klasma.github.io/Logging_2282/kartor/A 46115-2025 karta.png", "A 46115-2025")</f>
        <v/>
      </c>
      <c r="Y82">
        <f>HYPERLINK("https://klasma.github.io/Logging_2282/kartor_geotiff/A 46115-2025 georefererad karta.tif", "A 46115-2025")</f>
        <v/>
      </c>
      <c r="Z82">
        <f>HYPERLINK("https://klasma.github.io/Logging_2282/knärot/A 46115-2025 karta knärot.png", "A 46115-2025")</f>
        <v/>
      </c>
      <c r="AA82">
        <f>HYPERLINK("https://klasma.github.io/Logging_2282/klagomål/A 46115-2025 FSC-klagomål.docx", "A 46115-2025")</f>
        <v/>
      </c>
      <c r="AB82">
        <f>HYPERLINK("https://klasma.github.io/Logging_2282/klagomålsmail/A 46115-2025 FSC-klagomål mail.docx", "A 46115-2025")</f>
        <v/>
      </c>
      <c r="AC82">
        <f>HYPERLINK("https://klasma.github.io/Logging_2282/tillsyn/A 46115-2025 tillsynsbegäran.docx", "A 46115-2025")</f>
        <v/>
      </c>
      <c r="AD82">
        <f>HYPERLINK("https://klasma.github.io/Logging_2282/tillsynsmail/A 46115-2025 tillsynsbegäran mail.docx", "A 46115-2025")</f>
        <v/>
      </c>
    </row>
    <row r="83" ht="15" customHeight="1">
      <c r="A83" t="inlineStr">
        <is>
          <t>A 9599-2026</t>
        </is>
      </c>
      <c r="B83" t="inlineStr">
        <is>
          <t>avverkningsanmälan</t>
        </is>
      </c>
      <c r="C83" t="inlineStr">
        <is>
          <t>Föryngringsavverkning</t>
        </is>
      </c>
      <c r="D83" s="1" t="n">
        <v>46071</v>
      </c>
      <c r="E83" s="1" t="n">
        <v>46292</v>
      </c>
      <c r="F83" t="inlineStr">
        <is>
          <t>VÄSTERNORRLANDS LÄN</t>
        </is>
      </c>
      <c r="G83" t="inlineStr">
        <is>
          <t>KRAMFORS</t>
        </is>
      </c>
      <c r="I83" t="n">
        <v>1.1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9599-2026 artfynd.xlsx", "A 9599-2026")</f>
        <v/>
      </c>
      <c r="X83">
        <f>HYPERLINK("https://klasma.github.io/Logging_2282/kartor/A 9599-2026 karta.png", "A 9599-2026")</f>
        <v/>
      </c>
      <c r="Y83">
        <f>HYPERLINK("https://klasma.github.io/Logging_2282/kartor_geotiff/A 9599-2026 georefererad karta.tif", "A 9599-2026")</f>
        <v/>
      </c>
      <c r="AA83">
        <f>HYPERLINK("https://klasma.github.io/Logging_2282/klagomål/A 9599-2026 FSC-klagomål.docx", "A 9599-2026")</f>
        <v/>
      </c>
      <c r="AB83">
        <f>HYPERLINK("https://klasma.github.io/Logging_2282/klagomålsmail/A 9599-2026 FSC-klagomål mail.docx", "A 9599-2026")</f>
        <v/>
      </c>
      <c r="AC83">
        <f>HYPERLINK("https://klasma.github.io/Logging_2282/tillsyn/A 9599-2026 tillsynsbegäran.docx", "A 9599-2026")</f>
        <v/>
      </c>
      <c r="AD83">
        <f>HYPERLINK("https://klasma.github.io/Logging_2282/tillsynsmail/A 9599-2026 tillsynsbegäran mail.docx", "A 9599-2026")</f>
        <v/>
      </c>
      <c r="AE83">
        <f>HYPERLINK("https://klasma.github.io/Logging_2282/fåglar/A 9599-2026 prioriterade fågelarter.docx", "A 9599-2026")</f>
        <v/>
      </c>
    </row>
    <row r="84" ht="15" customHeight="1">
      <c r="A84" t="inlineStr">
        <is>
          <t>A 50134-2025</t>
        </is>
      </c>
      <c r="B84" t="inlineStr">
        <is>
          <t>avverkningsanmälan</t>
        </is>
      </c>
      <c r="C84" t="inlineStr">
        <is>
          <t>Föryngringsavverkning</t>
        </is>
      </c>
      <c r="D84" s="1" t="n">
        <v>45943</v>
      </c>
      <c r="E84" s="1" t="n">
        <v>46292</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13901-2026</t>
        </is>
      </c>
      <c r="B85" t="inlineStr">
        <is>
          <t>avverkningsanmälan</t>
        </is>
      </c>
      <c r="C85" t="inlineStr">
        <is>
          <t>Föryngringsavverkning</t>
        </is>
      </c>
      <c r="D85" s="1" t="n">
        <v>46098</v>
      </c>
      <c r="E85" s="1" t="n">
        <v>46292</v>
      </c>
      <c r="F85" t="inlineStr">
        <is>
          <t>VÄSTERNORRLANDS LÄN</t>
        </is>
      </c>
      <c r="G85" t="inlineStr">
        <is>
          <t>KRAMFORS</t>
        </is>
      </c>
      <c r="I85" t="n">
        <v>4.2</v>
      </c>
      <c r="J85" t="n">
        <v>0</v>
      </c>
      <c r="K85" t="n">
        <v>0</v>
      </c>
      <c r="L85" t="n">
        <v>1</v>
      </c>
      <c r="M85" t="n">
        <v>0</v>
      </c>
      <c r="N85" t="n">
        <v>0</v>
      </c>
      <c r="O85" t="n">
        <v>0</v>
      </c>
      <c r="P85" t="n">
        <v>0</v>
      </c>
      <c r="Q85" t="n">
        <v>1</v>
      </c>
      <c r="R85" t="n">
        <v>0</v>
      </c>
      <c r="S85" t="n">
        <v>1</v>
      </c>
      <c r="T85" t="n">
        <v>1</v>
      </c>
      <c r="U85" t="n">
        <v>0</v>
      </c>
      <c r="V85" s="2" t="inlineStr">
        <is>
          <t>Rosenticka</t>
        </is>
      </c>
      <c r="W85">
        <f>HYPERLINK("https://klasma.github.io/Logging_2282/artfynd/A 13901-2026 artfynd.xlsx", "A 13901-2026")</f>
        <v/>
      </c>
      <c r="X85">
        <f>HYPERLINK("https://klasma.github.io/Logging_2282/kartor/A 13901-2026 karta.png", "A 13901-2026")</f>
        <v/>
      </c>
      <c r="Y85">
        <f>HYPERLINK("https://klasma.github.io/Logging_2282/kartor_geotiff/A 13901-2026 georefererad karta.tif", "A 13901-2026")</f>
        <v/>
      </c>
      <c r="AA85">
        <f>HYPERLINK("https://klasma.github.io/Logging_2282/klagomål/A 13901-2026 FSC-klagomål.docx", "A 13901-2026")</f>
        <v/>
      </c>
      <c r="AB85">
        <f>HYPERLINK("https://klasma.github.io/Logging_2282/klagomålsmail/A 13901-2026 FSC-klagomål mail.docx", "A 13901-2026")</f>
        <v/>
      </c>
      <c r="AC85">
        <f>HYPERLINK("https://klasma.github.io/Logging_2282/tillsyn/A 13901-2026 tillsynsbegäran.docx", "A 13901-2026")</f>
        <v/>
      </c>
      <c r="AD85">
        <f>HYPERLINK("https://klasma.github.io/Logging_2282/tillsynsmail/A 13901-2026 tillsynsbegäran mail.docx", "A 13901-2026")</f>
        <v/>
      </c>
    </row>
    <row r="86" ht="15" customHeight="1">
      <c r="A86" t="inlineStr">
        <is>
          <t>A 6445-2023</t>
        </is>
      </c>
      <c r="B86" t="inlineStr">
        <is>
          <t>avverkningsanmälan</t>
        </is>
      </c>
      <c r="C86" t="inlineStr">
        <is>
          <t>Föryngringsavverkning</t>
        </is>
      </c>
      <c r="D86" s="1" t="n">
        <v>44965</v>
      </c>
      <c r="E86" s="1" t="n">
        <v>46292</v>
      </c>
      <c r="F86" t="inlineStr">
        <is>
          <t>VÄSTERNORRLANDS LÄN</t>
        </is>
      </c>
      <c r="G86" t="inlineStr">
        <is>
          <t>KRAMFORS</t>
        </is>
      </c>
      <c r="I86" t="n">
        <v>5.2</v>
      </c>
      <c r="J86" t="n">
        <v>0</v>
      </c>
      <c r="K86" t="n">
        <v>1</v>
      </c>
      <c r="L86" t="n">
        <v>0</v>
      </c>
      <c r="M86" t="n">
        <v>0</v>
      </c>
      <c r="N86" t="n">
        <v>0</v>
      </c>
      <c r="O86" t="n">
        <v>0</v>
      </c>
      <c r="P86" t="n">
        <v>0</v>
      </c>
      <c r="Q86" t="n">
        <v>0</v>
      </c>
      <c r="R86" t="n">
        <v>0</v>
      </c>
      <c r="S86" t="n">
        <v>1</v>
      </c>
      <c r="T86" t="n">
        <v>2</v>
      </c>
      <c r="U86" t="n">
        <v>0</v>
      </c>
      <c r="V86" s="2" t="inlineStr">
        <is>
          <t>Skinnlav</t>
        </is>
      </c>
      <c r="W86">
        <f>HYPERLINK("https://klasma.github.io/Logging_2282/artfynd/A 6445-2023 artfynd.xlsx", "A 6445-2023")</f>
        <v/>
      </c>
      <c r="X86">
        <f>HYPERLINK("https://klasma.github.io/Logging_2282/kartor/A 6445-2023 karta.png", "A 6445-2023")</f>
        <v/>
      </c>
      <c r="Y86">
        <f>HYPERLINK("https://klasma.github.io/Logging_2282/kartor_geotiff/A 6445-2023 georefererad karta.tif", "A 6445-2023")</f>
        <v/>
      </c>
      <c r="AA86">
        <f>HYPERLINK("https://klasma.github.io/Logging_2282/klagomål/A 6445-2023 FSC-klagomål.docx", "A 6445-2023")</f>
        <v/>
      </c>
      <c r="AB86">
        <f>HYPERLINK("https://klasma.github.io/Logging_2282/klagomålsmail/A 6445-2023 FSC-klagomål mail.docx", "A 6445-2023")</f>
        <v/>
      </c>
      <c r="AC86">
        <f>HYPERLINK("https://klasma.github.io/Logging_2282/tillsyn/A 6445-2023 tillsynsbegäran.docx", "A 6445-2023")</f>
        <v/>
      </c>
      <c r="AD86">
        <f>HYPERLINK("https://klasma.github.io/Logging_2282/tillsynsmail/A 6445-2023 tillsynsbegäran mail.docx", "A 6445-2023")</f>
        <v/>
      </c>
    </row>
    <row r="87" ht="15" customHeight="1">
      <c r="A87" t="inlineStr">
        <is>
          <t>A 57030-2025</t>
        </is>
      </c>
      <c r="B87" t="inlineStr">
        <is>
          <t>avverkningsanmälan</t>
        </is>
      </c>
      <c r="C87" t="inlineStr">
        <is>
          <t>Föryngringsavverkning</t>
        </is>
      </c>
      <c r="D87" s="1" t="n">
        <v>45979</v>
      </c>
      <c r="E87" s="1" t="n">
        <v>46292</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61008-2025</t>
        </is>
      </c>
      <c r="B88" t="inlineStr">
        <is>
          <t>avverkningsanmälan</t>
        </is>
      </c>
      <c r="C88" t="inlineStr">
        <is>
          <t>Avverkning för annat ändamål</t>
        </is>
      </c>
      <c r="D88" s="1" t="n">
        <v>45998</v>
      </c>
      <c r="E88" s="1" t="n">
        <v>46292</v>
      </c>
      <c r="F88" t="inlineStr">
        <is>
          <t>VÄSTERNORRLANDS LÄN</t>
        </is>
      </c>
      <c r="G88" t="inlineStr">
        <is>
          <t>KRAMFORS</t>
        </is>
      </c>
      <c r="I88" t="n">
        <v>15.8</v>
      </c>
      <c r="J88" t="n">
        <v>1</v>
      </c>
      <c r="K88" t="n">
        <v>0</v>
      </c>
      <c r="L88" t="n">
        <v>0</v>
      </c>
      <c r="M88" t="n">
        <v>0</v>
      </c>
      <c r="N88" t="n">
        <v>0</v>
      </c>
      <c r="O88" t="n">
        <v>1</v>
      </c>
      <c r="P88" t="n">
        <v>0</v>
      </c>
      <c r="Q88" t="n">
        <v>1</v>
      </c>
      <c r="R88" t="n">
        <v>1</v>
      </c>
      <c r="S88" t="n">
        <v>1</v>
      </c>
      <c r="T88" t="n">
        <v>1</v>
      </c>
      <c r="U88" t="n">
        <v>0</v>
      </c>
      <c r="V88" s="2" t="inlineStr">
        <is>
          <t>Ortolansparv</t>
        </is>
      </c>
      <c r="W88">
        <f>HYPERLINK("https://klasma.github.io/Logging_2282/artfynd/A 61008-2025 artfynd.xlsx", "A 61008-2025")</f>
        <v/>
      </c>
      <c r="X88">
        <f>HYPERLINK("https://klasma.github.io/Logging_2282/kartor/A 61008-2025 karta.png", "A 61008-2025")</f>
        <v/>
      </c>
      <c r="Y88">
        <f>HYPERLINK("https://klasma.github.io/Logging_2282/kartor_geotiff/A 61008-2025 georefererad karta.tif", "A 61008-2025")</f>
        <v/>
      </c>
      <c r="AA88">
        <f>HYPERLINK("https://klasma.github.io/Logging_2282/klagomål/A 61008-2025 FSC-klagomål.docx", "A 61008-2025")</f>
        <v/>
      </c>
      <c r="AB88">
        <f>HYPERLINK("https://klasma.github.io/Logging_2282/klagomålsmail/A 61008-2025 FSC-klagomål mail.docx", "A 61008-2025")</f>
        <v/>
      </c>
      <c r="AC88">
        <f>HYPERLINK("https://klasma.github.io/Logging_2282/tillsyn/A 61008-2025 tillsynsbegäran.docx", "A 61008-2025")</f>
        <v/>
      </c>
      <c r="AD88">
        <f>HYPERLINK("https://klasma.github.io/Logging_2282/tillsynsmail/A 61008-2025 tillsynsbegäran mail.docx", "A 61008-2025")</f>
        <v/>
      </c>
      <c r="AE88">
        <f>HYPERLINK("https://klasma.github.io/Logging_2282/fåglar/A 61008-2025 prioriterade fågelarter.docx", "A 61008-2025")</f>
        <v/>
      </c>
    </row>
    <row r="89" ht="15" customHeight="1">
      <c r="A89" t="inlineStr">
        <is>
          <t>A 1663-2025</t>
        </is>
      </c>
      <c r="B89" t="inlineStr">
        <is>
          <t>avverkningsanmälan</t>
        </is>
      </c>
      <c r="C89" t="inlineStr">
        <is>
          <t>Föryngringsavverkning</t>
        </is>
      </c>
      <c r="D89" s="1" t="n">
        <v>45670</v>
      </c>
      <c r="E89" s="1" t="n">
        <v>46292</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18793-2025</t>
        </is>
      </c>
      <c r="B90" t="inlineStr">
        <is>
          <t>avverkningsanmälan</t>
        </is>
      </c>
      <c r="C90" t="inlineStr">
        <is>
          <t>Föryngringsavverkning</t>
        </is>
      </c>
      <c r="D90" s="1" t="n">
        <v>45764</v>
      </c>
      <c r="E90" s="1" t="n">
        <v>46292</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61173-2024</t>
        </is>
      </c>
      <c r="B91" t="inlineStr">
        <is>
          <t>avverkningsanmälan</t>
        </is>
      </c>
      <c r="C91" t="inlineStr">
        <is>
          <t>Föryngringsavverkning</t>
        </is>
      </c>
      <c r="D91" s="1" t="n">
        <v>45645</v>
      </c>
      <c r="E91" s="1" t="n">
        <v>46292</v>
      </c>
      <c r="F91" t="inlineStr">
        <is>
          <t>VÄSTERNORRLANDS LÄN</t>
        </is>
      </c>
      <c r="G91" t="inlineStr">
        <is>
          <t>KRAMFORS</t>
        </is>
      </c>
      <c r="I91" t="n">
        <v>7.5</v>
      </c>
      <c r="J91" t="n">
        <v>0</v>
      </c>
      <c r="K91" t="n">
        <v>1</v>
      </c>
      <c r="L91" t="n">
        <v>0</v>
      </c>
      <c r="M91" t="n">
        <v>0</v>
      </c>
      <c r="N91" t="n">
        <v>0</v>
      </c>
      <c r="O91" t="n">
        <v>0</v>
      </c>
      <c r="P91" t="n">
        <v>0</v>
      </c>
      <c r="Q91" t="n">
        <v>0</v>
      </c>
      <c r="R91" t="n">
        <v>0</v>
      </c>
      <c r="S91" t="n">
        <v>1</v>
      </c>
      <c r="T91" t="n">
        <v>1</v>
      </c>
      <c r="U91" t="n">
        <v>1</v>
      </c>
      <c r="V91" s="2" t="inlineStr">
        <is>
          <t>Vedticka</t>
        </is>
      </c>
      <c r="W91">
        <f>HYPERLINK("https://klasma.github.io/Logging_2282/artfynd/A 61173-2024 artfynd.xlsx", "A 61173-2024")</f>
        <v/>
      </c>
      <c r="X91">
        <f>HYPERLINK("https://klasma.github.io/Logging_2282/kartor/A 61173-2024 karta.png", "A 61173-2024")</f>
        <v/>
      </c>
      <c r="Y91">
        <f>HYPERLINK("https://klasma.github.io/Logging_2282/kartor_geotiff/A 61173-2024 georefererad karta.tif", "A 61173-2024")</f>
        <v/>
      </c>
      <c r="AA91">
        <f>HYPERLINK("https://klasma.github.io/Logging_2282/klagomål/A 61173-2024 FSC-klagomål.docx", "A 61173-2024")</f>
        <v/>
      </c>
      <c r="AB91">
        <f>HYPERLINK("https://klasma.github.io/Logging_2282/klagomålsmail/A 61173-2024 FSC-klagomål mail.docx", "A 61173-2024")</f>
        <v/>
      </c>
      <c r="AC91">
        <f>HYPERLINK("https://klasma.github.io/Logging_2282/tillsyn/A 61173-2024 tillsynsbegäran.docx", "A 61173-2024")</f>
        <v/>
      </c>
      <c r="AD91">
        <f>HYPERLINK("https://klasma.github.io/Logging_2282/tillsynsmail/A 61173-2024 tillsynsbegäran mail.docx", "A 61173-2024")</f>
        <v/>
      </c>
    </row>
    <row r="92" ht="15" customHeight="1">
      <c r="A92" t="inlineStr">
        <is>
          <t>A 18792-2025</t>
        </is>
      </c>
      <c r="B92" t="inlineStr">
        <is>
          <t>avverkningsanmälan</t>
        </is>
      </c>
      <c r="C92" t="inlineStr">
        <is>
          <t>Föryngringsavverkning</t>
        </is>
      </c>
      <c r="D92" s="1" t="n">
        <v>45764</v>
      </c>
      <c r="E92" s="1" t="n">
        <v>46292</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37593-2023</t>
        </is>
      </c>
      <c r="B93" t="inlineStr">
        <is>
          <t>avverkningsanmälan</t>
        </is>
      </c>
      <c r="C93" t="inlineStr">
        <is>
          <t>Föryngringsavverkning</t>
        </is>
      </c>
      <c r="D93" s="1" t="n">
        <v>45156</v>
      </c>
      <c r="E93" s="1" t="n">
        <v>46292</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38239-2026</t>
        </is>
      </c>
      <c r="B94" t="inlineStr">
        <is>
          <t>avverkningsanmälan</t>
        </is>
      </c>
      <c r="C94" t="inlineStr">
        <is>
          <t>Föryngringsavverkning</t>
        </is>
      </c>
      <c r="D94" s="1" t="n">
        <v>46281</v>
      </c>
      <c r="E94" s="1" t="n">
        <v>46292</v>
      </c>
      <c r="F94" t="inlineStr">
        <is>
          <t>VÄSTERNORRLANDS LÄN</t>
        </is>
      </c>
      <c r="G94" t="inlineStr">
        <is>
          <t>KRAMFORS</t>
        </is>
      </c>
      <c r="I94" t="n">
        <v>1.3</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38239-2026 artfynd.xlsx", "A 38239-2026")</f>
        <v/>
      </c>
      <c r="X94">
        <f>HYPERLINK("https://klasma.github.io/Logging_2282/kartor/A 38239-2026 karta.png", "A 38239-2026")</f>
        <v/>
      </c>
      <c r="Y94">
        <f>HYPERLINK("https://klasma.github.io/Logging_2282/kartor_geotiff/A 38239-2026 georefererad karta.tif", "A 38239-2026")</f>
        <v/>
      </c>
      <c r="AA94">
        <f>HYPERLINK("https://klasma.github.io/Logging_2282/klagomål/A 38239-2026 FSC-klagomål.docx", "A 38239-2026")</f>
        <v/>
      </c>
      <c r="AB94">
        <f>HYPERLINK("https://klasma.github.io/Logging_2282/klagomålsmail/A 38239-2026 FSC-klagomål mail.docx", "A 38239-2026")</f>
        <v/>
      </c>
      <c r="AC94">
        <f>HYPERLINK("https://klasma.github.io/Logging_2282/tillsyn/A 38239-2026 tillsynsbegäran.docx", "A 38239-2026")</f>
        <v/>
      </c>
      <c r="AD94">
        <f>HYPERLINK("https://klasma.github.io/Logging_2282/tillsynsmail/A 38239-2026 tillsynsbegäran mail.docx", "A 38239-2026")</f>
        <v/>
      </c>
    </row>
    <row r="95" ht="15" customHeight="1">
      <c r="A95" t="inlineStr">
        <is>
          <t>A 58965-2024</t>
        </is>
      </c>
      <c r="B95" t="inlineStr">
        <is>
          <t>avverkningsanmälan</t>
        </is>
      </c>
      <c r="C95" t="inlineStr">
        <is>
          <t>Föryngringsavverkning</t>
        </is>
      </c>
      <c r="D95" s="1" t="n">
        <v>45636</v>
      </c>
      <c r="E95" s="1" t="n">
        <v>46292</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7153-2024</t>
        </is>
      </c>
      <c r="B96" t="inlineStr">
        <is>
          <t>avverkningsanmälan</t>
        </is>
      </c>
      <c r="C96" t="inlineStr">
        <is>
          <t>Föryngringsavverkning</t>
        </is>
      </c>
      <c r="D96" s="1" t="n">
        <v>45344</v>
      </c>
      <c r="E96" s="1" t="n">
        <v>46292</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t="n">
        <v>0</v>
      </c>
      <c r="V96" s="2" t="inlineStr">
        <is>
          <t>Luddfingersvamp</t>
        </is>
      </c>
      <c r="W96">
        <f>HYPERLINK("https://klasma.github.io/Logging_2282/artfynd/A 7153-2024 artfynd.xlsx", "A 7153-2024")</f>
        <v/>
      </c>
      <c r="X96">
        <f>HYPERLINK("https://klasma.github.io/Logging_2282/kartor/A 7153-2024 karta.png", "A 7153-2024")</f>
        <v/>
      </c>
      <c r="Y96">
        <f>HYPERLINK("https://klasma.github.io/Logging_2282/kartor_geotiff/A 7153-2024 georefererad karta.tif", "A 7153-2024")</f>
        <v/>
      </c>
      <c r="AA96">
        <f>HYPERLINK("https://klasma.github.io/Logging_2282/klagomål/A 7153-2024 FSC-klagomål.docx", "A 7153-2024")</f>
        <v/>
      </c>
      <c r="AB96">
        <f>HYPERLINK("https://klasma.github.io/Logging_2282/klagomålsmail/A 7153-2024 FSC-klagomål mail.docx", "A 7153-2024")</f>
        <v/>
      </c>
      <c r="AC96">
        <f>HYPERLINK("https://klasma.github.io/Logging_2282/tillsyn/A 7153-2024 tillsynsbegäran.docx", "A 7153-2024")</f>
        <v/>
      </c>
      <c r="AD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46292</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t="n">
        <v>0</v>
      </c>
      <c r="V97" s="2" t="inlineStr">
        <is>
          <t>Tibast</t>
        </is>
      </c>
      <c r="W97">
        <f>HYPERLINK("https://klasma.github.io/Logging_2282/artfynd/A 47192-2022 artfynd.xlsx", "A 47192-2022")</f>
        <v/>
      </c>
      <c r="X97">
        <f>HYPERLINK("https://klasma.github.io/Logging_2282/kartor/A 47192-2022 karta.png", "A 47192-2022")</f>
        <v/>
      </c>
      <c r="Y97">
        <f>HYPERLINK("https://klasma.github.io/Logging_2282/kartor_geotiff/A 47192-2022 georefererad karta.tif", "A 47192-2022")</f>
        <v/>
      </c>
      <c r="AA97">
        <f>HYPERLINK("https://klasma.github.io/Logging_2282/klagomål/A 47192-2022 FSC-klagomål.docx", "A 47192-2022")</f>
        <v/>
      </c>
      <c r="AB97">
        <f>HYPERLINK("https://klasma.github.io/Logging_2282/klagomålsmail/A 47192-2022 FSC-klagomål mail.docx", "A 47192-2022")</f>
        <v/>
      </c>
      <c r="AC97">
        <f>HYPERLINK("https://klasma.github.io/Logging_2282/tillsyn/A 47192-2022 tillsynsbegäran.docx", "A 47192-2022")</f>
        <v/>
      </c>
      <c r="AD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46292</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46292</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S 1800-2023</t>
        </is>
      </c>
      <c r="B100" t="inlineStr">
        <is>
          <t>samrådsanmälan</t>
        </is>
      </c>
      <c r="C100" t="inlineStr">
        <is>
          <t>Skogsgödsling</t>
        </is>
      </c>
      <c r="D100" s="1" t="n">
        <v>45071</v>
      </c>
      <c r="E100" s="1" t="n">
        <v>46292</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46292</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46292</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46292</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46292</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46292</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46292</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46292</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46292</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46292</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46292</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46292</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46292</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46292</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46292</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46292</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46292</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46292</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46292</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46292</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46292</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46292</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46292</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46292</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49438-2022</t>
        </is>
      </c>
      <c r="B124" t="inlineStr">
        <is>
          <t>avverkningsanmälan</t>
        </is>
      </c>
      <c r="C124" t="inlineStr">
        <is>
          <t>Föryngringsavverkning</t>
        </is>
      </c>
      <c r="D124" s="1" t="n">
        <v>44859</v>
      </c>
      <c r="E124" s="1" t="n">
        <v>46292</v>
      </c>
      <c r="F124" t="inlineStr">
        <is>
          <t>VÄSTERNORRLANDS LÄN</t>
        </is>
      </c>
      <c r="G124" t="inlineStr">
        <is>
          <t>KRAMFORS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46292</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46292</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46292</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46292</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46292</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46292</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46292</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46292</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46292</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46292</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46292</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46292</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46292</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46292</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46292</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46292</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46292</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46292</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46292</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73277-2021</t>
        </is>
      </c>
      <c r="B144" t="inlineStr">
        <is>
          <t>avverkningsanmälan</t>
        </is>
      </c>
      <c r="C144" t="inlineStr">
        <is>
          <t>Föryngringsavverkning</t>
        </is>
      </c>
      <c r="D144" s="1" t="n">
        <v>44550</v>
      </c>
      <c r="E144" s="1" t="n">
        <v>46292</v>
      </c>
      <c r="F144" t="inlineStr">
        <is>
          <t>VÄSTERNORRLANDS LÄN</t>
        </is>
      </c>
      <c r="G144" t="inlineStr">
        <is>
          <t>KRAMFORS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7716-2022</t>
        </is>
      </c>
      <c r="B145" t="inlineStr">
        <is>
          <t>avverkningsanmälan</t>
        </is>
      </c>
      <c r="C145" t="inlineStr">
        <is>
          <t>Föryngringsavverkning</t>
        </is>
      </c>
      <c r="D145" s="1" t="n">
        <v>44607</v>
      </c>
      <c r="E145" s="1" t="n">
        <v>46292</v>
      </c>
      <c r="F145" t="inlineStr">
        <is>
          <t>VÄSTERNORRLANDS LÄN</t>
        </is>
      </c>
      <c r="G145" t="inlineStr">
        <is>
          <t>KRAMFORS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11038-2022</t>
        </is>
      </c>
      <c r="B146" t="inlineStr">
        <is>
          <t>avverkningsanmälan</t>
        </is>
      </c>
      <c r="C146" t="inlineStr">
        <is>
          <t>Föryngringsavverkning</t>
        </is>
      </c>
      <c r="D146" s="1" t="n">
        <v>44628</v>
      </c>
      <c r="E146" s="1" t="n">
        <v>46292</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46292</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9257-2022</t>
        </is>
      </c>
      <c r="B148" t="inlineStr">
        <is>
          <t>avverkningsanmälan</t>
        </is>
      </c>
      <c r="C148" t="inlineStr">
        <is>
          <t>Föryngringsavverkning</t>
        </is>
      </c>
      <c r="D148" s="1" t="n">
        <v>44616</v>
      </c>
      <c r="E148" s="1" t="n">
        <v>46292</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46292</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20056-2022</t>
        </is>
      </c>
      <c r="B150" t="inlineStr">
        <is>
          <t>avverkningsanmälan</t>
        </is>
      </c>
      <c r="C150" t="inlineStr">
        <is>
          <t>Föryngringsavverkning</t>
        </is>
      </c>
      <c r="D150" s="1" t="n">
        <v>44697</v>
      </c>
      <c r="E150" s="1" t="n">
        <v>46292</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2775-2022</t>
        </is>
      </c>
      <c r="B151" t="inlineStr">
        <is>
          <t>avverkningsanmälan</t>
        </is>
      </c>
      <c r="C151" t="inlineStr">
        <is>
          <t>Avverkning för annat ändamål</t>
        </is>
      </c>
      <c r="D151" s="1" t="n">
        <v>44581</v>
      </c>
      <c r="E151" s="1" t="n">
        <v>46292</v>
      </c>
      <c r="F151" t="inlineStr">
        <is>
          <t>VÄSTERNORRLANDS LÄN</t>
        </is>
      </c>
      <c r="G151" t="inlineStr">
        <is>
          <t>KRAMFORS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62317-2021</t>
        </is>
      </c>
      <c r="B152" t="inlineStr">
        <is>
          <t>avverkningsanmälan</t>
        </is>
      </c>
      <c r="C152" t="inlineStr">
        <is>
          <t>Föryngringsavverkning</t>
        </is>
      </c>
      <c r="D152" s="1" t="n">
        <v>44503</v>
      </c>
      <c r="E152" s="1" t="n">
        <v>46292</v>
      </c>
      <c r="F152" t="inlineStr">
        <is>
          <t>VÄSTERNORRLANDS LÄN</t>
        </is>
      </c>
      <c r="G152" t="inlineStr">
        <is>
          <t>KRAMFORS</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49583-2022</t>
        </is>
      </c>
      <c r="B153" t="inlineStr">
        <is>
          <t>avverkningsanmälan</t>
        </is>
      </c>
      <c r="C153" t="inlineStr">
        <is>
          <t>Föryngringsavverkning</t>
        </is>
      </c>
      <c r="D153" s="1" t="n">
        <v>44859</v>
      </c>
      <c r="E153" s="1" t="n">
        <v>46292</v>
      </c>
      <c r="F153" t="inlineStr">
        <is>
          <t>VÄSTERNORRLANDS LÄN</t>
        </is>
      </c>
      <c r="G153" t="inlineStr">
        <is>
          <t>KRAMFORS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57742-2021</t>
        </is>
      </c>
      <c r="B154" t="inlineStr">
        <is>
          <t>avverkningsanmälan</t>
        </is>
      </c>
      <c r="C154" t="inlineStr">
        <is>
          <t>Föryngringsavverkning</t>
        </is>
      </c>
      <c r="D154" s="1" t="n">
        <v>44484</v>
      </c>
      <c r="E154" s="1" t="n">
        <v>46292</v>
      </c>
      <c r="F154" t="inlineStr">
        <is>
          <t>VÄSTERNORRLANDS LÄN</t>
        </is>
      </c>
      <c r="G154" t="inlineStr">
        <is>
          <t>KRAMFORS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6486-2022</t>
        </is>
      </c>
      <c r="B155" t="inlineStr">
        <is>
          <t>avverkningsanmälan</t>
        </is>
      </c>
      <c r="C155" t="inlineStr">
        <is>
          <t>Föryngringsavverkning</t>
        </is>
      </c>
      <c r="D155" s="1" t="n">
        <v>44601</v>
      </c>
      <c r="E155" s="1" t="n">
        <v>46292</v>
      </c>
      <c r="F155" t="inlineStr">
        <is>
          <t>VÄSTERNORRLANDS LÄN</t>
        </is>
      </c>
      <c r="G155" t="inlineStr">
        <is>
          <t>KRAMFORS</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32483-2022</t>
        </is>
      </c>
      <c r="B156" t="inlineStr">
        <is>
          <t>avverkningsanmälan</t>
        </is>
      </c>
      <c r="C156" t="inlineStr">
        <is>
          <t>Föryngringsavverkning</t>
        </is>
      </c>
      <c r="D156" s="1" t="n">
        <v>44782</v>
      </c>
      <c r="E156" s="1" t="n">
        <v>46292</v>
      </c>
      <c r="F156" t="inlineStr">
        <is>
          <t>VÄSTERNORRLANDS LÄN</t>
        </is>
      </c>
      <c r="G156" t="inlineStr">
        <is>
          <t>KRAMFORS</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54857-2021</t>
        </is>
      </c>
      <c r="B157" t="inlineStr">
        <is>
          <t>avverkningsanmälan</t>
        </is>
      </c>
      <c r="C157" t="inlineStr">
        <is>
          <t>Föryngringsavverkning</t>
        </is>
      </c>
      <c r="D157" s="1" t="n">
        <v>44474</v>
      </c>
      <c r="E157" s="1" t="n">
        <v>46292</v>
      </c>
      <c r="F157" t="inlineStr">
        <is>
          <t>VÄSTERNORRLANDS LÄN</t>
        </is>
      </c>
      <c r="G157" t="inlineStr">
        <is>
          <t>KRAMFORS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2823-2022</t>
        </is>
      </c>
      <c r="B158" t="inlineStr">
        <is>
          <t>avverkningsanmälan</t>
        </is>
      </c>
      <c r="C158" t="inlineStr">
        <is>
          <t>Föryngringsavverkning</t>
        </is>
      </c>
      <c r="D158" s="1" t="n">
        <v>44581</v>
      </c>
      <c r="E158" s="1" t="n">
        <v>46292</v>
      </c>
      <c r="F158" t="inlineStr">
        <is>
          <t>VÄSTERNORRLANDS LÄN</t>
        </is>
      </c>
      <c r="G158" t="inlineStr">
        <is>
          <t>KRAMFORS</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36647-2022</t>
        </is>
      </c>
      <c r="B159" t="inlineStr">
        <is>
          <t>avverkningsanmälan</t>
        </is>
      </c>
      <c r="C159" t="inlineStr">
        <is>
          <t>Föryngringsavverkning</t>
        </is>
      </c>
      <c r="D159" s="1" t="n">
        <v>44804</v>
      </c>
      <c r="E159" s="1" t="n">
        <v>46292</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48198-2023</t>
        </is>
      </c>
      <c r="B160" t="inlineStr">
        <is>
          <t>avverkningsanmälan</t>
        </is>
      </c>
      <c r="C160" t="inlineStr">
        <is>
          <t>Föryngringsavverkning</t>
        </is>
      </c>
      <c r="D160" s="1" t="n">
        <v>45205</v>
      </c>
      <c r="E160" s="1" t="n">
        <v>46292</v>
      </c>
      <c r="F160" t="inlineStr">
        <is>
          <t>VÄSTERNORRLANDS LÄN</t>
        </is>
      </c>
      <c r="G160" t="inlineStr">
        <is>
          <t>KRAMFORS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8716-2025</t>
        </is>
      </c>
      <c r="B161" t="inlineStr">
        <is>
          <t>avverkningsanmälan</t>
        </is>
      </c>
      <c r="C161" t="inlineStr">
        <is>
          <t>Föryngringsavverkning</t>
        </is>
      </c>
      <c r="D161" s="1" t="n">
        <v>45712</v>
      </c>
      <c r="E161" s="1" t="n">
        <v>46292</v>
      </c>
      <c r="F161" t="inlineStr">
        <is>
          <t>VÄSTERNORRLANDS LÄN</t>
        </is>
      </c>
      <c r="G161" t="inlineStr">
        <is>
          <t>KRAMFORS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32501-2024</t>
        </is>
      </c>
      <c r="B162" t="inlineStr">
        <is>
          <t>avverkningsanmälan</t>
        </is>
      </c>
      <c r="C162" t="inlineStr">
        <is>
          <t>Föryngringsavverkning</t>
        </is>
      </c>
      <c r="D162" s="1" t="n">
        <v>45513</v>
      </c>
      <c r="E162" s="1" t="n">
        <v>46292</v>
      </c>
      <c r="F162" t="inlineStr">
        <is>
          <t>VÄSTERNORRLANDS LÄN</t>
        </is>
      </c>
      <c r="G162" t="inlineStr">
        <is>
          <t>KRAMFORS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27173-2022</t>
        </is>
      </c>
      <c r="B163" t="inlineStr">
        <is>
          <t>avverkningsanmälan</t>
        </is>
      </c>
      <c r="C163" t="inlineStr">
        <is>
          <t>Föryngringsavverkning</t>
        </is>
      </c>
      <c r="D163" s="1" t="n">
        <v>44741</v>
      </c>
      <c r="E163" s="1" t="n">
        <v>46292</v>
      </c>
      <c r="F163" t="inlineStr">
        <is>
          <t>VÄSTERNORRLANDS LÄN</t>
        </is>
      </c>
      <c r="G163" t="inlineStr">
        <is>
          <t>KRAMFORS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46292</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46292</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43989-2024</t>
        </is>
      </c>
      <c r="B166" t="inlineStr">
        <is>
          <t>avverkningsanmälan</t>
        </is>
      </c>
      <c r="C166" t="inlineStr">
        <is>
          <t>Föryngringsavverkning</t>
        </is>
      </c>
      <c r="D166" s="1" t="n">
        <v>45572</v>
      </c>
      <c r="E166" s="1" t="n">
        <v>46292</v>
      </c>
      <c r="F166" t="inlineStr">
        <is>
          <t>VÄSTERNORRLANDS LÄN</t>
        </is>
      </c>
      <c r="G166" t="inlineStr">
        <is>
          <t>KRAMFORS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18615-2023</t>
        </is>
      </c>
      <c r="B167" t="inlineStr">
        <is>
          <t>avverkningsanmälan</t>
        </is>
      </c>
      <c r="C167" t="inlineStr">
        <is>
          <t>Föryngringsavverkning</t>
        </is>
      </c>
      <c r="D167" s="1" t="n">
        <v>45043</v>
      </c>
      <c r="E167" s="1" t="n">
        <v>46292</v>
      </c>
      <c r="F167" t="inlineStr">
        <is>
          <t>VÄSTERNORRLANDS LÄN</t>
        </is>
      </c>
      <c r="G167" t="inlineStr">
        <is>
          <t>KRAMFORS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10502-2025</t>
        </is>
      </c>
      <c r="B168" t="inlineStr">
        <is>
          <t>avverkningsanmälan</t>
        </is>
      </c>
      <c r="C168" t="inlineStr">
        <is>
          <t>Föryngringsavverkning</t>
        </is>
      </c>
      <c r="D168" s="1" t="n">
        <v>45721</v>
      </c>
      <c r="E168" s="1" t="n">
        <v>46292</v>
      </c>
      <c r="F168" t="inlineStr">
        <is>
          <t>VÄSTERNORRLANDS LÄN</t>
        </is>
      </c>
      <c r="G168" t="inlineStr">
        <is>
          <t>KRAMFORS</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18981-2023</t>
        </is>
      </c>
      <c r="B169" t="inlineStr">
        <is>
          <t>avverkningsanmälan</t>
        </is>
      </c>
      <c r="C169" t="inlineStr">
        <is>
          <t>Föryngringsavverkning</t>
        </is>
      </c>
      <c r="D169" s="1" t="n">
        <v>45044</v>
      </c>
      <c r="E169" s="1" t="n">
        <v>46292</v>
      </c>
      <c r="F169" t="inlineStr">
        <is>
          <t>VÄSTERNORRLANDS LÄN</t>
        </is>
      </c>
      <c r="G169" t="inlineStr">
        <is>
          <t>KRAMFORS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47650-2022</t>
        </is>
      </c>
      <c r="B170" t="inlineStr">
        <is>
          <t>avverkningsanmälan</t>
        </is>
      </c>
      <c r="C170" t="inlineStr">
        <is>
          <t>Föryngringsavverkning</t>
        </is>
      </c>
      <c r="D170" s="1" t="n">
        <v>44853</v>
      </c>
      <c r="E170" s="1" t="n">
        <v>46292</v>
      </c>
      <c r="F170" t="inlineStr">
        <is>
          <t>VÄSTERNORRLANDS LÄN</t>
        </is>
      </c>
      <c r="G170" t="inlineStr">
        <is>
          <t>KRAMFORS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11172-2025</t>
        </is>
      </c>
      <c r="B171" t="inlineStr">
        <is>
          <t>avverkningsanmälan</t>
        </is>
      </c>
      <c r="C171" t="inlineStr">
        <is>
          <t>Avverkning för annat ändamål</t>
        </is>
      </c>
      <c r="D171" s="1" t="n">
        <v>45724</v>
      </c>
      <c r="E171" s="1" t="n">
        <v>46292</v>
      </c>
      <c r="F171" t="inlineStr">
        <is>
          <t>VÄSTERNORRLANDS LÄN</t>
        </is>
      </c>
      <c r="G171" t="inlineStr">
        <is>
          <t>KRAMFORS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10392-2024</t>
        </is>
      </c>
      <c r="B172" t="inlineStr">
        <is>
          <t>avverkningsanmälan</t>
        </is>
      </c>
      <c r="C172" t="inlineStr">
        <is>
          <t>Föryngringsavverkning</t>
        </is>
      </c>
      <c r="D172" s="1" t="n">
        <v>45365</v>
      </c>
      <c r="E172" s="1" t="n">
        <v>46292</v>
      </c>
      <c r="F172" t="inlineStr">
        <is>
          <t>VÄSTERNORRLANDS LÄN</t>
        </is>
      </c>
      <c r="G172" t="inlineStr">
        <is>
          <t>KRAMFORS</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49029-2023</t>
        </is>
      </c>
      <c r="B173" t="inlineStr">
        <is>
          <t>avverkningsanmälan</t>
        </is>
      </c>
      <c r="C173" t="inlineStr">
        <is>
          <t>Föryngringsavverkning</t>
        </is>
      </c>
      <c r="D173" s="1" t="n">
        <v>45209</v>
      </c>
      <c r="E173" s="1" t="n">
        <v>46292</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54166-2023</t>
        </is>
      </c>
      <c r="B174" t="inlineStr">
        <is>
          <t>avverkningsanmälan</t>
        </is>
      </c>
      <c r="C174" t="inlineStr">
        <is>
          <t>Föryngringsavverkning</t>
        </is>
      </c>
      <c r="D174" s="1" t="n">
        <v>45225</v>
      </c>
      <c r="E174" s="1" t="n">
        <v>46292</v>
      </c>
      <c r="F174" t="inlineStr">
        <is>
          <t>VÄSTERNORRLANDS LÄN</t>
        </is>
      </c>
      <c r="G174" t="inlineStr">
        <is>
          <t>KRAMFORS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30768-2024</t>
        </is>
      </c>
      <c r="B175" t="inlineStr">
        <is>
          <t>avverkningsanmälan</t>
        </is>
      </c>
      <c r="C175" t="inlineStr">
        <is>
          <t>Föryngringsavverkning</t>
        </is>
      </c>
      <c r="D175" s="1" t="n">
        <v>45496</v>
      </c>
      <c r="E175" s="1" t="n">
        <v>46292</v>
      </c>
      <c r="F175" t="inlineStr">
        <is>
          <t>VÄSTERNORRLANDS LÄN</t>
        </is>
      </c>
      <c r="G175" t="inlineStr">
        <is>
          <t>KRAMFORS</t>
        </is>
      </c>
      <c r="H175" t="inlineStr">
        <is>
          <t>Kyrkan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23129-2024</t>
        </is>
      </c>
      <c r="B176" t="inlineStr">
        <is>
          <t>avverkningsanmälan</t>
        </is>
      </c>
      <c r="C176" t="inlineStr">
        <is>
          <t>Föryngringsavverkning</t>
        </is>
      </c>
      <c r="D176" s="1" t="n">
        <v>45450</v>
      </c>
      <c r="E176" s="1" t="n">
        <v>46292</v>
      </c>
      <c r="F176" t="inlineStr">
        <is>
          <t>VÄSTERNORRLANDS LÄN</t>
        </is>
      </c>
      <c r="G176" t="inlineStr">
        <is>
          <t>KRAMFORS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61909-2023</t>
        </is>
      </c>
      <c r="B177" t="inlineStr">
        <is>
          <t>avverkningsanmälan</t>
        </is>
      </c>
      <c r="C177" t="inlineStr">
        <is>
          <t>Föryngringsavverkning</t>
        </is>
      </c>
      <c r="D177" s="1" t="n">
        <v>45265</v>
      </c>
      <c r="E177" s="1" t="n">
        <v>46292</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58424-2022</t>
        </is>
      </c>
      <c r="B178" t="inlineStr">
        <is>
          <t>avverkningsanmälan</t>
        </is>
      </c>
      <c r="C178" t="inlineStr">
        <is>
          <t>Föryngringsavverkning</t>
        </is>
      </c>
      <c r="D178" s="1" t="n">
        <v>44901</v>
      </c>
      <c r="E178" s="1" t="n">
        <v>46292</v>
      </c>
      <c r="F178" t="inlineStr">
        <is>
          <t>VÄSTERNORRLANDS LÄN</t>
        </is>
      </c>
      <c r="G178" t="inlineStr">
        <is>
          <t>KRAMFORS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61619-2023</t>
        </is>
      </c>
      <c r="B179" t="inlineStr">
        <is>
          <t>avverkningsanmälan</t>
        </is>
      </c>
      <c r="C179" t="inlineStr">
        <is>
          <t>Föryngringsavverkning</t>
        </is>
      </c>
      <c r="D179" s="1" t="n">
        <v>45261</v>
      </c>
      <c r="E179" s="1" t="n">
        <v>46292</v>
      </c>
      <c r="F179" t="inlineStr">
        <is>
          <t>VÄSTERNORRLANDS LÄN</t>
        </is>
      </c>
      <c r="G179" t="inlineStr">
        <is>
          <t>KRAMFORS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56169-2021</t>
        </is>
      </c>
      <c r="B180" t="inlineStr">
        <is>
          <t>avverkningsanmälan</t>
        </is>
      </c>
      <c r="C180" t="inlineStr">
        <is>
          <t>Föryngringsavverkning</t>
        </is>
      </c>
      <c r="D180" s="1" t="n">
        <v>44477</v>
      </c>
      <c r="E180" s="1" t="n">
        <v>46292</v>
      </c>
      <c r="F180" t="inlineStr">
        <is>
          <t>VÄSTERNORRLANDS LÄN</t>
        </is>
      </c>
      <c r="G180" t="inlineStr">
        <is>
          <t>KRAMFORS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60817-2022</t>
        </is>
      </c>
      <c r="B181" t="inlineStr">
        <is>
          <t>avverkningsanmälan</t>
        </is>
      </c>
      <c r="C181" t="inlineStr">
        <is>
          <t>Föryngringsavverkning</t>
        </is>
      </c>
      <c r="D181" s="1" t="n">
        <v>44907</v>
      </c>
      <c r="E181" s="1" t="n">
        <v>46292</v>
      </c>
      <c r="F181" t="inlineStr">
        <is>
          <t>VÄSTERNORRLANDS LÄN</t>
        </is>
      </c>
      <c r="G181" t="inlineStr">
        <is>
          <t>KRAMFORS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25599-2023</t>
        </is>
      </c>
      <c r="B182" t="inlineStr">
        <is>
          <t>avverkningsanmälan</t>
        </is>
      </c>
      <c r="C182" t="inlineStr">
        <is>
          <t>Föryngringsavverkning</t>
        </is>
      </c>
      <c r="D182" s="1" t="n">
        <v>45089</v>
      </c>
      <c r="E182" s="1" t="n">
        <v>46292</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53824-2022</t>
        </is>
      </c>
      <c r="B183" t="inlineStr">
        <is>
          <t>avverkningsanmälan</t>
        </is>
      </c>
      <c r="C183" t="inlineStr">
        <is>
          <t>Föryngringsavverkning</t>
        </is>
      </c>
      <c r="D183" s="1" t="n">
        <v>44880</v>
      </c>
      <c r="E183" s="1" t="n">
        <v>46292</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63991-2023</t>
        </is>
      </c>
      <c r="B184" t="inlineStr">
        <is>
          <t>avverkningsanmälan</t>
        </is>
      </c>
      <c r="C184" t="inlineStr">
        <is>
          <t>Föryngringsavverkning</t>
        </is>
      </c>
      <c r="D184" s="1" t="n">
        <v>45278</v>
      </c>
      <c r="E184" s="1" t="n">
        <v>46292</v>
      </c>
      <c r="F184" t="inlineStr">
        <is>
          <t>VÄSTERNORRLANDS LÄN</t>
        </is>
      </c>
      <c r="G184" t="inlineStr">
        <is>
          <t>KRAMFORS</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19780-2025</t>
        </is>
      </c>
      <c r="B185" t="inlineStr">
        <is>
          <t>avverkningsanmälan</t>
        </is>
      </c>
      <c r="C185" t="inlineStr">
        <is>
          <t>Föryngringsavverkning</t>
        </is>
      </c>
      <c r="D185" s="1" t="n">
        <v>45771</v>
      </c>
      <c r="E185" s="1" t="n">
        <v>46292</v>
      </c>
      <c r="F185" t="inlineStr">
        <is>
          <t>VÄSTERNORRLANDS LÄN</t>
        </is>
      </c>
      <c r="G185" t="inlineStr">
        <is>
          <t>KRAMFORS</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17574-2024</t>
        </is>
      </c>
      <c r="B186" t="inlineStr">
        <is>
          <t>avverkningsanmälan</t>
        </is>
      </c>
      <c r="C186" t="inlineStr">
        <is>
          <t>Föryngringsavverkning</t>
        </is>
      </c>
      <c r="D186" s="1" t="n">
        <v>45415</v>
      </c>
      <c r="E186" s="1" t="n">
        <v>46292</v>
      </c>
      <c r="F186" t="inlineStr">
        <is>
          <t>VÄSTERNORRLANDS LÄN</t>
        </is>
      </c>
      <c r="G186" t="inlineStr">
        <is>
          <t>KRAMFORS</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28086-2023</t>
        </is>
      </c>
      <c r="B187" t="inlineStr">
        <is>
          <t>avverkningsanmälan</t>
        </is>
      </c>
      <c r="C187" t="inlineStr">
        <is>
          <t>Föryngringsavverkning</t>
        </is>
      </c>
      <c r="D187" s="1" t="n">
        <v>45099</v>
      </c>
      <c r="E187" s="1" t="n">
        <v>46292</v>
      </c>
      <c r="F187" t="inlineStr">
        <is>
          <t>VÄSTERNORRLANDS LÄN</t>
        </is>
      </c>
      <c r="G187" t="inlineStr">
        <is>
          <t>KRAMFORS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38256-2025</t>
        </is>
      </c>
      <c r="B188" t="inlineStr">
        <is>
          <t>avverkningsanmälan</t>
        </is>
      </c>
      <c r="C188" t="inlineStr">
        <is>
          <t>Föryngringsavverkning</t>
        </is>
      </c>
      <c r="D188" s="1" t="n">
        <v>45883</v>
      </c>
      <c r="E188" s="1" t="n">
        <v>46292</v>
      </c>
      <c r="F188" t="inlineStr">
        <is>
          <t>VÄSTERNORRLANDS LÄN</t>
        </is>
      </c>
      <c r="G188" t="inlineStr">
        <is>
          <t>KRAMFORS</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23127-2024</t>
        </is>
      </c>
      <c r="B189" t="inlineStr">
        <is>
          <t>avverkningsanmälan</t>
        </is>
      </c>
      <c r="C189" t="inlineStr">
        <is>
          <t>Föryngringsavverkning</t>
        </is>
      </c>
      <c r="D189" s="1" t="n">
        <v>45450</v>
      </c>
      <c r="E189" s="1" t="n">
        <v>46292</v>
      </c>
      <c r="F189" t="inlineStr">
        <is>
          <t>VÄSTERNORRLANDS LÄN</t>
        </is>
      </c>
      <c r="G189" t="inlineStr">
        <is>
          <t>KRAMFORS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38281-2025</t>
        </is>
      </c>
      <c r="B190" t="inlineStr">
        <is>
          <t>avverkningsanmälan</t>
        </is>
      </c>
      <c r="C190" t="inlineStr">
        <is>
          <t>Föryngringsavverkning</t>
        </is>
      </c>
      <c r="D190" s="1" t="n">
        <v>45883</v>
      </c>
      <c r="E190" s="1" t="n">
        <v>46292</v>
      </c>
      <c r="F190" t="inlineStr">
        <is>
          <t>VÄSTERNORRLANDS LÄN</t>
        </is>
      </c>
      <c r="G190" t="inlineStr">
        <is>
          <t>KRAMFORS</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63627-2025</t>
        </is>
      </c>
      <c r="B191" t="inlineStr">
        <is>
          <t>avverkningsanmälan</t>
        </is>
      </c>
      <c r="C191" t="inlineStr">
        <is>
          <t>Föryngringsavverkning</t>
        </is>
      </c>
      <c r="D191" s="1" t="n">
        <v>46014</v>
      </c>
      <c r="E191" s="1" t="n">
        <v>46292</v>
      </c>
      <c r="F191" t="inlineStr">
        <is>
          <t>VÄSTERNORRLANDS LÄN</t>
        </is>
      </c>
      <c r="G191" t="inlineStr">
        <is>
          <t>KRAMFORS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52724-2021</t>
        </is>
      </c>
      <c r="B192" t="inlineStr">
        <is>
          <t>avverkningsanmälan</t>
        </is>
      </c>
      <c r="C192" t="inlineStr">
        <is>
          <t>Föryngringsavverkning</t>
        </is>
      </c>
      <c r="D192" s="1" t="n">
        <v>44466</v>
      </c>
      <c r="E192" s="1" t="n">
        <v>46292</v>
      </c>
      <c r="F192" t="inlineStr">
        <is>
          <t>VÄSTERNORRLANDS LÄN</t>
        </is>
      </c>
      <c r="G192" t="inlineStr">
        <is>
          <t>KRAMFORS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4915-2023</t>
        </is>
      </c>
      <c r="B193" t="inlineStr">
        <is>
          <t>avverkningsanmälan</t>
        </is>
      </c>
      <c r="C193" t="inlineStr">
        <is>
          <t>Föryngringsavverkning</t>
        </is>
      </c>
      <c r="D193" s="1" t="n">
        <v>44958</v>
      </c>
      <c r="E193" s="1" t="n">
        <v>46292</v>
      </c>
      <c r="F193" t="inlineStr">
        <is>
          <t>VÄSTERNORRLANDS LÄN</t>
        </is>
      </c>
      <c r="G193" t="inlineStr">
        <is>
          <t>KRAMFORS</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17789-2024</t>
        </is>
      </c>
      <c r="B194" t="inlineStr">
        <is>
          <t>avverkningsanmälan</t>
        </is>
      </c>
      <c r="C194" t="inlineStr">
        <is>
          <t>Föryngringsavverkning</t>
        </is>
      </c>
      <c r="D194" s="1" t="n">
        <v>45418</v>
      </c>
      <c r="E194" s="1" t="n">
        <v>46292</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64153-2025</t>
        </is>
      </c>
      <c r="B195" t="inlineStr">
        <is>
          <t>avverkningsanmälan</t>
        </is>
      </c>
      <c r="C195" t="inlineStr">
        <is>
          <t>Föryngringsavverkning</t>
        </is>
      </c>
      <c r="D195" s="1" t="n">
        <v>46022</v>
      </c>
      <c r="E195" s="1" t="n">
        <v>46292</v>
      </c>
      <c r="F195" t="inlineStr">
        <is>
          <t>VÄSTERNORRLANDS LÄN</t>
        </is>
      </c>
      <c r="G195" t="inlineStr">
        <is>
          <t>KRAMFORS</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36671-2022</t>
        </is>
      </c>
      <c r="B196" t="inlineStr">
        <is>
          <t>avverkningsanmälan</t>
        </is>
      </c>
      <c r="C196" t="inlineStr">
        <is>
          <t>Föryngringsavverkning</t>
        </is>
      </c>
      <c r="D196" s="1" t="n">
        <v>44804</v>
      </c>
      <c r="E196" s="1" t="n">
        <v>46292</v>
      </c>
      <c r="F196" t="inlineStr">
        <is>
          <t>VÄSTERNORRLANDS LÄN</t>
        </is>
      </c>
      <c r="G196" t="inlineStr">
        <is>
          <t>KRAMFORS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56996-2022</t>
        </is>
      </c>
      <c r="B197" t="inlineStr">
        <is>
          <t>avverkningsanmälan</t>
        </is>
      </c>
      <c r="C197" t="inlineStr">
        <is>
          <t>Föryngringsavverkning</t>
        </is>
      </c>
      <c r="D197" s="1" t="n">
        <v>44894</v>
      </c>
      <c r="E197" s="1" t="n">
        <v>46292</v>
      </c>
      <c r="F197" t="inlineStr">
        <is>
          <t>VÄSTERNORRLANDS LÄN</t>
        </is>
      </c>
      <c r="G197" t="inlineStr">
        <is>
          <t>KRAMFORS</t>
        </is>
      </c>
      <c r="I197" t="n">
        <v>13.8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39622-2024</t>
        </is>
      </c>
      <c r="B198" t="inlineStr">
        <is>
          <t>avverkningsanmälan</t>
        </is>
      </c>
      <c r="C198" t="inlineStr">
        <is>
          <t>Föryngringsavverkning</t>
        </is>
      </c>
      <c r="D198" s="1" t="n">
        <v>45552</v>
      </c>
      <c r="E198" s="1" t="n">
        <v>46292</v>
      </c>
      <c r="F198" t="inlineStr">
        <is>
          <t>VÄSTERNORRLANDS LÄN</t>
        </is>
      </c>
      <c r="G198" t="inlineStr">
        <is>
          <t>KRAMFORS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81-2026</t>
        </is>
      </c>
      <c r="B199" t="inlineStr">
        <is>
          <t>avverkningsanmälan</t>
        </is>
      </c>
      <c r="C199" t="inlineStr">
        <is>
          <t>Föryngringsavverkning</t>
        </is>
      </c>
      <c r="D199" s="1" t="n">
        <v>46024</v>
      </c>
      <c r="E199" s="1" t="n">
        <v>46292</v>
      </c>
      <c r="F199" t="inlineStr">
        <is>
          <t>VÄSTERNORRLANDS LÄN</t>
        </is>
      </c>
      <c r="G199" t="inlineStr">
        <is>
          <t>KRAMFORS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74-2026</t>
        </is>
      </c>
      <c r="B200" t="inlineStr">
        <is>
          <t>avverkningsanmälan</t>
        </is>
      </c>
      <c r="C200" t="inlineStr">
        <is>
          <t>Föryngringsavverkning</t>
        </is>
      </c>
      <c r="D200" s="1" t="n">
        <v>46024</v>
      </c>
      <c r="E200" s="1" t="n">
        <v>46292</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91-2026</t>
        </is>
      </c>
      <c r="B201" t="inlineStr">
        <is>
          <t>avverkningsanmälan</t>
        </is>
      </c>
      <c r="C201" t="inlineStr">
        <is>
          <t>Föryngringsavverkning</t>
        </is>
      </c>
      <c r="D201" s="1" t="n">
        <v>46024</v>
      </c>
      <c r="E201" s="1" t="n">
        <v>46292</v>
      </c>
      <c r="F201" t="inlineStr">
        <is>
          <t>VÄSTERNORRLANDS LÄN</t>
        </is>
      </c>
      <c r="G201" t="inlineStr">
        <is>
          <t>KRAMFORS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92-2026</t>
        </is>
      </c>
      <c r="B202" t="inlineStr">
        <is>
          <t>avverkningsanmälan</t>
        </is>
      </c>
      <c r="C202" t="inlineStr">
        <is>
          <t>Föryngringsavverkning</t>
        </is>
      </c>
      <c r="D202" s="1" t="n">
        <v>46024</v>
      </c>
      <c r="E202" s="1" t="n">
        <v>46292</v>
      </c>
      <c r="F202" t="inlineStr">
        <is>
          <t>VÄSTERNORRLANDS LÄN</t>
        </is>
      </c>
      <c r="G202" t="inlineStr">
        <is>
          <t>KRAMFORS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62271-2021</t>
        </is>
      </c>
      <c r="B203" t="inlineStr">
        <is>
          <t>avverkningsanmälan</t>
        </is>
      </c>
      <c r="C203" t="inlineStr">
        <is>
          <t>Föryngringsavverkning</t>
        </is>
      </c>
      <c r="D203" s="1" t="n">
        <v>44503</v>
      </c>
      <c r="E203" s="1" t="n">
        <v>46292</v>
      </c>
      <c r="F203" t="inlineStr">
        <is>
          <t>VÄSTERNORRLANDS LÄN</t>
        </is>
      </c>
      <c r="G203" t="inlineStr">
        <is>
          <t>KRAMFORS</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63228-2023</t>
        </is>
      </c>
      <c r="B204" t="inlineStr">
        <is>
          <t>avverkningsanmälan</t>
        </is>
      </c>
      <c r="C204" t="inlineStr">
        <is>
          <t>Föryngringsavverkning</t>
        </is>
      </c>
      <c r="D204" s="1" t="n">
        <v>45273</v>
      </c>
      <c r="E204" s="1" t="n">
        <v>46292</v>
      </c>
      <c r="F204" t="inlineStr">
        <is>
          <t>VÄSTERNORRLANDS LÄN</t>
        </is>
      </c>
      <c r="G204" t="inlineStr">
        <is>
          <t>KRAMFORS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4815-2024</t>
        </is>
      </c>
      <c r="B205" t="inlineStr">
        <is>
          <t>avverkningsanmälan</t>
        </is>
      </c>
      <c r="C205" t="inlineStr">
        <is>
          <t>Föryngringsavverkning</t>
        </is>
      </c>
      <c r="D205" s="1" t="n">
        <v>45328</v>
      </c>
      <c r="E205" s="1" t="n">
        <v>46292</v>
      </c>
      <c r="F205" t="inlineStr">
        <is>
          <t>VÄSTERNORRLANDS LÄN</t>
        </is>
      </c>
      <c r="G205" t="inlineStr">
        <is>
          <t>KRAMFORS</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531-2026</t>
        </is>
      </c>
      <c r="B206" t="inlineStr">
        <is>
          <t>avverkningsanmälan</t>
        </is>
      </c>
      <c r="C206" t="inlineStr">
        <is>
          <t>Föryngringsavverkning</t>
        </is>
      </c>
      <c r="D206" s="1" t="n">
        <v>46029</v>
      </c>
      <c r="E206" s="1" t="n">
        <v>46292</v>
      </c>
      <c r="F206" t="inlineStr">
        <is>
          <t>VÄSTERNORRLANDS LÄN</t>
        </is>
      </c>
      <c r="G206" t="inlineStr">
        <is>
          <t>KRAMFORS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2312-2023</t>
        </is>
      </c>
      <c r="B207" t="inlineStr">
        <is>
          <t>avverkningsanmälan</t>
        </is>
      </c>
      <c r="C207" t="inlineStr">
        <is>
          <t>Föryngringsavverkning</t>
        </is>
      </c>
      <c r="D207" s="1" t="n">
        <v>44942</v>
      </c>
      <c r="E207" s="1" t="n">
        <v>46292</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20528-2024</t>
        </is>
      </c>
      <c r="B208" t="inlineStr">
        <is>
          <t>avverkningsanmälan</t>
        </is>
      </c>
      <c r="C208" t="inlineStr">
        <is>
          <t>Föryngringsavverkning</t>
        </is>
      </c>
      <c r="D208" s="1" t="n">
        <v>45435</v>
      </c>
      <c r="E208" s="1" t="n">
        <v>46292</v>
      </c>
      <c r="F208" t="inlineStr">
        <is>
          <t>VÄSTERNORRLANDS LÄN</t>
        </is>
      </c>
      <c r="G208" t="inlineStr">
        <is>
          <t>KRAMFORS</t>
        </is>
      </c>
      <c r="H208" t="inlineStr">
        <is>
          <t>SCA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29240-2024</t>
        </is>
      </c>
      <c r="B209" t="inlineStr">
        <is>
          <t>avverkningsanmälan</t>
        </is>
      </c>
      <c r="C209" t="inlineStr">
        <is>
          <t>Föryngringsavverkning</t>
        </is>
      </c>
      <c r="D209" s="1" t="n">
        <v>45482</v>
      </c>
      <c r="E209" s="1" t="n">
        <v>46292</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24407-2025</t>
        </is>
      </c>
      <c r="B210" t="inlineStr">
        <is>
          <t>avverkningsanmälan</t>
        </is>
      </c>
      <c r="C210" t="inlineStr">
        <is>
          <t>Föryngringsavverkning</t>
        </is>
      </c>
      <c r="D210" s="1" t="n">
        <v>45797</v>
      </c>
      <c r="E210" s="1" t="n">
        <v>46292</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24409-2025</t>
        </is>
      </c>
      <c r="B211" t="inlineStr">
        <is>
          <t>avverkningsanmälan</t>
        </is>
      </c>
      <c r="C211" t="inlineStr">
        <is>
          <t>Föryngringsavverkning</t>
        </is>
      </c>
      <c r="D211" s="1" t="n">
        <v>45797</v>
      </c>
      <c r="E211" s="1" t="n">
        <v>46292</v>
      </c>
      <c r="F211" t="inlineStr">
        <is>
          <t>VÄSTERNORRLANDS LÄN</t>
        </is>
      </c>
      <c r="G211" t="inlineStr">
        <is>
          <t>KRAMFORS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10365-2024</t>
        </is>
      </c>
      <c r="B212" t="inlineStr">
        <is>
          <t>avverkningsanmälan</t>
        </is>
      </c>
      <c r="C212" t="inlineStr">
        <is>
          <t>Föryngringsavverkning</t>
        </is>
      </c>
      <c r="D212" s="1" t="n">
        <v>45365</v>
      </c>
      <c r="E212" s="1" t="n">
        <v>46292</v>
      </c>
      <c r="F212" t="inlineStr">
        <is>
          <t>VÄSTERNORRLANDS LÄN</t>
        </is>
      </c>
      <c r="G212" t="inlineStr">
        <is>
          <t>KRAMFORS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60314-2022</t>
        </is>
      </c>
      <c r="B213" t="inlineStr">
        <is>
          <t>avverkningsanmälan</t>
        </is>
      </c>
      <c r="C213" t="inlineStr">
        <is>
          <t>Föryngringsavverkning</t>
        </is>
      </c>
      <c r="D213" s="1" t="n">
        <v>44903</v>
      </c>
      <c r="E213" s="1" t="n">
        <v>46292</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24698-2025</t>
        </is>
      </c>
      <c r="B214" t="inlineStr">
        <is>
          <t>avverkningsanmälan</t>
        </is>
      </c>
      <c r="C214" t="inlineStr">
        <is>
          <t>Föryngringsavverkning</t>
        </is>
      </c>
      <c r="D214" s="1" t="n">
        <v>45798</v>
      </c>
      <c r="E214" s="1" t="n">
        <v>46292</v>
      </c>
      <c r="F214" t="inlineStr">
        <is>
          <t>VÄSTERNORRLANDS LÄN</t>
        </is>
      </c>
      <c r="G214" t="inlineStr">
        <is>
          <t>KRAMFORS</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38219-2025</t>
        </is>
      </c>
      <c r="B215" t="inlineStr">
        <is>
          <t>avverkningsanmälan</t>
        </is>
      </c>
      <c r="C215" t="inlineStr">
        <is>
          <t>Föryngringsavverkning</t>
        </is>
      </c>
      <c r="D215" s="1" t="n">
        <v>45883</v>
      </c>
      <c r="E215" s="1" t="n">
        <v>46292</v>
      </c>
      <c r="F215" t="inlineStr">
        <is>
          <t>VÄSTERNORRLANDS LÄN</t>
        </is>
      </c>
      <c r="G215" t="inlineStr">
        <is>
          <t>KRAMFORS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1176-2026</t>
        </is>
      </c>
      <c r="B216" t="inlineStr">
        <is>
          <t>avverkningsanmälan</t>
        </is>
      </c>
      <c r="C216" t="inlineStr">
        <is>
          <t>Föryngringsavverkning</t>
        </is>
      </c>
      <c r="D216" s="1" t="n">
        <v>46031</v>
      </c>
      <c r="E216" s="1" t="n">
        <v>46292</v>
      </c>
      <c r="F216" t="inlineStr">
        <is>
          <t>VÄSTERNORRLANDS LÄN</t>
        </is>
      </c>
      <c r="G216" t="inlineStr">
        <is>
          <t>KRAMFORS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26524-2024</t>
        </is>
      </c>
      <c r="B217" t="inlineStr">
        <is>
          <t>avverkningsanmälan</t>
        </is>
      </c>
      <c r="C217" t="inlineStr">
        <is>
          <t>Avverkning för annat ändamål</t>
        </is>
      </c>
      <c r="D217" s="1" t="n">
        <v>45469</v>
      </c>
      <c r="E217" s="1" t="n">
        <v>46292</v>
      </c>
      <c r="F217" t="inlineStr">
        <is>
          <t>VÄSTERNORRLANDS LÄN</t>
        </is>
      </c>
      <c r="G217" t="inlineStr">
        <is>
          <t>KRAMFORS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66554-2021</t>
        </is>
      </c>
      <c r="B218" t="inlineStr">
        <is>
          <t>avverkningsanmälan</t>
        </is>
      </c>
      <c r="C218" t="inlineStr">
        <is>
          <t>Föryngringsavverkning</t>
        </is>
      </c>
      <c r="D218" s="1" t="n">
        <v>44519</v>
      </c>
      <c r="E218" s="1" t="n">
        <v>46292</v>
      </c>
      <c r="F218" t="inlineStr">
        <is>
          <t>VÄSTERNORRLANDS LÄN</t>
        </is>
      </c>
      <c r="G218" t="inlineStr">
        <is>
          <t>KRAMFORS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2418-2026</t>
        </is>
      </c>
      <c r="B219" t="inlineStr">
        <is>
          <t>avverkningsanmälan</t>
        </is>
      </c>
      <c r="C219" t="inlineStr">
        <is>
          <t>Föryngringsavverkning</t>
        </is>
      </c>
      <c r="D219" s="1" t="n">
        <v>46034</v>
      </c>
      <c r="E219" s="1" t="n">
        <v>46292</v>
      </c>
      <c r="F219" t="inlineStr">
        <is>
          <t>VÄSTERNORRLANDS LÄN</t>
        </is>
      </c>
      <c r="G219" t="inlineStr">
        <is>
          <t>KRAMFORS</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1180-2026</t>
        </is>
      </c>
      <c r="B220" t="inlineStr">
        <is>
          <t>avverkningsanmälan</t>
        </is>
      </c>
      <c r="C220" t="inlineStr">
        <is>
          <t>Föryngringsavverkning</t>
        </is>
      </c>
      <c r="D220" s="1" t="n">
        <v>46031</v>
      </c>
      <c r="E220" s="1" t="n">
        <v>46292</v>
      </c>
      <c r="F220" t="inlineStr">
        <is>
          <t>VÄSTERNORRLANDS LÄN</t>
        </is>
      </c>
      <c r="G220" t="inlineStr">
        <is>
          <t>KRAMFORS</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38989-2025</t>
        </is>
      </c>
      <c r="B221" t="inlineStr">
        <is>
          <t>avverkningsanmälan</t>
        </is>
      </c>
      <c r="C221" t="inlineStr">
        <is>
          <t>Föryngringsavverkning</t>
        </is>
      </c>
      <c r="D221" s="1" t="n">
        <v>45888</v>
      </c>
      <c r="E221" s="1" t="n">
        <v>46292</v>
      </c>
      <c r="F221" t="inlineStr">
        <is>
          <t>VÄSTERNORRLANDS LÄN</t>
        </is>
      </c>
      <c r="G221" t="inlineStr">
        <is>
          <t>KRAMFORS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68797-2021</t>
        </is>
      </c>
      <c r="B222" t="inlineStr">
        <is>
          <t>avverkningsanmälan</t>
        </is>
      </c>
      <c r="C222" t="inlineStr">
        <is>
          <t>Föryngringsavverkning</t>
        </is>
      </c>
      <c r="D222" s="1" t="n">
        <v>44529</v>
      </c>
      <c r="E222" s="1" t="n">
        <v>46292</v>
      </c>
      <c r="F222" t="inlineStr">
        <is>
          <t>VÄSTERNORRLANDS LÄN</t>
        </is>
      </c>
      <c r="G222" t="inlineStr">
        <is>
          <t>KRAMFORS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61175-2024</t>
        </is>
      </c>
      <c r="B223" t="inlineStr">
        <is>
          <t>avverkningsanmälan</t>
        </is>
      </c>
      <c r="C223" t="inlineStr">
        <is>
          <t>Föryngringsavverkning</t>
        </is>
      </c>
      <c r="D223" s="1" t="n">
        <v>45645</v>
      </c>
      <c r="E223" s="1" t="n">
        <v>46292</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24993-2025</t>
        </is>
      </c>
      <c r="B224" t="inlineStr">
        <is>
          <t>avverkningsanmälan</t>
        </is>
      </c>
      <c r="C224" t="inlineStr">
        <is>
          <t>Föryngringsavverkning</t>
        </is>
      </c>
      <c r="D224" s="1" t="n">
        <v>45799</v>
      </c>
      <c r="E224" s="1" t="n">
        <v>46292</v>
      </c>
      <c r="F224" t="inlineStr">
        <is>
          <t>VÄSTERNORRLANDS LÄN</t>
        </is>
      </c>
      <c r="G224" t="inlineStr">
        <is>
          <t>KRAMFORS</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54045-2024</t>
        </is>
      </c>
      <c r="B225" t="inlineStr">
        <is>
          <t>avverkningsanmälan</t>
        </is>
      </c>
      <c r="C225" t="inlineStr">
        <is>
          <t>Föryngringsavverkning</t>
        </is>
      </c>
      <c r="D225" s="1" t="n">
        <v>45616</v>
      </c>
      <c r="E225" s="1" t="n">
        <v>46292</v>
      </c>
      <c r="F225" t="inlineStr">
        <is>
          <t>VÄSTERNORRLANDS LÄN</t>
        </is>
      </c>
      <c r="G225" t="inlineStr">
        <is>
          <t>KRAMFORS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39579-2025</t>
        </is>
      </c>
      <c r="B226" t="inlineStr">
        <is>
          <t>avverkningsanmälan</t>
        </is>
      </c>
      <c r="C226" t="inlineStr">
        <is>
          <t>Föryngringsavverkning</t>
        </is>
      </c>
      <c r="D226" s="1" t="n">
        <v>45890</v>
      </c>
      <c r="E226" s="1" t="n">
        <v>46292</v>
      </c>
      <c r="F226" t="inlineStr">
        <is>
          <t>VÄSTERNORRLANDS LÄN</t>
        </is>
      </c>
      <c r="G226" t="inlineStr">
        <is>
          <t>KRAMFORS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39577-2025</t>
        </is>
      </c>
      <c r="B227" t="inlineStr">
        <is>
          <t>avverkningsanmälan</t>
        </is>
      </c>
      <c r="C227" t="inlineStr">
        <is>
          <t>Föryngringsavverkning</t>
        </is>
      </c>
      <c r="D227" s="1" t="n">
        <v>45890</v>
      </c>
      <c r="E227" s="1" t="n">
        <v>46292</v>
      </c>
      <c r="F227" t="inlineStr">
        <is>
          <t>VÄSTERNORRLANDS LÄN</t>
        </is>
      </c>
      <c r="G227" t="inlineStr">
        <is>
          <t>KRAMFORS</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39581-2025</t>
        </is>
      </c>
      <c r="B228" t="inlineStr">
        <is>
          <t>avverkningsanmälan</t>
        </is>
      </c>
      <c r="C228" t="inlineStr">
        <is>
          <t>Föryngringsavverkning</t>
        </is>
      </c>
      <c r="D228" s="1" t="n">
        <v>45890</v>
      </c>
      <c r="E228" s="1" t="n">
        <v>46292</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70638-2021</t>
        </is>
      </c>
      <c r="B229" t="inlineStr">
        <is>
          <t>avverkningsanmälan</t>
        </is>
      </c>
      <c r="C229" t="inlineStr">
        <is>
          <t>Avverkning för annat ändamål</t>
        </is>
      </c>
      <c r="D229" s="1" t="n">
        <v>44536</v>
      </c>
      <c r="E229" s="1" t="n">
        <v>46292</v>
      </c>
      <c r="F229" t="inlineStr">
        <is>
          <t>VÄSTERNORRLANDS LÄN</t>
        </is>
      </c>
      <c r="G229" t="inlineStr">
        <is>
          <t>KRAMFORS</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2410-2025</t>
        </is>
      </c>
      <c r="B230" t="inlineStr">
        <is>
          <t>avverkningsanmälan</t>
        </is>
      </c>
      <c r="C230" t="inlineStr">
        <is>
          <t>Föryngringsavverkning</t>
        </is>
      </c>
      <c r="D230" s="1" t="n">
        <v>45674</v>
      </c>
      <c r="E230" s="1" t="n">
        <v>46292</v>
      </c>
      <c r="F230" t="inlineStr">
        <is>
          <t>VÄSTERNORRLANDS LÄN</t>
        </is>
      </c>
      <c r="G230" t="inlineStr">
        <is>
          <t>KRAMFORS</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1825-2022</t>
        </is>
      </c>
      <c r="B231" t="inlineStr">
        <is>
          <t>avverkningsanmälan</t>
        </is>
      </c>
      <c r="C231" t="inlineStr">
        <is>
          <t>Föryngringsavverkning</t>
        </is>
      </c>
      <c r="D231" s="1" t="n">
        <v>44574</v>
      </c>
      <c r="E231" s="1" t="n">
        <v>46292</v>
      </c>
      <c r="F231" t="inlineStr">
        <is>
          <t>VÄSTERNORRLANDS LÄN</t>
        </is>
      </c>
      <c r="G231" t="inlineStr">
        <is>
          <t>KRAMFORS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3437-2026</t>
        </is>
      </c>
      <c r="B232" t="inlineStr">
        <is>
          <t>avverkningsanmälan</t>
        </is>
      </c>
      <c r="C232" t="inlineStr">
        <is>
          <t>Föryngringsavverkning</t>
        </is>
      </c>
      <c r="D232" s="1" t="n">
        <v>46042</v>
      </c>
      <c r="E232" s="1" t="n">
        <v>46292</v>
      </c>
      <c r="F232" t="inlineStr">
        <is>
          <t>VÄSTERNORRLANDS LÄN</t>
        </is>
      </c>
      <c r="G232" t="inlineStr">
        <is>
          <t>KRAMFORS</t>
        </is>
      </c>
      <c r="I232" t="n">
        <v>17.9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11860-2022</t>
        </is>
      </c>
      <c r="B233" t="inlineStr">
        <is>
          <t>avverkningsanmälan</t>
        </is>
      </c>
      <c r="C233" t="inlineStr">
        <is>
          <t>Avverkning för annat ändamål</t>
        </is>
      </c>
      <c r="D233" s="1" t="n">
        <v>44634</v>
      </c>
      <c r="E233" s="1" t="n">
        <v>46292</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58075-2024</t>
        </is>
      </c>
      <c r="B234" t="inlineStr">
        <is>
          <t>avverkningsanmälan</t>
        </is>
      </c>
      <c r="C234" t="inlineStr">
        <is>
          <t>Föryngringsavverkning</t>
        </is>
      </c>
      <c r="D234" s="1" t="n">
        <v>45632</v>
      </c>
      <c r="E234" s="1" t="n">
        <v>46292</v>
      </c>
      <c r="F234" t="inlineStr">
        <is>
          <t>VÄSTERNORRLANDS LÄN</t>
        </is>
      </c>
      <c r="G234" t="inlineStr">
        <is>
          <t>KRAMFORS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3103-2026</t>
        </is>
      </c>
      <c r="B235" t="inlineStr">
        <is>
          <t>avverkningsanmälan</t>
        </is>
      </c>
      <c r="C235" t="inlineStr">
        <is>
          <t>Föryngringsavverkning</t>
        </is>
      </c>
      <c r="D235" s="1" t="n">
        <v>46041</v>
      </c>
      <c r="E235" s="1" t="n">
        <v>46292</v>
      </c>
      <c r="F235" t="inlineStr">
        <is>
          <t>VÄSTERNORRLANDS LÄN</t>
        </is>
      </c>
      <c r="G235" t="inlineStr">
        <is>
          <t>KRAMFORS</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3196-2026</t>
        </is>
      </c>
      <c r="B236" t="inlineStr">
        <is>
          <t>avverkningsanmälan</t>
        </is>
      </c>
      <c r="C236" t="inlineStr">
        <is>
          <t>Föryngringsavverkning</t>
        </is>
      </c>
      <c r="D236" s="1" t="n">
        <v>46041</v>
      </c>
      <c r="E236" s="1" t="n">
        <v>46292</v>
      </c>
      <c r="F236" t="inlineStr">
        <is>
          <t>VÄSTERNORRLANDS LÄN</t>
        </is>
      </c>
      <c r="G236" t="inlineStr">
        <is>
          <t>KRAMFORS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3205-2026</t>
        </is>
      </c>
      <c r="B237" t="inlineStr">
        <is>
          <t>avverkningsanmälan</t>
        </is>
      </c>
      <c r="C237" t="inlineStr">
        <is>
          <t>Föryngringsavverkning</t>
        </is>
      </c>
      <c r="D237" s="1" t="n">
        <v>46041</v>
      </c>
      <c r="E237" s="1" t="n">
        <v>46292</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46292</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3684-2026</t>
        </is>
      </c>
      <c r="B239" t="inlineStr">
        <is>
          <t>avverkningsanmälan</t>
        </is>
      </c>
      <c r="C239" t="inlineStr">
        <is>
          <t>Föryngringsavverkning</t>
        </is>
      </c>
      <c r="D239" s="1" t="n">
        <v>46043</v>
      </c>
      <c r="E239" s="1" t="n">
        <v>46292</v>
      </c>
      <c r="F239" t="inlineStr">
        <is>
          <t>VÄSTERNORRLANDS LÄN</t>
        </is>
      </c>
      <c r="G239" t="inlineStr">
        <is>
          <t>KRAMFORS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38247-2024</t>
        </is>
      </c>
      <c r="B240" t="inlineStr">
        <is>
          <t>avverkningsanmälan</t>
        </is>
      </c>
      <c r="C240" t="inlineStr">
        <is>
          <t>Föryngringsavverkning</t>
        </is>
      </c>
      <c r="D240" s="1" t="n">
        <v>45545</v>
      </c>
      <c r="E240" s="1" t="n">
        <v>46292</v>
      </c>
      <c r="F240" t="inlineStr">
        <is>
          <t>VÄSTERNORRLANDS LÄN</t>
        </is>
      </c>
      <c r="G240" t="inlineStr">
        <is>
          <t>KRAMFORS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3716-2026</t>
        </is>
      </c>
      <c r="B241" t="inlineStr">
        <is>
          <t>avverkningsanmälan</t>
        </is>
      </c>
      <c r="C241" t="inlineStr">
        <is>
          <t>Föryngringsavverkning</t>
        </is>
      </c>
      <c r="D241" s="1" t="n">
        <v>46043</v>
      </c>
      <c r="E241" s="1" t="n">
        <v>46292</v>
      </c>
      <c r="F241" t="inlineStr">
        <is>
          <t>VÄSTERNORRLANDS LÄN</t>
        </is>
      </c>
      <c r="G241" t="inlineStr">
        <is>
          <t>KRAMFORS</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4010-2026</t>
        </is>
      </c>
      <c r="B242" t="inlineStr">
        <is>
          <t>avverkningsanmälan</t>
        </is>
      </c>
      <c r="C242" t="inlineStr">
        <is>
          <t>Föryngringsavverkning</t>
        </is>
      </c>
      <c r="D242" s="1" t="n">
        <v>46044</v>
      </c>
      <c r="E242" s="1" t="n">
        <v>46292</v>
      </c>
      <c r="F242" t="inlineStr">
        <is>
          <t>VÄSTERNORRLANDS LÄN</t>
        </is>
      </c>
      <c r="G242" t="inlineStr">
        <is>
          <t>KRAMFORS</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61252-2022</t>
        </is>
      </c>
      <c r="B243" t="inlineStr">
        <is>
          <t>avverkningsanmälan</t>
        </is>
      </c>
      <c r="C243" t="inlineStr">
        <is>
          <t>Föryngringsavverkning</t>
        </is>
      </c>
      <c r="D243" s="1" t="n">
        <v>44909</v>
      </c>
      <c r="E243" s="1" t="n">
        <v>46292</v>
      </c>
      <c r="F243" t="inlineStr">
        <is>
          <t>VÄSTERNORRLANDS LÄN</t>
        </is>
      </c>
      <c r="G243" t="inlineStr">
        <is>
          <t>KRAMFORS</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36896-2024</t>
        </is>
      </c>
      <c r="B244" t="inlineStr">
        <is>
          <t>avverkningsanmälan</t>
        </is>
      </c>
      <c r="C244" t="inlineStr">
        <is>
          <t>Föryngringsavverkning</t>
        </is>
      </c>
      <c r="D244" s="1" t="n">
        <v>45538</v>
      </c>
      <c r="E244" s="1" t="n">
        <v>46292</v>
      </c>
      <c r="F244" t="inlineStr">
        <is>
          <t>VÄSTERNORRLANDS LÄN</t>
        </is>
      </c>
      <c r="G244" t="inlineStr">
        <is>
          <t>KRAMFORS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41062-2025</t>
        </is>
      </c>
      <c r="B245" t="inlineStr">
        <is>
          <t>avverkningsanmälan</t>
        </is>
      </c>
      <c r="C245" t="inlineStr">
        <is>
          <t>Föryngringsavverkning</t>
        </is>
      </c>
      <c r="D245" s="1" t="n">
        <v>45898</v>
      </c>
      <c r="E245" s="1" t="n">
        <v>46292</v>
      </c>
      <c r="F245" t="inlineStr">
        <is>
          <t>VÄSTERNORRLANDS LÄN</t>
        </is>
      </c>
      <c r="G245" t="inlineStr">
        <is>
          <t>KRAMFORS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41121-2025</t>
        </is>
      </c>
      <c r="B246" t="inlineStr">
        <is>
          <t>avverkningsanmälan</t>
        </is>
      </c>
      <c r="C246" t="inlineStr">
        <is>
          <t>Föryngringsavverkning</t>
        </is>
      </c>
      <c r="D246" s="1" t="n">
        <v>45898</v>
      </c>
      <c r="E246" s="1" t="n">
        <v>46292</v>
      </c>
      <c r="F246" t="inlineStr">
        <is>
          <t>VÄSTERNORRLANDS LÄN</t>
        </is>
      </c>
      <c r="G246" t="inlineStr">
        <is>
          <t>KRAMFORS</t>
        </is>
      </c>
      <c r="H246" t="inlineStr">
        <is>
          <t>SCA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41045-2025</t>
        </is>
      </c>
      <c r="B247" t="inlineStr">
        <is>
          <t>avverkningsanmälan</t>
        </is>
      </c>
      <c r="C247" t="inlineStr">
        <is>
          <t>Föryngringsavverkning</t>
        </is>
      </c>
      <c r="D247" s="1" t="n">
        <v>45898</v>
      </c>
      <c r="E247" s="1" t="n">
        <v>46292</v>
      </c>
      <c r="F247" t="inlineStr">
        <is>
          <t>VÄSTERNORRLANDS LÄN</t>
        </is>
      </c>
      <c r="G247" t="inlineStr">
        <is>
          <t>KRAMFORS</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3681-2026</t>
        </is>
      </c>
      <c r="B248" t="inlineStr">
        <is>
          <t>avverkningsanmälan</t>
        </is>
      </c>
      <c r="C248" t="inlineStr">
        <is>
          <t>Föryngringsavverkning</t>
        </is>
      </c>
      <c r="D248" s="1" t="n">
        <v>46043</v>
      </c>
      <c r="E248" s="1" t="n">
        <v>46292</v>
      </c>
      <c r="F248" t="inlineStr">
        <is>
          <t>VÄSTERNORRLANDS LÄN</t>
        </is>
      </c>
      <c r="G248" t="inlineStr">
        <is>
          <t>KRAMFORS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3718-2026</t>
        </is>
      </c>
      <c r="B249" t="inlineStr">
        <is>
          <t>avverkningsanmälan</t>
        </is>
      </c>
      <c r="C249" t="inlineStr">
        <is>
          <t>Föryngringsavverkning</t>
        </is>
      </c>
      <c r="D249" s="1" t="n">
        <v>46043</v>
      </c>
      <c r="E249" s="1" t="n">
        <v>46292</v>
      </c>
      <c r="F249" t="inlineStr">
        <is>
          <t>VÄSTERNORRLANDS LÄN</t>
        </is>
      </c>
      <c r="G249" t="inlineStr">
        <is>
          <t>KRAMFORS</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3678-2026</t>
        </is>
      </c>
      <c r="B250" t="inlineStr">
        <is>
          <t>avverkningsanmälan</t>
        </is>
      </c>
      <c r="C250" t="inlineStr">
        <is>
          <t>Föryngringsavverkning</t>
        </is>
      </c>
      <c r="D250" s="1" t="n">
        <v>46043</v>
      </c>
      <c r="E250" s="1" t="n">
        <v>46292</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4038-2026</t>
        </is>
      </c>
      <c r="B251" t="inlineStr">
        <is>
          <t>avverkningsanmälan</t>
        </is>
      </c>
      <c r="C251" t="inlineStr">
        <is>
          <t>Föryngringsavverkning</t>
        </is>
      </c>
      <c r="D251" s="1" t="n">
        <v>46044</v>
      </c>
      <c r="E251" s="1" t="n">
        <v>46292</v>
      </c>
      <c r="F251" t="inlineStr">
        <is>
          <t>VÄSTERNORRLANDS LÄN</t>
        </is>
      </c>
      <c r="G251" t="inlineStr">
        <is>
          <t>KRAMFORS</t>
        </is>
      </c>
      <c r="H251" t="inlineStr">
        <is>
          <t>Kyrkan</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41012-2025</t>
        </is>
      </c>
      <c r="B252" t="inlineStr">
        <is>
          <t>avverkningsanmälan</t>
        </is>
      </c>
      <c r="C252" t="inlineStr">
        <is>
          <t>Föryngringsavverkning</t>
        </is>
      </c>
      <c r="D252" s="1" t="n">
        <v>45898</v>
      </c>
      <c r="E252" s="1" t="n">
        <v>46292</v>
      </c>
      <c r="F252" t="inlineStr">
        <is>
          <t>VÄSTERNORRLANDS LÄN</t>
        </is>
      </c>
      <c r="G252" t="inlineStr">
        <is>
          <t>KRAMFORS</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41315-2025</t>
        </is>
      </c>
      <c r="B253" t="inlineStr">
        <is>
          <t>avverkningsanmälan</t>
        </is>
      </c>
      <c r="C253" t="inlineStr">
        <is>
          <t>Föryngringsavverkning</t>
        </is>
      </c>
      <c r="D253" s="1" t="n">
        <v>45898</v>
      </c>
      <c r="E253" s="1" t="n">
        <v>46292</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41317-2025</t>
        </is>
      </c>
      <c r="B254" t="inlineStr">
        <is>
          <t>avverkningsanmälan</t>
        </is>
      </c>
      <c r="C254" t="inlineStr">
        <is>
          <t>Föryngringsavverkning</t>
        </is>
      </c>
      <c r="D254" s="1" t="n">
        <v>45898</v>
      </c>
      <c r="E254" s="1" t="n">
        <v>46292</v>
      </c>
      <c r="F254" t="inlineStr">
        <is>
          <t>VÄSTERNORRLANDS LÄN</t>
        </is>
      </c>
      <c r="G254" t="inlineStr">
        <is>
          <t>KRAMFORS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3735-2026</t>
        </is>
      </c>
      <c r="B255" t="inlineStr">
        <is>
          <t>avverkningsanmälan</t>
        </is>
      </c>
      <c r="C255" t="inlineStr">
        <is>
          <t>Föryngringsavverkning</t>
        </is>
      </c>
      <c r="D255" s="1" t="n">
        <v>46043</v>
      </c>
      <c r="E255" s="1" t="n">
        <v>46292</v>
      </c>
      <c r="F255" t="inlineStr">
        <is>
          <t>VÄSTERNORRLANDS LÄN</t>
        </is>
      </c>
      <c r="G255" t="inlineStr">
        <is>
          <t>KRAMFORS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4879-2026</t>
        </is>
      </c>
      <c r="B256" t="inlineStr">
        <is>
          <t>avverkningsanmälan</t>
        </is>
      </c>
      <c r="C256" t="inlineStr">
        <is>
          <t>Föryngringsavverkning</t>
        </is>
      </c>
      <c r="D256" s="1" t="n">
        <v>46048</v>
      </c>
      <c r="E256" s="1" t="n">
        <v>46292</v>
      </c>
      <c r="F256" t="inlineStr">
        <is>
          <t>VÄSTERNORRLANDS LÄN</t>
        </is>
      </c>
      <c r="G256" t="inlineStr">
        <is>
          <t>KRAMFORS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41556-2025</t>
        </is>
      </c>
      <c r="B257" t="inlineStr">
        <is>
          <t>avverkningsanmälan</t>
        </is>
      </c>
      <c r="C257" t="inlineStr">
        <is>
          <t>Föryngringsavverkning</t>
        </is>
      </c>
      <c r="D257" s="1" t="n">
        <v>45901</v>
      </c>
      <c r="E257" s="1" t="n">
        <v>46292</v>
      </c>
      <c r="F257" t="inlineStr">
        <is>
          <t>VÄSTERNORRLANDS LÄN</t>
        </is>
      </c>
      <c r="G257" t="inlineStr">
        <is>
          <t>KRAMFORS</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4528-2026</t>
        </is>
      </c>
      <c r="B258" t="inlineStr">
        <is>
          <t>avverkningsanmälan</t>
        </is>
      </c>
      <c r="C258" t="inlineStr">
        <is>
          <t>Föryngringsavverkning</t>
        </is>
      </c>
      <c r="D258" s="1" t="n">
        <v>46046</v>
      </c>
      <c r="E258" s="1" t="n">
        <v>46292</v>
      </c>
      <c r="F258" t="inlineStr">
        <is>
          <t>VÄSTERNORRLANDS LÄN</t>
        </is>
      </c>
      <c r="G258" t="inlineStr">
        <is>
          <t>KRAMFORS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18633-2024</t>
        </is>
      </c>
      <c r="B259" t="inlineStr">
        <is>
          <t>avverkningsanmälan</t>
        </is>
      </c>
      <c r="C259" t="inlineStr">
        <is>
          <t>Avverkning för att bevara och utveckla /försöksver</t>
        </is>
      </c>
      <c r="D259" s="1" t="n">
        <v>45425</v>
      </c>
      <c r="E259" s="1" t="n">
        <v>46292</v>
      </c>
      <c r="F259" t="inlineStr">
        <is>
          <t>VÄSTERNORRLANDS LÄN</t>
        </is>
      </c>
      <c r="G259" t="inlineStr">
        <is>
          <t>KRAMFORS</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41314-2025</t>
        </is>
      </c>
      <c r="B260" t="inlineStr">
        <is>
          <t>avverkningsanmälan</t>
        </is>
      </c>
      <c r="C260" t="inlineStr">
        <is>
          <t>Föryngringsavverkning</t>
        </is>
      </c>
      <c r="D260" s="1" t="n">
        <v>45898</v>
      </c>
      <c r="E260" s="1" t="n">
        <v>46292</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41316-2025</t>
        </is>
      </c>
      <c r="B261" t="inlineStr">
        <is>
          <t>avverkningsanmälan</t>
        </is>
      </c>
      <c r="C261" t="inlineStr">
        <is>
          <t>Föryngringsavverkning</t>
        </is>
      </c>
      <c r="D261" s="1" t="n">
        <v>45898</v>
      </c>
      <c r="E261" s="1" t="n">
        <v>46292</v>
      </c>
      <c r="F261" t="inlineStr">
        <is>
          <t>VÄSTERNORRLANDS LÄN</t>
        </is>
      </c>
      <c r="G261" t="inlineStr">
        <is>
          <t>KRAMFORS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41557-2025</t>
        </is>
      </c>
      <c r="B262" t="inlineStr">
        <is>
          <t>avverkningsanmälan</t>
        </is>
      </c>
      <c r="C262" t="inlineStr">
        <is>
          <t>Föryngringsavverkning</t>
        </is>
      </c>
      <c r="D262" s="1" t="n">
        <v>45901</v>
      </c>
      <c r="E262" s="1" t="n">
        <v>46292</v>
      </c>
      <c r="F262" t="inlineStr">
        <is>
          <t>VÄSTERNORRLANDS LÄN</t>
        </is>
      </c>
      <c r="G262" t="inlineStr">
        <is>
          <t>KRAMFORS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41318-2025</t>
        </is>
      </c>
      <c r="B263" t="inlineStr">
        <is>
          <t>avverkningsanmälan</t>
        </is>
      </c>
      <c r="C263" t="inlineStr">
        <is>
          <t>Föryngringsavverkning</t>
        </is>
      </c>
      <c r="D263" s="1" t="n">
        <v>45898</v>
      </c>
      <c r="E263" s="1" t="n">
        <v>46292</v>
      </c>
      <c r="F263" t="inlineStr">
        <is>
          <t>VÄSTERNORRLANDS LÄN</t>
        </is>
      </c>
      <c r="G263" t="inlineStr">
        <is>
          <t>KRAMFORS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62243-2021</t>
        </is>
      </c>
      <c r="B264" t="inlineStr">
        <is>
          <t>avverkningsanmälan</t>
        </is>
      </c>
      <c r="C264" t="inlineStr">
        <is>
          <t>Föryngringsavverkning</t>
        </is>
      </c>
      <c r="D264" s="1" t="n">
        <v>44503</v>
      </c>
      <c r="E264" s="1" t="n">
        <v>46292</v>
      </c>
      <c r="F264" t="inlineStr">
        <is>
          <t>VÄSTERNORRLANDS LÄN</t>
        </is>
      </c>
      <c r="G264" t="inlineStr">
        <is>
          <t>KRAMFORS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4533-2026</t>
        </is>
      </c>
      <c r="B265" t="inlineStr">
        <is>
          <t>avverkningsanmälan</t>
        </is>
      </c>
      <c r="C265" t="inlineStr">
        <is>
          <t>Föryngringsavverkning</t>
        </is>
      </c>
      <c r="D265" s="1" t="n">
        <v>46046</v>
      </c>
      <c r="E265" s="1" t="n">
        <v>46292</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4535-2026</t>
        </is>
      </c>
      <c r="B266" t="inlineStr">
        <is>
          <t>avverkningsanmälan</t>
        </is>
      </c>
      <c r="C266" t="inlineStr">
        <is>
          <t>Föryngringsavverkning</t>
        </is>
      </c>
      <c r="D266" s="1" t="n">
        <v>46046</v>
      </c>
      <c r="E266" s="1" t="n">
        <v>46292</v>
      </c>
      <c r="F266" t="inlineStr">
        <is>
          <t>VÄSTERNORRLANDS LÄN</t>
        </is>
      </c>
      <c r="G266" t="inlineStr">
        <is>
          <t>KRAMFORS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4555-2026</t>
        </is>
      </c>
      <c r="B267" t="inlineStr">
        <is>
          <t>avverkningsanmälan</t>
        </is>
      </c>
      <c r="C267" t="inlineStr">
        <is>
          <t>Föryngringsavverkning</t>
        </is>
      </c>
      <c r="D267" s="1" t="n">
        <v>46047</v>
      </c>
      <c r="E267" s="1" t="n">
        <v>46292</v>
      </c>
      <c r="F267" t="inlineStr">
        <is>
          <t>VÄSTERNORRLANDS LÄN</t>
        </is>
      </c>
      <c r="G267" t="inlineStr">
        <is>
          <t>KRAMFORS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41561-2025</t>
        </is>
      </c>
      <c r="B268" t="inlineStr">
        <is>
          <t>avverkningsanmälan</t>
        </is>
      </c>
      <c r="C268" t="inlineStr">
        <is>
          <t>Föryngringsavverkning</t>
        </is>
      </c>
      <c r="D268" s="1" t="n">
        <v>45901</v>
      </c>
      <c r="E268" s="1" t="n">
        <v>46292</v>
      </c>
      <c r="F268" t="inlineStr">
        <is>
          <t>VÄSTERNORRLANDS LÄN</t>
        </is>
      </c>
      <c r="G268" t="inlineStr">
        <is>
          <t>KRAMFORS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5163-2026</t>
        </is>
      </c>
      <c r="B269" t="inlineStr">
        <is>
          <t>avverkningsanmälan</t>
        </is>
      </c>
      <c r="C269" t="inlineStr">
        <is>
          <t>Föryngringsavverkning</t>
        </is>
      </c>
      <c r="D269" s="1" t="n">
        <v>46049</v>
      </c>
      <c r="E269" s="1" t="n">
        <v>46292</v>
      </c>
      <c r="F269" t="inlineStr">
        <is>
          <t>VÄSTERNORRLANDS LÄN</t>
        </is>
      </c>
      <c r="G269" t="inlineStr">
        <is>
          <t>KRAMFORS</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24976-2025</t>
        </is>
      </c>
      <c r="B270" t="inlineStr">
        <is>
          <t>avverkningsanmälan</t>
        </is>
      </c>
      <c r="C270" t="inlineStr">
        <is>
          <t>Föryngringsavverkning</t>
        </is>
      </c>
      <c r="D270" s="1" t="n">
        <v>45799</v>
      </c>
      <c r="E270" s="1" t="n">
        <v>46292</v>
      </c>
      <c r="F270" t="inlineStr">
        <is>
          <t>VÄSTERNORRLANDS LÄN</t>
        </is>
      </c>
      <c r="G270" t="inlineStr">
        <is>
          <t>KRAMFORS</t>
        </is>
      </c>
      <c r="I270" t="n">
        <v>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60916-2022</t>
        </is>
      </c>
      <c r="B271" t="inlineStr">
        <is>
          <t>avverkningsanmälan</t>
        </is>
      </c>
      <c r="C271" t="inlineStr">
        <is>
          <t>Föryngringsavverkning</t>
        </is>
      </c>
      <c r="D271" s="1" t="n">
        <v>44908</v>
      </c>
      <c r="E271" s="1" t="n">
        <v>46292</v>
      </c>
      <c r="F271" t="inlineStr">
        <is>
          <t>VÄSTERNORRLANDS LÄN</t>
        </is>
      </c>
      <c r="G271" t="inlineStr">
        <is>
          <t>KRAMFORS</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5095-2026</t>
        </is>
      </c>
      <c r="B272" t="inlineStr">
        <is>
          <t>avverkningsanmälan</t>
        </is>
      </c>
      <c r="C272" t="inlineStr">
        <is>
          <t>Föryngringsavverkning</t>
        </is>
      </c>
      <c r="D272" s="1" t="n">
        <v>46049</v>
      </c>
      <c r="E272" s="1" t="n">
        <v>46292</v>
      </c>
      <c r="F272" t="inlineStr">
        <is>
          <t>VÄSTERNORRLANDS LÄN</t>
        </is>
      </c>
      <c r="G272" t="inlineStr">
        <is>
          <t>KRAMFORS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5167-2026</t>
        </is>
      </c>
      <c r="B273" t="inlineStr">
        <is>
          <t>avverkningsanmälan</t>
        </is>
      </c>
      <c r="C273" t="inlineStr">
        <is>
          <t>Föryngringsavverkning</t>
        </is>
      </c>
      <c r="D273" s="1" t="n">
        <v>46049</v>
      </c>
      <c r="E273" s="1" t="n">
        <v>46292</v>
      </c>
      <c r="F273" t="inlineStr">
        <is>
          <t>VÄSTERNORRLANDS LÄN</t>
        </is>
      </c>
      <c r="G273" t="inlineStr">
        <is>
          <t>KRAMFORS</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516-2025</t>
        </is>
      </c>
      <c r="B274" t="inlineStr">
        <is>
          <t>avverkningsanmälan</t>
        </is>
      </c>
      <c r="C274" t="inlineStr">
        <is>
          <t>Föryngringsavverkning</t>
        </is>
      </c>
      <c r="D274" s="1" t="n">
        <v>45664</v>
      </c>
      <c r="E274" s="1" t="n">
        <v>46292</v>
      </c>
      <c r="F274" t="inlineStr">
        <is>
          <t>VÄSTERNORRLANDS LÄN</t>
        </is>
      </c>
      <c r="G274" t="inlineStr">
        <is>
          <t>KRAMFORS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25039-2025</t>
        </is>
      </c>
      <c r="B275" t="inlineStr">
        <is>
          <t>avverkningsanmälan</t>
        </is>
      </c>
      <c r="C275" t="inlineStr">
        <is>
          <t>Föryngringsavverkning</t>
        </is>
      </c>
      <c r="D275" s="1" t="n">
        <v>45799</v>
      </c>
      <c r="E275" s="1" t="n">
        <v>46292</v>
      </c>
      <c r="F275" t="inlineStr">
        <is>
          <t>VÄSTERNORRLANDS LÄN</t>
        </is>
      </c>
      <c r="G275" t="inlineStr">
        <is>
          <t>KRAMFORS</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42951-2025</t>
        </is>
      </c>
      <c r="B276" t="inlineStr">
        <is>
          <t>avverkningsanmälan</t>
        </is>
      </c>
      <c r="C276" t="inlineStr">
        <is>
          <t>Avverkning för annat ändamål</t>
        </is>
      </c>
      <c r="D276" s="1" t="n">
        <v>45909</v>
      </c>
      <c r="E276" s="1" t="n">
        <v>46292</v>
      </c>
      <c r="F276" t="inlineStr">
        <is>
          <t>VÄSTERNORRLANDS LÄN</t>
        </is>
      </c>
      <c r="G276" t="inlineStr">
        <is>
          <t>KRAMFORS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42952-2025</t>
        </is>
      </c>
      <c r="B277" t="inlineStr">
        <is>
          <t>avverkningsanmälan</t>
        </is>
      </c>
      <c r="C277" t="inlineStr">
        <is>
          <t>Avverkning för annat ändamål</t>
        </is>
      </c>
      <c r="D277" s="1" t="n">
        <v>45909</v>
      </c>
      <c r="E277" s="1" t="n">
        <v>46292</v>
      </c>
      <c r="F277" t="inlineStr">
        <is>
          <t>VÄSTERNORRLANDS LÄN</t>
        </is>
      </c>
      <c r="G277" t="inlineStr">
        <is>
          <t>KRAMFORS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4531-2026</t>
        </is>
      </c>
      <c r="B278" t="inlineStr">
        <is>
          <t>avverkningsanmälan</t>
        </is>
      </c>
      <c r="C278" t="inlineStr">
        <is>
          <t>Föryngringsavverkning</t>
        </is>
      </c>
      <c r="D278" s="1" t="n">
        <v>46046</v>
      </c>
      <c r="E278" s="1" t="n">
        <v>46292</v>
      </c>
      <c r="F278" t="inlineStr">
        <is>
          <t>VÄSTERNORRLANDS LÄN</t>
        </is>
      </c>
      <c r="G278" t="inlineStr">
        <is>
          <t>KRAMFORS</t>
        </is>
      </c>
      <c r="I278" t="n">
        <v>10.2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30456-2024</t>
        </is>
      </c>
      <c r="B279" t="inlineStr">
        <is>
          <t>avverkningsanmälan</t>
        </is>
      </c>
      <c r="C279" t="inlineStr">
        <is>
          <t>Föryngringsavverkning</t>
        </is>
      </c>
      <c r="D279" s="1" t="n">
        <v>45491</v>
      </c>
      <c r="E279" s="1" t="n">
        <v>46292</v>
      </c>
      <c r="F279" t="inlineStr">
        <is>
          <t>VÄSTERNORRLANDS LÄN</t>
        </is>
      </c>
      <c r="G279" t="inlineStr">
        <is>
          <t>KRAMFORS</t>
        </is>
      </c>
      <c r="H279" t="inlineStr">
        <is>
          <t>SCA</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5457-2023</t>
        </is>
      </c>
      <c r="B280" t="inlineStr">
        <is>
          <t>avverkningsanmälan</t>
        </is>
      </c>
      <c r="C280" t="inlineStr">
        <is>
          <t>Föryngringsavverkning</t>
        </is>
      </c>
      <c r="D280" s="1" t="n">
        <v>44959</v>
      </c>
      <c r="E280" s="1" t="n">
        <v>46292</v>
      </c>
      <c r="F280" t="inlineStr">
        <is>
          <t>VÄSTERNORRLANDS LÄN</t>
        </is>
      </c>
      <c r="G280" t="inlineStr">
        <is>
          <t>KRAMFORS</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42950-2025</t>
        </is>
      </c>
      <c r="B281" t="inlineStr">
        <is>
          <t>avverkningsanmälan</t>
        </is>
      </c>
      <c r="C281" t="inlineStr">
        <is>
          <t>Avverkning för annat ändamål</t>
        </is>
      </c>
      <c r="D281" s="1" t="n">
        <v>45909</v>
      </c>
      <c r="E281" s="1" t="n">
        <v>46292</v>
      </c>
      <c r="F281" t="inlineStr">
        <is>
          <t>VÄSTERNORRLANDS LÄN</t>
        </is>
      </c>
      <c r="G281" t="inlineStr">
        <is>
          <t>KRAMFORS</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52002-2022</t>
        </is>
      </c>
      <c r="B282" t="inlineStr">
        <is>
          <t>avverkningsanmälan</t>
        </is>
      </c>
      <c r="C282" t="inlineStr">
        <is>
          <t>Föryngringsavverkning</t>
        </is>
      </c>
      <c r="D282" s="1" t="n">
        <v>44872</v>
      </c>
      <c r="E282" s="1" t="n">
        <v>46292</v>
      </c>
      <c r="F282" t="inlineStr">
        <is>
          <t>VÄSTERNORRLANDS LÄN</t>
        </is>
      </c>
      <c r="G282" t="inlineStr">
        <is>
          <t>KRAMFORS</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6131-2026</t>
        </is>
      </c>
      <c r="B283" t="inlineStr">
        <is>
          <t>avverkningsanmälan</t>
        </is>
      </c>
      <c r="C283" t="inlineStr">
        <is>
          <t>Föryngringsavverkning</t>
        </is>
      </c>
      <c r="D283" s="1" t="n">
        <v>46054</v>
      </c>
      <c r="E283" s="1" t="n">
        <v>46292</v>
      </c>
      <c r="F283" t="inlineStr">
        <is>
          <t>VÄSTERNORRLANDS LÄN</t>
        </is>
      </c>
      <c r="G283" t="inlineStr">
        <is>
          <t>KRAMFORS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6133-2026</t>
        </is>
      </c>
      <c r="B284" t="inlineStr">
        <is>
          <t>avverkningsanmälan</t>
        </is>
      </c>
      <c r="C284" t="inlineStr">
        <is>
          <t>Avverkning för att bevara och utveckla /försöksver</t>
        </is>
      </c>
      <c r="D284" s="1" t="n">
        <v>46054</v>
      </c>
      <c r="E284" s="1" t="n">
        <v>46292</v>
      </c>
      <c r="F284" t="inlineStr">
        <is>
          <t>VÄSTERNORRLANDS LÄN</t>
        </is>
      </c>
      <c r="G284" t="inlineStr">
        <is>
          <t>KRAMFORS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18187-2024</t>
        </is>
      </c>
      <c r="B285" t="inlineStr">
        <is>
          <t>avverkningsanmälan</t>
        </is>
      </c>
      <c r="C285" t="inlineStr">
        <is>
          <t>Avverkning för annat ändamål</t>
        </is>
      </c>
      <c r="D285" s="1" t="n">
        <v>45420</v>
      </c>
      <c r="E285" s="1" t="n">
        <v>46292</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4530-2026</t>
        </is>
      </c>
      <c r="B286" t="inlineStr">
        <is>
          <t>avverkningsanmälan</t>
        </is>
      </c>
      <c r="C286" t="inlineStr">
        <is>
          <t>Föryngringsavverkning</t>
        </is>
      </c>
      <c r="D286" s="1" t="n">
        <v>46046</v>
      </c>
      <c r="E286" s="1" t="n">
        <v>46292</v>
      </c>
      <c r="F286" t="inlineStr">
        <is>
          <t>VÄSTERNORRLANDS LÄN</t>
        </is>
      </c>
      <c r="G286" t="inlineStr">
        <is>
          <t>KRAMFORS</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6132-2026</t>
        </is>
      </c>
      <c r="B287" t="inlineStr">
        <is>
          <t>avverkningsanmälan</t>
        </is>
      </c>
      <c r="C287" t="inlineStr">
        <is>
          <t>Avverkning för att bevara och utveckla /försöksver</t>
        </is>
      </c>
      <c r="D287" s="1" t="n">
        <v>46054</v>
      </c>
      <c r="E287" s="1" t="n">
        <v>46292</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43864-2025</t>
        </is>
      </c>
      <c r="B288" t="inlineStr">
        <is>
          <t>avverkningsanmälan</t>
        </is>
      </c>
      <c r="C288" t="inlineStr">
        <is>
          <t>Föryngringsavverkning</t>
        </is>
      </c>
      <c r="D288" s="1" t="n">
        <v>45912</v>
      </c>
      <c r="E288" s="1" t="n">
        <v>46292</v>
      </c>
      <c r="F288" t="inlineStr">
        <is>
          <t>VÄSTERNORRLANDS LÄN</t>
        </is>
      </c>
      <c r="G288" t="inlineStr">
        <is>
          <t>KRAMFORS</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5145-2023</t>
        </is>
      </c>
      <c r="B289" t="inlineStr">
        <is>
          <t>avverkningsanmälan</t>
        </is>
      </c>
      <c r="C289" t="inlineStr">
        <is>
          <t>Föryngringsavverkning</t>
        </is>
      </c>
      <c r="D289" s="1" t="n">
        <v>44958</v>
      </c>
      <c r="E289" s="1" t="n">
        <v>46292</v>
      </c>
      <c r="F289" t="inlineStr">
        <is>
          <t>VÄSTERNORRLANDS LÄN</t>
        </is>
      </c>
      <c r="G289" t="inlineStr">
        <is>
          <t>KRAMFORS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5151-2023</t>
        </is>
      </c>
      <c r="B290" t="inlineStr">
        <is>
          <t>avverkningsanmälan</t>
        </is>
      </c>
      <c r="C290" t="inlineStr">
        <is>
          <t>Föryngringsavverkning</t>
        </is>
      </c>
      <c r="D290" s="1" t="n">
        <v>44958</v>
      </c>
      <c r="E290" s="1" t="n">
        <v>46292</v>
      </c>
      <c r="F290" t="inlineStr">
        <is>
          <t>VÄSTERNORRLANDS LÄN</t>
        </is>
      </c>
      <c r="G290" t="inlineStr">
        <is>
          <t>KRAMFORS</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33296-2024</t>
        </is>
      </c>
      <c r="B291" t="inlineStr">
        <is>
          <t>avverkningsanmälan</t>
        </is>
      </c>
      <c r="C291" t="inlineStr">
        <is>
          <t>Föryngringsavverkning</t>
        </is>
      </c>
      <c r="D291" s="1" t="n">
        <v>45518</v>
      </c>
      <c r="E291" s="1" t="n">
        <v>46292</v>
      </c>
      <c r="F291" t="inlineStr">
        <is>
          <t>VÄSTERNORRLANDS LÄN</t>
        </is>
      </c>
      <c r="G291" t="inlineStr">
        <is>
          <t>KRAMFORS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7786-2026</t>
        </is>
      </c>
      <c r="B292" t="inlineStr">
        <is>
          <t>avverkningsanmälan</t>
        </is>
      </c>
      <c r="C292" t="inlineStr">
        <is>
          <t>Föryngringsavverkning</t>
        </is>
      </c>
      <c r="D292" s="1" t="n">
        <v>46062</v>
      </c>
      <c r="E292" s="1" t="n">
        <v>46292</v>
      </c>
      <c r="F292" t="inlineStr">
        <is>
          <t>VÄSTERNORRLANDS LÄN</t>
        </is>
      </c>
      <c r="G292" t="inlineStr">
        <is>
          <t>KRAMFORS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11042-2023</t>
        </is>
      </c>
      <c r="B293" t="inlineStr">
        <is>
          <t>avverkningsanmälan</t>
        </is>
      </c>
      <c r="C293" t="inlineStr">
        <is>
          <t>Föryngringsavverkning</t>
        </is>
      </c>
      <c r="D293" s="1" t="n">
        <v>44991</v>
      </c>
      <c r="E293" s="1" t="n">
        <v>46292</v>
      </c>
      <c r="F293" t="inlineStr">
        <is>
          <t>VÄSTERNORRLANDS LÄN</t>
        </is>
      </c>
      <c r="G293" t="inlineStr">
        <is>
          <t>KRAMFORS</t>
        </is>
      </c>
      <c r="H293" t="inlineStr">
        <is>
          <t>SCA</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44829-2025</t>
        </is>
      </c>
      <c r="B294" t="inlineStr">
        <is>
          <t>avverkningsanmälan</t>
        </is>
      </c>
      <c r="C294" t="inlineStr">
        <is>
          <t>Föryngringsavverkning</t>
        </is>
      </c>
      <c r="D294" s="1" t="n">
        <v>45918</v>
      </c>
      <c r="E294" s="1" t="n">
        <v>46292</v>
      </c>
      <c r="F294" t="inlineStr">
        <is>
          <t>VÄSTERNORRLANDS LÄN</t>
        </is>
      </c>
      <c r="G294" t="inlineStr">
        <is>
          <t>KRAMFORS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7936-2026</t>
        </is>
      </c>
      <c r="B295" t="inlineStr">
        <is>
          <t>avverkningsanmälan</t>
        </is>
      </c>
      <c r="C295" t="inlineStr">
        <is>
          <t>Föryngringsavverkning</t>
        </is>
      </c>
      <c r="D295" s="1" t="n">
        <v>46063</v>
      </c>
      <c r="E295" s="1" t="n">
        <v>46292</v>
      </c>
      <c r="F295" t="inlineStr">
        <is>
          <t>VÄSTERNORRLANDS LÄN</t>
        </is>
      </c>
      <c r="G295" t="inlineStr">
        <is>
          <t>KRAMFORS</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7937-2026</t>
        </is>
      </c>
      <c r="B296" t="inlineStr">
        <is>
          <t>avverkningsanmälan</t>
        </is>
      </c>
      <c r="C296" t="inlineStr">
        <is>
          <t>Föryngringsavverkning</t>
        </is>
      </c>
      <c r="D296" s="1" t="n">
        <v>46063</v>
      </c>
      <c r="E296" s="1" t="n">
        <v>46292</v>
      </c>
      <c r="F296" t="inlineStr">
        <is>
          <t>VÄSTERNORRLANDS LÄN</t>
        </is>
      </c>
      <c r="G296" t="inlineStr">
        <is>
          <t>KRAMFORS</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11289-2022</t>
        </is>
      </c>
      <c r="B297" t="inlineStr">
        <is>
          <t>avverkningsanmälan</t>
        </is>
      </c>
      <c r="C297" t="inlineStr">
        <is>
          <t>Föryngringsavverkning</t>
        </is>
      </c>
      <c r="D297" s="1" t="n">
        <v>44629</v>
      </c>
      <c r="E297" s="1" t="n">
        <v>46292</v>
      </c>
      <c r="F297" t="inlineStr">
        <is>
          <t>VÄSTERNORRLANDS LÄN</t>
        </is>
      </c>
      <c r="G297" t="inlineStr">
        <is>
          <t>KRAMFORS</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72825-2021</t>
        </is>
      </c>
      <c r="B298" t="inlineStr">
        <is>
          <t>avverkningsanmälan</t>
        </is>
      </c>
      <c r="C298" t="inlineStr">
        <is>
          <t>Föryngringsavverkning</t>
        </is>
      </c>
      <c r="D298" s="1" t="n">
        <v>44546</v>
      </c>
      <c r="E298" s="1" t="n">
        <v>46292</v>
      </c>
      <c r="F298" t="inlineStr">
        <is>
          <t>VÄSTERNORRLANDS LÄN</t>
        </is>
      </c>
      <c r="G298" t="inlineStr">
        <is>
          <t>KRAMFORS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5349-2023</t>
        </is>
      </c>
      <c r="B299" t="inlineStr">
        <is>
          <t>avverkningsanmälan</t>
        </is>
      </c>
      <c r="C299" t="inlineStr">
        <is>
          <t>Föryngringsavverkning</t>
        </is>
      </c>
      <c r="D299" s="1" t="n">
        <v>44956</v>
      </c>
      <c r="E299" s="1" t="n">
        <v>46292</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8994-2026</t>
        </is>
      </c>
      <c r="B300" t="inlineStr">
        <is>
          <t>avverkningsanmälan</t>
        </is>
      </c>
      <c r="C300" t="inlineStr">
        <is>
          <t>Föryngringsavverkning</t>
        </is>
      </c>
      <c r="D300" s="1" t="n">
        <v>46069</v>
      </c>
      <c r="E300" s="1" t="n">
        <v>46292</v>
      </c>
      <c r="F300" t="inlineStr">
        <is>
          <t>VÄSTERNORRLANDS LÄN</t>
        </is>
      </c>
      <c r="G300" t="inlineStr">
        <is>
          <t>KRAMFORS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16166-2025</t>
        </is>
      </c>
      <c r="B301" t="inlineStr">
        <is>
          <t>avverkningsanmälan</t>
        </is>
      </c>
      <c r="C301" t="inlineStr">
        <is>
          <t>Föryngringsavverkning</t>
        </is>
      </c>
      <c r="D301" s="1" t="n">
        <v>45750</v>
      </c>
      <c r="E301" s="1" t="n">
        <v>46292</v>
      </c>
      <c r="F301" t="inlineStr">
        <is>
          <t>VÄSTERNORRLANDS LÄN</t>
        </is>
      </c>
      <c r="G301" t="inlineStr">
        <is>
          <t>KRAMFORS</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16167-2025</t>
        </is>
      </c>
      <c r="B302" t="inlineStr">
        <is>
          <t>avverkningsanmälan</t>
        </is>
      </c>
      <c r="C302" t="inlineStr">
        <is>
          <t>Föryngringsavverkning</t>
        </is>
      </c>
      <c r="D302" s="1" t="n">
        <v>45750</v>
      </c>
      <c r="E302" s="1" t="n">
        <v>46292</v>
      </c>
      <c r="F302" t="inlineStr">
        <is>
          <t>VÄSTERNORRLANDS LÄN</t>
        </is>
      </c>
      <c r="G302" t="inlineStr">
        <is>
          <t>KRAMFORS</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25574-2025</t>
        </is>
      </c>
      <c r="B303" t="inlineStr">
        <is>
          <t>avverkningsanmälan</t>
        </is>
      </c>
      <c r="C303" t="inlineStr">
        <is>
          <t>Föryngringsavverkning</t>
        </is>
      </c>
      <c r="D303" s="1" t="n">
        <v>45803</v>
      </c>
      <c r="E303" s="1" t="n">
        <v>46292</v>
      </c>
      <c r="F303" t="inlineStr">
        <is>
          <t>VÄSTERNORRLANDS LÄN</t>
        </is>
      </c>
      <c r="G303" t="inlineStr">
        <is>
          <t>KRAMFORS</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17461-2023</t>
        </is>
      </c>
      <c r="B304" t="inlineStr">
        <is>
          <t>avverkningsanmälan</t>
        </is>
      </c>
      <c r="C304" t="inlineStr">
        <is>
          <t>Föryngringsavverkning</t>
        </is>
      </c>
      <c r="D304" s="1" t="n">
        <v>45036</v>
      </c>
      <c r="E304" s="1" t="n">
        <v>46292</v>
      </c>
      <c r="F304" t="inlineStr">
        <is>
          <t>VÄSTERNORRLANDS LÄN</t>
        </is>
      </c>
      <c r="G304" t="inlineStr">
        <is>
          <t>KRAMFORS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43440-2022</t>
        </is>
      </c>
      <c r="B305" t="inlineStr">
        <is>
          <t>avverkningsanmälan</t>
        </is>
      </c>
      <c r="C305" t="inlineStr">
        <is>
          <t>Föryngringsavverkning</t>
        </is>
      </c>
      <c r="D305" s="1" t="n">
        <v>44834</v>
      </c>
      <c r="E305" s="1" t="n">
        <v>46292</v>
      </c>
      <c r="F305" t="inlineStr">
        <is>
          <t>VÄSTERNORRLANDS LÄN</t>
        </is>
      </c>
      <c r="G305" t="inlineStr">
        <is>
          <t>KRAMFORS</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9011-2026</t>
        </is>
      </c>
      <c r="B306" t="inlineStr">
        <is>
          <t>avverkningsanmälan</t>
        </is>
      </c>
      <c r="C306" t="inlineStr">
        <is>
          <t>Föryngringsavverkning</t>
        </is>
      </c>
      <c r="D306" s="1" t="n">
        <v>46069</v>
      </c>
      <c r="E306" s="1" t="n">
        <v>46292</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26134-2025</t>
        </is>
      </c>
      <c r="B307" t="inlineStr">
        <is>
          <t>avverkningsanmälan</t>
        </is>
      </c>
      <c r="C307" t="inlineStr">
        <is>
          <t>Föryngringsavverkning</t>
        </is>
      </c>
      <c r="D307" s="1" t="n">
        <v>45805</v>
      </c>
      <c r="E307" s="1" t="n">
        <v>46292</v>
      </c>
      <c r="F307" t="inlineStr">
        <is>
          <t>VÄSTERNORRLANDS LÄN</t>
        </is>
      </c>
      <c r="G307" t="inlineStr">
        <is>
          <t>KRAMFORS</t>
        </is>
      </c>
      <c r="I307" t="n">
        <v>15.3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26137-2025</t>
        </is>
      </c>
      <c r="B308" t="inlineStr">
        <is>
          <t>avverkningsanmälan</t>
        </is>
      </c>
      <c r="C308" t="inlineStr">
        <is>
          <t>Föryngringsavverkning</t>
        </is>
      </c>
      <c r="D308" s="1" t="n">
        <v>45805</v>
      </c>
      <c r="E308" s="1" t="n">
        <v>46292</v>
      </c>
      <c r="F308" t="inlineStr">
        <is>
          <t>VÄSTERNORRLANDS LÄN</t>
        </is>
      </c>
      <c r="G308" t="inlineStr">
        <is>
          <t>KRAMFORS</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9597-2026</t>
        </is>
      </c>
      <c r="B309" t="inlineStr">
        <is>
          <t>avverkningsanmälan</t>
        </is>
      </c>
      <c r="C309" t="inlineStr">
        <is>
          <t>Föryngringsavverkning</t>
        </is>
      </c>
      <c r="D309" s="1" t="n">
        <v>46071</v>
      </c>
      <c r="E309" s="1" t="n">
        <v>46292</v>
      </c>
      <c r="F309" t="inlineStr">
        <is>
          <t>VÄSTERNORRLANDS LÄN</t>
        </is>
      </c>
      <c r="G309" t="inlineStr">
        <is>
          <t>KRAMFORS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3721-2026</t>
        </is>
      </c>
      <c r="B310" t="inlineStr">
        <is>
          <t>avverkningsanmälan</t>
        </is>
      </c>
      <c r="C310" t="inlineStr">
        <is>
          <t>Föryngringsavverkning</t>
        </is>
      </c>
      <c r="D310" s="1" t="n">
        <v>46043</v>
      </c>
      <c r="E310" s="1" t="n">
        <v>46292</v>
      </c>
      <c r="F310" t="inlineStr">
        <is>
          <t>VÄSTERNORRLANDS LÄN</t>
        </is>
      </c>
      <c r="G310" t="inlineStr">
        <is>
          <t>KRAMFORS</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9745-2026</t>
        </is>
      </c>
      <c r="B311" t="inlineStr">
        <is>
          <t>avverkningsanmälan</t>
        </is>
      </c>
      <c r="C311" t="inlineStr">
        <is>
          <t>Föryngringsavverkning</t>
        </is>
      </c>
      <c r="D311" s="1" t="n">
        <v>46072</v>
      </c>
      <c r="E311" s="1" t="n">
        <v>46292</v>
      </c>
      <c r="F311" t="inlineStr">
        <is>
          <t>VÄSTERNORRLANDS LÄN</t>
        </is>
      </c>
      <c r="G311" t="inlineStr">
        <is>
          <t>KRAMFORS</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32513-2024</t>
        </is>
      </c>
      <c r="B312" t="inlineStr">
        <is>
          <t>avverkningsanmälan</t>
        </is>
      </c>
      <c r="C312" t="inlineStr">
        <is>
          <t>Föryngringsavverkning</t>
        </is>
      </c>
      <c r="D312" s="1" t="n">
        <v>45513</v>
      </c>
      <c r="E312" s="1" t="n">
        <v>46292</v>
      </c>
      <c r="F312" t="inlineStr">
        <is>
          <t>VÄSTERNORRLANDS LÄN</t>
        </is>
      </c>
      <c r="G312" t="inlineStr">
        <is>
          <t>KRAMFORS</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9762-2026</t>
        </is>
      </c>
      <c r="B313" t="inlineStr">
        <is>
          <t>avverkningsanmälan</t>
        </is>
      </c>
      <c r="C313" t="inlineStr">
        <is>
          <t>Föryngringsavverkning</t>
        </is>
      </c>
      <c r="D313" s="1" t="n">
        <v>46072</v>
      </c>
      <c r="E313" s="1" t="n">
        <v>46292</v>
      </c>
      <c r="F313" t="inlineStr">
        <is>
          <t>VÄSTERNORRLANDS LÄN</t>
        </is>
      </c>
      <c r="G313" t="inlineStr">
        <is>
          <t>KRAMFORS</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3462-2024</t>
        </is>
      </c>
      <c r="B314" t="inlineStr">
        <is>
          <t>avverkningsanmälan</t>
        </is>
      </c>
      <c r="C314" t="inlineStr">
        <is>
          <t>Avverkning för annat ändamål</t>
        </is>
      </c>
      <c r="D314" s="1" t="n">
        <v>45320</v>
      </c>
      <c r="E314" s="1" t="n">
        <v>46292</v>
      </c>
      <c r="F314" t="inlineStr">
        <is>
          <t>VÄSTERNORRLANDS LÄN</t>
        </is>
      </c>
      <c r="G314" t="inlineStr">
        <is>
          <t>KRAMFORS</t>
        </is>
      </c>
      <c r="H314" t="inlineStr">
        <is>
          <t>Kommuner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10449-2026</t>
        </is>
      </c>
      <c r="B315" t="inlineStr">
        <is>
          <t>avverkningsanmälan</t>
        </is>
      </c>
      <c r="C315" t="inlineStr">
        <is>
          <t>Föryngringsavverkning</t>
        </is>
      </c>
      <c r="D315" s="1" t="n">
        <v>46077</v>
      </c>
      <c r="E315" s="1" t="n">
        <v>46292</v>
      </c>
      <c r="F315" t="inlineStr">
        <is>
          <t>VÄSTERNORRLANDS LÄN</t>
        </is>
      </c>
      <c r="G315" t="inlineStr">
        <is>
          <t>KRAMFORS</t>
        </is>
      </c>
      <c r="I315" t="n">
        <v>16.7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27709-2024</t>
        </is>
      </c>
      <c r="B316" t="inlineStr">
        <is>
          <t>avverkningsanmälan</t>
        </is>
      </c>
      <c r="C316" t="inlineStr">
        <is>
          <t>Föryngringsavverkning</t>
        </is>
      </c>
      <c r="D316" s="1" t="n">
        <v>45475</v>
      </c>
      <c r="E316" s="1" t="n">
        <v>46292</v>
      </c>
      <c r="F316" t="inlineStr">
        <is>
          <t>VÄSTERNORRLANDS LÄN</t>
        </is>
      </c>
      <c r="G316" t="inlineStr">
        <is>
          <t>KRAMFORS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54178-2023</t>
        </is>
      </c>
      <c r="B317" t="inlineStr">
        <is>
          <t>avverkningsanmälan</t>
        </is>
      </c>
      <c r="C317" t="inlineStr">
        <is>
          <t>Föryngringsavverkning</t>
        </is>
      </c>
      <c r="D317" s="1" t="n">
        <v>45225</v>
      </c>
      <c r="E317" s="1" t="n">
        <v>46292</v>
      </c>
      <c r="F317" t="inlineStr">
        <is>
          <t>VÄSTERNORRLANDS LÄN</t>
        </is>
      </c>
      <c r="G317" t="inlineStr">
        <is>
          <t>KRAMFORS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46556-2025</t>
        </is>
      </c>
      <c r="B318" t="inlineStr">
        <is>
          <t>avverkningsanmälan</t>
        </is>
      </c>
      <c r="C318" t="inlineStr">
        <is>
          <t>Föryngringsavverkning</t>
        </is>
      </c>
      <c r="D318" s="1" t="n">
        <v>45926</v>
      </c>
      <c r="E318" s="1" t="n">
        <v>46292</v>
      </c>
      <c r="F318" t="inlineStr">
        <is>
          <t>VÄSTERNORRLANDS LÄN</t>
        </is>
      </c>
      <c r="G318" t="inlineStr">
        <is>
          <t>KRAMFORS</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46568-2025</t>
        </is>
      </c>
      <c r="B319" t="inlineStr">
        <is>
          <t>avverkningsanmälan</t>
        </is>
      </c>
      <c r="C319" t="inlineStr">
        <is>
          <t>Föryngringsavverkning</t>
        </is>
      </c>
      <c r="D319" s="1" t="n">
        <v>45926</v>
      </c>
      <c r="E319" s="1" t="n">
        <v>46292</v>
      </c>
      <c r="F319" t="inlineStr">
        <is>
          <t>VÄSTERNORRLANDS LÄN</t>
        </is>
      </c>
      <c r="G319" t="inlineStr">
        <is>
          <t>KRAMFORS</t>
        </is>
      </c>
      <c r="I319" t="n">
        <v>16.4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56933-2022</t>
        </is>
      </c>
      <c r="B320" t="inlineStr">
        <is>
          <t>avverkningsanmälan</t>
        </is>
      </c>
      <c r="C320" t="inlineStr">
        <is>
          <t>Föryngringsavverkning</t>
        </is>
      </c>
      <c r="D320" s="1" t="n">
        <v>44888</v>
      </c>
      <c r="E320" s="1" t="n">
        <v>46292</v>
      </c>
      <c r="F320" t="inlineStr">
        <is>
          <t>VÄSTERNORRLANDS LÄN</t>
        </is>
      </c>
      <c r="G320" t="inlineStr">
        <is>
          <t>KRAMFORS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39664-2024</t>
        </is>
      </c>
      <c r="B321" t="inlineStr">
        <is>
          <t>avverkningsanmälan</t>
        </is>
      </c>
      <c r="C321" t="inlineStr">
        <is>
          <t>Föryngringsavverkning</t>
        </is>
      </c>
      <c r="D321" s="1" t="n">
        <v>45552</v>
      </c>
      <c r="E321" s="1" t="n">
        <v>46292</v>
      </c>
      <c r="F321" t="inlineStr">
        <is>
          <t>VÄSTERNORRLANDS LÄN</t>
        </is>
      </c>
      <c r="G321" t="inlineStr">
        <is>
          <t>KRAMFORS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34642-2024</t>
        </is>
      </c>
      <c r="B322" t="inlineStr">
        <is>
          <t>avverkningsanmälan</t>
        </is>
      </c>
      <c r="C322" t="inlineStr">
        <is>
          <t>Avverkning för annat ändamål</t>
        </is>
      </c>
      <c r="D322" s="1" t="n">
        <v>45526</v>
      </c>
      <c r="E322" s="1" t="n">
        <v>46292</v>
      </c>
      <c r="F322" t="inlineStr">
        <is>
          <t>VÄSTERNORRLANDS LÄN</t>
        </is>
      </c>
      <c r="G322" t="inlineStr">
        <is>
          <t>KRAMFORS</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12539-2022</t>
        </is>
      </c>
      <c r="B323" t="inlineStr">
        <is>
          <t>avverkningsanmälan</t>
        </is>
      </c>
      <c r="C323" t="inlineStr">
        <is>
          <t>Föryngringsavverkning</t>
        </is>
      </c>
      <c r="D323" s="1" t="n">
        <v>44638</v>
      </c>
      <c r="E323" s="1" t="n">
        <v>46292</v>
      </c>
      <c r="F323" t="inlineStr">
        <is>
          <t>VÄSTERNORRLANDS LÄN</t>
        </is>
      </c>
      <c r="G323" t="inlineStr">
        <is>
          <t>KRAMFORS</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60424-2024</t>
        </is>
      </c>
      <c r="B324" t="inlineStr">
        <is>
          <t>avverkningsanmälan</t>
        </is>
      </c>
      <c r="C324" t="inlineStr">
        <is>
          <t>Föryngringsavverkning</t>
        </is>
      </c>
      <c r="D324" s="1" t="n">
        <v>45643</v>
      </c>
      <c r="E324" s="1" t="n">
        <v>46292</v>
      </c>
      <c r="F324" t="inlineStr">
        <is>
          <t>VÄSTERNORRLANDS LÄN</t>
        </is>
      </c>
      <c r="G324" t="inlineStr">
        <is>
          <t>KRAMFORS</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47949-2025</t>
        </is>
      </c>
      <c r="B325" t="inlineStr">
        <is>
          <t>avverkningsanmälan</t>
        </is>
      </c>
      <c r="C325" t="inlineStr">
        <is>
          <t>Föryngringsavverkning</t>
        </is>
      </c>
      <c r="D325" s="1" t="n">
        <v>45932</v>
      </c>
      <c r="E325" s="1" t="n">
        <v>46292</v>
      </c>
      <c r="F325" t="inlineStr">
        <is>
          <t>VÄSTERNORRLANDS LÄN</t>
        </is>
      </c>
      <c r="G325" t="inlineStr">
        <is>
          <t>KRAMFORS</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8727-2025</t>
        </is>
      </c>
      <c r="B326" t="inlineStr">
        <is>
          <t>avverkningsanmälan</t>
        </is>
      </c>
      <c r="C326" t="inlineStr">
        <is>
          <t>Föryngringsavverkning</t>
        </is>
      </c>
      <c r="D326" s="1" t="n">
        <v>45712</v>
      </c>
      <c r="E326" s="1" t="n">
        <v>46292</v>
      </c>
      <c r="F326" t="inlineStr">
        <is>
          <t>VÄSTERNORRLANDS LÄN</t>
        </is>
      </c>
      <c r="G326" t="inlineStr">
        <is>
          <t>KRAMFORS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44971-2023</t>
        </is>
      </c>
      <c r="B327" t="inlineStr">
        <is>
          <t>avverkningsanmälan</t>
        </is>
      </c>
      <c r="C327" t="inlineStr">
        <is>
          <t>Föryngringsavverkning</t>
        </is>
      </c>
      <c r="D327" s="1" t="n">
        <v>45190</v>
      </c>
      <c r="E327" s="1" t="n">
        <v>46292</v>
      </c>
      <c r="F327" t="inlineStr">
        <is>
          <t>VÄSTERNORRLANDS LÄN</t>
        </is>
      </c>
      <c r="G327" t="inlineStr">
        <is>
          <t>KRAMFORS</t>
        </is>
      </c>
      <c r="I327" t="n">
        <v>12.8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12951-2025</t>
        </is>
      </c>
      <c r="B328" t="inlineStr">
        <is>
          <t>avverkningsanmälan</t>
        </is>
      </c>
      <c r="C328" t="inlineStr">
        <is>
          <t>Föryngringsavverkning</t>
        </is>
      </c>
      <c r="D328" s="1" t="n">
        <v>45734</v>
      </c>
      <c r="E328" s="1" t="n">
        <v>46292</v>
      </c>
      <c r="F328" t="inlineStr">
        <is>
          <t>VÄSTERNORRLANDS LÄN</t>
        </is>
      </c>
      <c r="G328" t="inlineStr">
        <is>
          <t>KRAMFORS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3083-2025</t>
        </is>
      </c>
      <c r="B329" t="inlineStr">
        <is>
          <t>avverkningsanmälan</t>
        </is>
      </c>
      <c r="C329" t="inlineStr">
        <is>
          <t>Föryngringsavverkning</t>
        </is>
      </c>
      <c r="D329" s="1" t="n">
        <v>45678</v>
      </c>
      <c r="E329" s="1" t="n">
        <v>46292</v>
      </c>
      <c r="F329" t="inlineStr">
        <is>
          <t>VÄSTERNORRLANDS LÄN</t>
        </is>
      </c>
      <c r="G329" t="inlineStr">
        <is>
          <t>KRAMFORS</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26553-2025</t>
        </is>
      </c>
      <c r="B330" t="inlineStr">
        <is>
          <t>avverkningsanmälan</t>
        </is>
      </c>
      <c r="C330" t="inlineStr">
        <is>
          <t>Föryngringsavverkning</t>
        </is>
      </c>
      <c r="D330" s="1" t="n">
        <v>45807</v>
      </c>
      <c r="E330" s="1" t="n">
        <v>46292</v>
      </c>
      <c r="F330" t="inlineStr">
        <is>
          <t>VÄSTERNORRLANDS LÄN</t>
        </is>
      </c>
      <c r="G330" t="inlineStr">
        <is>
          <t>KRAMFORS</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48441-2025</t>
        </is>
      </c>
      <c r="B331" t="inlineStr">
        <is>
          <t>avverkningsanmälan</t>
        </is>
      </c>
      <c r="C331" t="inlineStr">
        <is>
          <t>Föryngringsavverkning</t>
        </is>
      </c>
      <c r="D331" s="1" t="n">
        <v>45935</v>
      </c>
      <c r="E331" s="1" t="n">
        <v>46292</v>
      </c>
      <c r="F331" t="inlineStr">
        <is>
          <t>VÄSTERNORRLANDS LÄN</t>
        </is>
      </c>
      <c r="G331" t="inlineStr">
        <is>
          <t>KRAMFORS</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48824-2024</t>
        </is>
      </c>
      <c r="B332" t="inlineStr">
        <is>
          <t>avverkningsanmälan</t>
        </is>
      </c>
      <c r="C332" t="inlineStr">
        <is>
          <t>Föryngringsavverkning</t>
        </is>
      </c>
      <c r="D332" s="1" t="n">
        <v>45593</v>
      </c>
      <c r="E332" s="1" t="n">
        <v>46292</v>
      </c>
      <c r="F332" t="inlineStr">
        <is>
          <t>VÄSTERNORRLANDS LÄN</t>
        </is>
      </c>
      <c r="G332" t="inlineStr">
        <is>
          <t>KRAMFORS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4272-2024</t>
        </is>
      </c>
      <c r="B333" t="inlineStr">
        <is>
          <t>avverkningsanmälan</t>
        </is>
      </c>
      <c r="C333" t="inlineStr">
        <is>
          <t>Föryngringsavverkning</t>
        </is>
      </c>
      <c r="D333" s="1" t="n">
        <v>45324</v>
      </c>
      <c r="E333" s="1" t="n">
        <v>46292</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56753-2022</t>
        </is>
      </c>
      <c r="B334" t="inlineStr">
        <is>
          <t>avverkningsanmälan</t>
        </is>
      </c>
      <c r="C334" t="inlineStr">
        <is>
          <t>Föryngringsavverkning</t>
        </is>
      </c>
      <c r="D334" s="1" t="n">
        <v>44894</v>
      </c>
      <c r="E334" s="1" t="n">
        <v>46292</v>
      </c>
      <c r="F334" t="inlineStr">
        <is>
          <t>VÄSTERNORRLANDS LÄN</t>
        </is>
      </c>
      <c r="G334" t="inlineStr">
        <is>
          <t>KRAMFORS</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48583-2025</t>
        </is>
      </c>
      <c r="B335" t="inlineStr">
        <is>
          <t>avverkningsanmälan</t>
        </is>
      </c>
      <c r="C335" t="inlineStr">
        <is>
          <t>Föryngringsavverkning</t>
        </is>
      </c>
      <c r="D335" s="1" t="n">
        <v>45936</v>
      </c>
      <c r="E335" s="1" t="n">
        <v>46292</v>
      </c>
      <c r="F335" t="inlineStr">
        <is>
          <t>VÄSTERNORRLANDS LÄN</t>
        </is>
      </c>
      <c r="G335" t="inlineStr">
        <is>
          <t>KRAMFORS</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11021-2025</t>
        </is>
      </c>
      <c r="B336" t="inlineStr">
        <is>
          <t>avverkningsanmälan</t>
        </is>
      </c>
      <c r="C336" t="inlineStr">
        <is>
          <t>Föryngringsavverkning</t>
        </is>
      </c>
      <c r="D336" s="1" t="n">
        <v>45723</v>
      </c>
      <c r="E336" s="1" t="n">
        <v>46292</v>
      </c>
      <c r="F336" t="inlineStr">
        <is>
          <t>VÄSTERNORRLANDS LÄN</t>
        </is>
      </c>
      <c r="G336" t="inlineStr">
        <is>
          <t>KRAMFORS</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62003-2024</t>
        </is>
      </c>
      <c r="B337" t="inlineStr">
        <is>
          <t>avverkningsanmälan</t>
        </is>
      </c>
      <c r="C337" t="inlineStr">
        <is>
          <t>Föryngringsavverkning</t>
        </is>
      </c>
      <c r="D337" s="1" t="n">
        <v>45654</v>
      </c>
      <c r="E337" s="1" t="n">
        <v>46292</v>
      </c>
      <c r="F337" t="inlineStr">
        <is>
          <t>VÄSTERNORRLANDS LÄN</t>
        </is>
      </c>
      <c r="G337" t="inlineStr">
        <is>
          <t>KRAMFORS</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49074-2025</t>
        </is>
      </c>
      <c r="B338" t="inlineStr">
        <is>
          <t>avverkningsanmälan</t>
        </is>
      </c>
      <c r="C338" t="inlineStr">
        <is>
          <t>Föryngringsavverkning</t>
        </is>
      </c>
      <c r="D338" s="1" t="n">
        <v>45937</v>
      </c>
      <c r="E338" s="1" t="n">
        <v>46292</v>
      </c>
      <c r="F338" t="inlineStr">
        <is>
          <t>VÄSTERNORRLANDS LÄN</t>
        </is>
      </c>
      <c r="G338" t="inlineStr">
        <is>
          <t>KRAMFORS</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48768-2025</t>
        </is>
      </c>
      <c r="B339" t="inlineStr">
        <is>
          <t>avverkningsanmälan</t>
        </is>
      </c>
      <c r="C339" t="inlineStr">
        <is>
          <t>Föryngringsavverkning</t>
        </is>
      </c>
      <c r="D339" s="1" t="n">
        <v>45936</v>
      </c>
      <c r="E339" s="1" t="n">
        <v>46292</v>
      </c>
      <c r="F339" t="inlineStr">
        <is>
          <t>VÄSTERNORRLANDS LÄN</t>
        </is>
      </c>
      <c r="G339" t="inlineStr">
        <is>
          <t>KRAMFORS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49071-2025</t>
        </is>
      </c>
      <c r="B340" t="inlineStr">
        <is>
          <t>avverkningsanmälan</t>
        </is>
      </c>
      <c r="C340" t="inlineStr">
        <is>
          <t>Föryngringsavverkning</t>
        </is>
      </c>
      <c r="D340" s="1" t="n">
        <v>45937</v>
      </c>
      <c r="E340" s="1" t="n">
        <v>46292</v>
      </c>
      <c r="F340" t="inlineStr">
        <is>
          <t>VÄSTERNORRLANDS LÄN</t>
        </is>
      </c>
      <c r="G340" t="inlineStr">
        <is>
          <t>KRAMFORS</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62224-2022</t>
        </is>
      </c>
      <c r="B341" t="inlineStr">
        <is>
          <t>avverkningsanmälan</t>
        </is>
      </c>
      <c r="C341" t="inlineStr">
        <is>
          <t>Föryngringsavverkning</t>
        </is>
      </c>
      <c r="D341" s="1" t="n">
        <v>44916</v>
      </c>
      <c r="E341" s="1" t="n">
        <v>46292</v>
      </c>
      <c r="F341" t="inlineStr">
        <is>
          <t>VÄSTERNORRLANDS LÄN</t>
        </is>
      </c>
      <c r="G341" t="inlineStr">
        <is>
          <t>KRAMFORS</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3501-2023</t>
        </is>
      </c>
      <c r="B342" t="inlineStr">
        <is>
          <t>avverkningsanmälan</t>
        </is>
      </c>
      <c r="C342" t="inlineStr">
        <is>
          <t>Föryngringsavverkning</t>
        </is>
      </c>
      <c r="D342" s="1" t="n">
        <v>44949</v>
      </c>
      <c r="E342" s="1" t="n">
        <v>46292</v>
      </c>
      <c r="F342" t="inlineStr">
        <is>
          <t>VÄSTERNORRLANDS LÄN</t>
        </is>
      </c>
      <c r="G342" t="inlineStr">
        <is>
          <t>KRAMFORS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13230-2026</t>
        </is>
      </c>
      <c r="B343" t="inlineStr">
        <is>
          <t>avverkningsanmälan</t>
        </is>
      </c>
      <c r="C343" t="inlineStr">
        <is>
          <t>Föryngringsavverkning</t>
        </is>
      </c>
      <c r="D343" s="1" t="n">
        <v>46093</v>
      </c>
      <c r="E343" s="1" t="n">
        <v>46292</v>
      </c>
      <c r="F343" t="inlineStr">
        <is>
          <t>VÄSTERNORRLANDS LÄN</t>
        </is>
      </c>
      <c r="G343" t="inlineStr">
        <is>
          <t>KRAMFORS</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13606-2026</t>
        </is>
      </c>
      <c r="B344" t="inlineStr">
        <is>
          <t>avverkningsanmälan</t>
        </is>
      </c>
      <c r="C344" t="inlineStr">
        <is>
          <t>Föryngringsavverkning</t>
        </is>
      </c>
      <c r="D344" s="1" t="n">
        <v>46094</v>
      </c>
      <c r="E344" s="1" t="n">
        <v>46292</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5895-2026</t>
        </is>
      </c>
      <c r="B345" t="inlineStr">
        <is>
          <t>avverkningsanmälan</t>
        </is>
      </c>
      <c r="C345" t="inlineStr">
        <is>
          <t>Föryngringsavverkning</t>
        </is>
      </c>
      <c r="D345" s="1" t="n">
        <v>46052</v>
      </c>
      <c r="E345" s="1" t="n">
        <v>46292</v>
      </c>
      <c r="F345" t="inlineStr">
        <is>
          <t>VÄSTERNORRLANDS LÄN</t>
        </is>
      </c>
      <c r="G345" t="inlineStr">
        <is>
          <t>KRAMFORS</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11231-2025</t>
        </is>
      </c>
      <c r="B346" t="inlineStr">
        <is>
          <t>avverkningsanmälan</t>
        </is>
      </c>
      <c r="C346" t="inlineStr">
        <is>
          <t>Avverkning för annat ändamål</t>
        </is>
      </c>
      <c r="D346" s="1" t="n">
        <v>45726</v>
      </c>
      <c r="E346" s="1" t="n">
        <v>46292</v>
      </c>
      <c r="F346" t="inlineStr">
        <is>
          <t>VÄSTERNORRLANDS LÄN</t>
        </is>
      </c>
      <c r="G346" t="inlineStr">
        <is>
          <t>KRAMFORS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14150-2024</t>
        </is>
      </c>
      <c r="B347" t="inlineStr">
        <is>
          <t>avverkningsanmälan</t>
        </is>
      </c>
      <c r="C347" t="inlineStr">
        <is>
          <t>Föryngringsavverkning</t>
        </is>
      </c>
      <c r="D347" s="1" t="n">
        <v>45392</v>
      </c>
      <c r="E347" s="1" t="n">
        <v>46292</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44615-2023</t>
        </is>
      </c>
      <c r="B348" t="inlineStr">
        <is>
          <t>avverkningsanmälan</t>
        </is>
      </c>
      <c r="C348" t="inlineStr">
        <is>
          <t>Föryngringsavverkning</t>
        </is>
      </c>
      <c r="D348" s="1" t="n">
        <v>45189</v>
      </c>
      <c r="E348" s="1" t="n">
        <v>46292</v>
      </c>
      <c r="F348" t="inlineStr">
        <is>
          <t>VÄSTERNORRLANDS LÄN</t>
        </is>
      </c>
      <c r="G348" t="inlineStr">
        <is>
          <t>KRAMFORS</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50155-2025</t>
        </is>
      </c>
      <c r="B349" t="inlineStr">
        <is>
          <t>avverkningsanmälan</t>
        </is>
      </c>
      <c r="C349" t="inlineStr">
        <is>
          <t>Föryngringsavverkning</t>
        </is>
      </c>
      <c r="D349" s="1" t="n">
        <v>45943</v>
      </c>
      <c r="E349" s="1" t="n">
        <v>46292</v>
      </c>
      <c r="F349" t="inlineStr">
        <is>
          <t>VÄSTERNORRLANDS LÄN</t>
        </is>
      </c>
      <c r="G349" t="inlineStr">
        <is>
          <t>KRAMFORS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13932-2026</t>
        </is>
      </c>
      <c r="B350" t="inlineStr">
        <is>
          <t>avverkningsanmälan</t>
        </is>
      </c>
      <c r="C350" t="inlineStr">
        <is>
          <t>Föryngringsavverkning</t>
        </is>
      </c>
      <c r="D350" s="1" t="n">
        <v>46098</v>
      </c>
      <c r="E350" s="1" t="n">
        <v>46292</v>
      </c>
      <c r="F350" t="inlineStr">
        <is>
          <t>VÄSTERNORRLANDS LÄN</t>
        </is>
      </c>
      <c r="G350" t="inlineStr">
        <is>
          <t>KRAMFORS</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38446-2023</t>
        </is>
      </c>
      <c r="B351" t="inlineStr">
        <is>
          <t>avverkningsanmälan</t>
        </is>
      </c>
      <c r="C351" t="inlineStr">
        <is>
          <t>Föryngringsavverkning</t>
        </is>
      </c>
      <c r="D351" s="1" t="n">
        <v>45162</v>
      </c>
      <c r="E351" s="1" t="n">
        <v>46292</v>
      </c>
      <c r="F351" t="inlineStr">
        <is>
          <t>VÄSTERNORRLANDS LÄN</t>
        </is>
      </c>
      <c r="G351" t="inlineStr">
        <is>
          <t>KRAMFORS</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38448-2023</t>
        </is>
      </c>
      <c r="B352" t="inlineStr">
        <is>
          <t>avverkningsanmälan</t>
        </is>
      </c>
      <c r="C352" t="inlineStr">
        <is>
          <t>Föryngringsavverkning</t>
        </is>
      </c>
      <c r="D352" s="1" t="n">
        <v>45162</v>
      </c>
      <c r="E352" s="1" t="n">
        <v>46292</v>
      </c>
      <c r="F352" t="inlineStr">
        <is>
          <t>VÄSTERNORRLANDS LÄN</t>
        </is>
      </c>
      <c r="G352" t="inlineStr">
        <is>
          <t>KRAMFORS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16599-2025</t>
        </is>
      </c>
      <c r="B353" t="inlineStr">
        <is>
          <t>avverkningsanmälan</t>
        </is>
      </c>
      <c r="C353" t="inlineStr">
        <is>
          <t>Föryngringsavverkning</t>
        </is>
      </c>
      <c r="D353" s="1" t="n">
        <v>45753</v>
      </c>
      <c r="E353" s="1" t="n">
        <v>46292</v>
      </c>
      <c r="F353" t="inlineStr">
        <is>
          <t>VÄSTERNORRLANDS LÄN</t>
        </is>
      </c>
      <c r="G353" t="inlineStr">
        <is>
          <t>KRAMFORS</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13939-2026</t>
        </is>
      </c>
      <c r="B354" t="inlineStr">
        <is>
          <t>avverkningsanmälan</t>
        </is>
      </c>
      <c r="C354" t="inlineStr">
        <is>
          <t>Föryngringsavverkning</t>
        </is>
      </c>
      <c r="D354" s="1" t="n">
        <v>46098</v>
      </c>
      <c r="E354" s="1" t="n">
        <v>46292</v>
      </c>
      <c r="F354" t="inlineStr">
        <is>
          <t>VÄSTERNORRLANDS LÄN</t>
        </is>
      </c>
      <c r="G354" t="inlineStr">
        <is>
          <t>KRAMFORS</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14082-2026</t>
        </is>
      </c>
      <c r="B355" t="inlineStr">
        <is>
          <t>avverkningsanmälan</t>
        </is>
      </c>
      <c r="C355" t="inlineStr">
        <is>
          <t>Föryngringsavverkning</t>
        </is>
      </c>
      <c r="D355" s="1" t="n">
        <v>46099</v>
      </c>
      <c r="E355" s="1" t="n">
        <v>46292</v>
      </c>
      <c r="F355" t="inlineStr">
        <is>
          <t>VÄSTERNORRLANDS LÄN</t>
        </is>
      </c>
      <c r="G355" t="inlineStr">
        <is>
          <t>KRAMFORS</t>
        </is>
      </c>
      <c r="H355" t="inlineStr">
        <is>
          <t>Kommuner</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14159-2026</t>
        </is>
      </c>
      <c r="B356" t="inlineStr">
        <is>
          <t>avverkningsanmälan</t>
        </is>
      </c>
      <c r="C356" t="inlineStr">
        <is>
          <t>Föryngringsavverkning</t>
        </is>
      </c>
      <c r="D356" s="1" t="n">
        <v>46099</v>
      </c>
      <c r="E356" s="1" t="n">
        <v>46292</v>
      </c>
      <c r="F356" t="inlineStr">
        <is>
          <t>VÄSTERNORRLANDS LÄN</t>
        </is>
      </c>
      <c r="G356" t="inlineStr">
        <is>
          <t>KRAMFORS</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50846-2025</t>
        </is>
      </c>
      <c r="B357" t="inlineStr">
        <is>
          <t>avverkningsanmälan</t>
        </is>
      </c>
      <c r="C357" t="inlineStr">
        <is>
          <t>Föryngringsavverkning</t>
        </is>
      </c>
      <c r="D357" s="1" t="n">
        <v>45946</v>
      </c>
      <c r="E357" s="1" t="n">
        <v>46292</v>
      </c>
      <c r="F357" t="inlineStr">
        <is>
          <t>VÄSTERNORRLANDS LÄN</t>
        </is>
      </c>
      <c r="G357" t="inlineStr">
        <is>
          <t>KRAMFORS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14537-2026</t>
        </is>
      </c>
      <c r="B358" t="inlineStr">
        <is>
          <t>avverkningsanmälan</t>
        </is>
      </c>
      <c r="C358" t="inlineStr">
        <is>
          <t>Föryngringsavverkning</t>
        </is>
      </c>
      <c r="D358" s="1" t="n">
        <v>46100</v>
      </c>
      <c r="E358" s="1" t="n">
        <v>46292</v>
      </c>
      <c r="F358" t="inlineStr">
        <is>
          <t>VÄSTERNORRLANDS LÄN</t>
        </is>
      </c>
      <c r="G358" t="inlineStr">
        <is>
          <t>KRAMFORS</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21434-2025</t>
        </is>
      </c>
      <c r="B359" t="inlineStr">
        <is>
          <t>avverkningsanmälan</t>
        </is>
      </c>
      <c r="C359" t="inlineStr">
        <is>
          <t>Föryngringsavverkning</t>
        </is>
      </c>
      <c r="D359" s="1" t="n">
        <v>45782</v>
      </c>
      <c r="E359" s="1" t="n">
        <v>46292</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61984-2024</t>
        </is>
      </c>
      <c r="B360" t="inlineStr">
        <is>
          <t>avverkningsanmälan</t>
        </is>
      </c>
      <c r="C360" t="inlineStr">
        <is>
          <t>Avverkning för annat ändamål</t>
        </is>
      </c>
      <c r="D360" s="1" t="n">
        <v>45653</v>
      </c>
      <c r="E360" s="1" t="n">
        <v>46292</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48127-2024</t>
        </is>
      </c>
      <c r="B361" t="inlineStr">
        <is>
          <t>avverkningsanmälan</t>
        </is>
      </c>
      <c r="C361" t="inlineStr">
        <is>
          <t>Föryngringsavverkning</t>
        </is>
      </c>
      <c r="D361" s="1" t="n">
        <v>45589</v>
      </c>
      <c r="E361" s="1" t="n">
        <v>46292</v>
      </c>
      <c r="F361" t="inlineStr">
        <is>
          <t>VÄSTERNORRLANDS LÄN</t>
        </is>
      </c>
      <c r="G361" t="inlineStr">
        <is>
          <t>KRAMFORS</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51192-2025</t>
        </is>
      </c>
      <c r="B362" t="inlineStr">
        <is>
          <t>avverkningsanmälan</t>
        </is>
      </c>
      <c r="C362" t="inlineStr">
        <is>
          <t>Föryngringsavverkning</t>
        </is>
      </c>
      <c r="D362" s="1" t="n">
        <v>45947</v>
      </c>
      <c r="E362" s="1" t="n">
        <v>46292</v>
      </c>
      <c r="F362" t="inlineStr">
        <is>
          <t>VÄSTERNORRLANDS LÄN</t>
        </is>
      </c>
      <c r="G362" t="inlineStr">
        <is>
          <t>KRAMFORS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15004-2026</t>
        </is>
      </c>
      <c r="B363" t="inlineStr">
        <is>
          <t>avverkningsanmälan</t>
        </is>
      </c>
      <c r="C363" t="inlineStr">
        <is>
          <t>Föryngringsavverkning</t>
        </is>
      </c>
      <c r="D363" s="1" t="n">
        <v>46104</v>
      </c>
      <c r="E363" s="1" t="n">
        <v>46292</v>
      </c>
      <c r="F363" t="inlineStr">
        <is>
          <t>VÄSTERNORRLANDS LÄN</t>
        </is>
      </c>
      <c r="G363" t="inlineStr">
        <is>
          <t>KRAMFORS</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9009-2025</t>
        </is>
      </c>
      <c r="B364" t="inlineStr">
        <is>
          <t>avverkningsanmälan</t>
        </is>
      </c>
      <c r="C364" t="inlineStr">
        <is>
          <t>Föryngringsavverkning</t>
        </is>
      </c>
      <c r="D364" s="1" t="n">
        <v>45713</v>
      </c>
      <c r="E364" s="1" t="n">
        <v>46292</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14995-2026</t>
        </is>
      </c>
      <c r="B365" t="inlineStr">
        <is>
          <t>avverkningsanmälan</t>
        </is>
      </c>
      <c r="C365" t="inlineStr">
        <is>
          <t>Avverkning för annat ändamål</t>
        </is>
      </c>
      <c r="D365" s="1" t="n">
        <v>46104</v>
      </c>
      <c r="E365" s="1" t="n">
        <v>46292</v>
      </c>
      <c r="F365" t="inlineStr">
        <is>
          <t>VÄSTERNORRLANDS LÄN</t>
        </is>
      </c>
      <c r="G365" t="inlineStr">
        <is>
          <t>KRAMFORS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44685-2023</t>
        </is>
      </c>
      <c r="B366" t="inlineStr">
        <is>
          <t>avverkningsanmälan</t>
        </is>
      </c>
      <c r="C366" t="inlineStr">
        <is>
          <t>Avverkning för annat ändamål</t>
        </is>
      </c>
      <c r="D366" s="1" t="n">
        <v>45189</v>
      </c>
      <c r="E366" s="1" t="n">
        <v>46292</v>
      </c>
      <c r="F366" t="inlineStr">
        <is>
          <t>VÄSTERNORRLANDS LÄN</t>
        </is>
      </c>
      <c r="G366" t="inlineStr">
        <is>
          <t>KRAMFORS</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52080-2025</t>
        </is>
      </c>
      <c r="B367" t="inlineStr">
        <is>
          <t>avverkningsanmälan</t>
        </is>
      </c>
      <c r="C367" t="inlineStr">
        <is>
          <t>Föryngringsavverkning</t>
        </is>
      </c>
      <c r="D367" s="1" t="n">
        <v>45952</v>
      </c>
      <c r="E367" s="1" t="n">
        <v>46292</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15143-2026</t>
        </is>
      </c>
      <c r="B368" t="inlineStr">
        <is>
          <t>avverkningsanmälan</t>
        </is>
      </c>
      <c r="C368" t="inlineStr">
        <is>
          <t>Föryngringsavverkning</t>
        </is>
      </c>
      <c r="D368" s="1" t="n">
        <v>46105</v>
      </c>
      <c r="E368" s="1" t="n">
        <v>46292</v>
      </c>
      <c r="F368" t="inlineStr">
        <is>
          <t>VÄSTERNORRLANDS LÄN</t>
        </is>
      </c>
      <c r="G368" t="inlineStr">
        <is>
          <t>KRAMFORS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8742-2024</t>
        </is>
      </c>
      <c r="B369" t="inlineStr">
        <is>
          <t>avverkningsanmälan</t>
        </is>
      </c>
      <c r="C369" t="inlineStr">
        <is>
          <t>Föryngringsavverkning</t>
        </is>
      </c>
      <c r="D369" s="1" t="n">
        <v>45356</v>
      </c>
      <c r="E369" s="1" t="n">
        <v>46292</v>
      </c>
      <c r="F369" t="inlineStr">
        <is>
          <t>VÄSTERNORRLANDS LÄN</t>
        </is>
      </c>
      <c r="G369" t="inlineStr">
        <is>
          <t>KRAMFORS</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52107-2025</t>
        </is>
      </c>
      <c r="B370" t="inlineStr">
        <is>
          <t>avverkningsanmälan</t>
        </is>
      </c>
      <c r="C370" t="inlineStr">
        <is>
          <t>Föryngringsavverkning</t>
        </is>
      </c>
      <c r="D370" s="1" t="n">
        <v>45952</v>
      </c>
      <c r="E370" s="1" t="n">
        <v>46292</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25032-2024</t>
        </is>
      </c>
      <c r="B371" t="inlineStr">
        <is>
          <t>avverkningsanmälan</t>
        </is>
      </c>
      <c r="C371" t="inlineStr">
        <is>
          <t>Föryngringsavverkning</t>
        </is>
      </c>
      <c r="D371" s="1" t="n">
        <v>45461</v>
      </c>
      <c r="E371" s="1" t="n">
        <v>46292</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51706-2025</t>
        </is>
      </c>
      <c r="B372" t="inlineStr">
        <is>
          <t>avverkningsanmälan</t>
        </is>
      </c>
      <c r="C372" t="inlineStr">
        <is>
          <t>Föryngringsavverkning</t>
        </is>
      </c>
      <c r="D372" s="1" t="n">
        <v>45951</v>
      </c>
      <c r="E372" s="1" t="n">
        <v>46292</v>
      </c>
      <c r="F372" t="inlineStr">
        <is>
          <t>VÄSTERNORRLANDS LÄN</t>
        </is>
      </c>
      <c r="G372" t="inlineStr">
        <is>
          <t>KRAMFORS</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52971-2025</t>
        </is>
      </c>
      <c r="B373" t="inlineStr">
        <is>
          <t>avverkningsanmälan</t>
        </is>
      </c>
      <c r="C373" t="inlineStr">
        <is>
          <t>Föryngringsavverkning</t>
        </is>
      </c>
      <c r="D373" s="1" t="n">
        <v>45957</v>
      </c>
      <c r="E373" s="1" t="n">
        <v>46292</v>
      </c>
      <c r="F373" t="inlineStr">
        <is>
          <t>VÄSTERNORRLANDS LÄN</t>
        </is>
      </c>
      <c r="G373" t="inlineStr">
        <is>
          <t>KRAMFORS</t>
        </is>
      </c>
      <c r="H373" t="inlineStr">
        <is>
          <t>SCA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17058-2023</t>
        </is>
      </c>
      <c r="B374" t="inlineStr">
        <is>
          <t>avverkningsanmälan</t>
        </is>
      </c>
      <c r="C374" t="inlineStr">
        <is>
          <t>Föryngringsavverkning</t>
        </is>
      </c>
      <c r="D374" s="1" t="n">
        <v>45034</v>
      </c>
      <c r="E374" s="1" t="n">
        <v>46292</v>
      </c>
      <c r="F374" t="inlineStr">
        <is>
          <t>VÄSTERNORRLANDS LÄN</t>
        </is>
      </c>
      <c r="G374" t="inlineStr">
        <is>
          <t>KRAMFORS</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5360-2023</t>
        </is>
      </c>
      <c r="B375" t="inlineStr">
        <is>
          <t>avverkningsanmälan</t>
        </is>
      </c>
      <c r="C375" t="inlineStr">
        <is>
          <t>Föryngringsavverkning</t>
        </is>
      </c>
      <c r="D375" s="1" t="n">
        <v>44956</v>
      </c>
      <c r="E375" s="1" t="n">
        <v>46292</v>
      </c>
      <c r="F375" t="inlineStr">
        <is>
          <t>VÄSTERNORRLANDS LÄN</t>
        </is>
      </c>
      <c r="G375" t="inlineStr">
        <is>
          <t>KRAMFORS</t>
        </is>
      </c>
      <c r="I375" t="n">
        <v>11.4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52272-2024</t>
        </is>
      </c>
      <c r="B376" t="inlineStr">
        <is>
          <t>avverkningsanmälan</t>
        </is>
      </c>
      <c r="C376" t="inlineStr">
        <is>
          <t>Föryngringsavverkning</t>
        </is>
      </c>
      <c r="D376" s="1" t="n">
        <v>45608</v>
      </c>
      <c r="E376" s="1" t="n">
        <v>46292</v>
      </c>
      <c r="F376" t="inlineStr">
        <is>
          <t>VÄSTERNORRLANDS LÄN</t>
        </is>
      </c>
      <c r="G376" t="inlineStr">
        <is>
          <t>KRAMFORS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17271-2026</t>
        </is>
      </c>
      <c r="B377" t="inlineStr">
        <is>
          <t>avverkningsanmälan</t>
        </is>
      </c>
      <c r="C377" t="inlineStr">
        <is>
          <t>Föryngringsavverkning</t>
        </is>
      </c>
      <c r="D377" s="1" t="n">
        <v>46119</v>
      </c>
      <c r="E377" s="1" t="n">
        <v>46292</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53790-2025</t>
        </is>
      </c>
      <c r="B378" t="inlineStr">
        <is>
          <t>avverkningsanmälan</t>
        </is>
      </c>
      <c r="C378" t="inlineStr">
        <is>
          <t>Föryngringsavverkning</t>
        </is>
      </c>
      <c r="D378" s="1" t="n">
        <v>45960</v>
      </c>
      <c r="E378" s="1" t="n">
        <v>46292</v>
      </c>
      <c r="F378" t="inlineStr">
        <is>
          <t>VÄSTERNORRLANDS LÄN</t>
        </is>
      </c>
      <c r="G378" t="inlineStr">
        <is>
          <t>KRAMFORS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54184-2025</t>
        </is>
      </c>
      <c r="B379" t="inlineStr">
        <is>
          <t>avverkningsanmälan</t>
        </is>
      </c>
      <c r="C379" t="inlineStr">
        <is>
          <t>Föryngringsavverkning</t>
        </is>
      </c>
      <c r="D379" s="1" t="n">
        <v>45964</v>
      </c>
      <c r="E379" s="1" t="n">
        <v>46292</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54273-2025</t>
        </is>
      </c>
      <c r="B380" t="inlineStr">
        <is>
          <t>avverkningsanmälan</t>
        </is>
      </c>
      <c r="C380" t="inlineStr">
        <is>
          <t>Föryngringsavverkning</t>
        </is>
      </c>
      <c r="D380" s="1" t="n">
        <v>45964</v>
      </c>
      <c r="E380" s="1" t="n">
        <v>46292</v>
      </c>
      <c r="F380" t="inlineStr">
        <is>
          <t>VÄSTERNORRLANDS LÄN</t>
        </is>
      </c>
      <c r="G380" t="inlineStr">
        <is>
          <t>KRAMFORS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54185-2025</t>
        </is>
      </c>
      <c r="B381" t="inlineStr">
        <is>
          <t>avverkningsanmälan</t>
        </is>
      </c>
      <c r="C381" t="inlineStr">
        <is>
          <t>Föryngringsavverkning</t>
        </is>
      </c>
      <c r="D381" s="1" t="n">
        <v>45964</v>
      </c>
      <c r="E381" s="1" t="n">
        <v>46292</v>
      </c>
      <c r="F381" t="inlineStr">
        <is>
          <t>VÄSTERNORRLANDS LÄN</t>
        </is>
      </c>
      <c r="G381" t="inlineStr">
        <is>
          <t>KRAMFORS</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54188-2025</t>
        </is>
      </c>
      <c r="B382" t="inlineStr">
        <is>
          <t>avverkningsanmälan</t>
        </is>
      </c>
      <c r="C382" t="inlineStr">
        <is>
          <t>Föryngringsavverkning</t>
        </is>
      </c>
      <c r="D382" s="1" t="n">
        <v>45964</v>
      </c>
      <c r="E382" s="1" t="n">
        <v>46292</v>
      </c>
      <c r="F382" t="inlineStr">
        <is>
          <t>VÄSTERNORRLANDS LÄN</t>
        </is>
      </c>
      <c r="G382" t="inlineStr">
        <is>
          <t>KRAMFORS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54103-2025</t>
        </is>
      </c>
      <c r="B383" t="inlineStr">
        <is>
          <t>avverkningsanmälan</t>
        </is>
      </c>
      <c r="C383" t="inlineStr">
        <is>
          <t>Föryngringsavverkning</t>
        </is>
      </c>
      <c r="D383" s="1" t="n">
        <v>45964</v>
      </c>
      <c r="E383" s="1" t="n">
        <v>46292</v>
      </c>
      <c r="F383" t="inlineStr">
        <is>
          <t>VÄSTERNORRLANDS LÄN</t>
        </is>
      </c>
      <c r="G383" t="inlineStr">
        <is>
          <t>KRAMFORS</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54069-2025</t>
        </is>
      </c>
      <c r="B384" t="inlineStr">
        <is>
          <t>avverkningsanmälan</t>
        </is>
      </c>
      <c r="C384" t="inlineStr">
        <is>
          <t>Föryngringsavverkning</t>
        </is>
      </c>
      <c r="D384" s="1" t="n">
        <v>45964</v>
      </c>
      <c r="E384" s="1" t="n">
        <v>46292</v>
      </c>
      <c r="F384" t="inlineStr">
        <is>
          <t>VÄSTERNORRLANDS LÄN</t>
        </is>
      </c>
      <c r="G384" t="inlineStr">
        <is>
          <t>KRAMFORS</t>
        </is>
      </c>
      <c r="H384" t="inlineStr">
        <is>
          <t>SCA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53576-2021</t>
        </is>
      </c>
      <c r="B385" t="inlineStr">
        <is>
          <t>avverkningsanmälan</t>
        </is>
      </c>
      <c r="C385" t="inlineStr">
        <is>
          <t>Föryngringsavverkning</t>
        </is>
      </c>
      <c r="D385" s="1" t="n">
        <v>44469</v>
      </c>
      <c r="E385" s="1" t="n">
        <v>46292</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54068-2025</t>
        </is>
      </c>
      <c r="B386" t="inlineStr">
        <is>
          <t>avverkningsanmälan</t>
        </is>
      </c>
      <c r="C386" t="inlineStr">
        <is>
          <t>Föryngringsavverkning</t>
        </is>
      </c>
      <c r="D386" s="1" t="n">
        <v>45964</v>
      </c>
      <c r="E386" s="1" t="n">
        <v>46292</v>
      </c>
      <c r="F386" t="inlineStr">
        <is>
          <t>VÄSTERNORRLANDS LÄN</t>
        </is>
      </c>
      <c r="G386" t="inlineStr">
        <is>
          <t>KRAMFORS</t>
        </is>
      </c>
      <c r="H386" t="inlineStr">
        <is>
          <t>SCA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54187-2025</t>
        </is>
      </c>
      <c r="B387" t="inlineStr">
        <is>
          <t>avverkningsanmälan</t>
        </is>
      </c>
      <c r="C387" t="inlineStr">
        <is>
          <t>Föryngringsavverkning</t>
        </is>
      </c>
      <c r="D387" s="1" t="n">
        <v>45964</v>
      </c>
      <c r="E387" s="1" t="n">
        <v>46292</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39121-2025</t>
        </is>
      </c>
      <c r="B388" t="inlineStr">
        <is>
          <t>avverkningsanmälan</t>
        </is>
      </c>
      <c r="C388" t="inlineStr">
        <is>
          <t>Föryngringsavverkning</t>
        </is>
      </c>
      <c r="D388" s="1" t="n">
        <v>45884</v>
      </c>
      <c r="E388" s="1" t="n">
        <v>46292</v>
      </c>
      <c r="F388" t="inlineStr">
        <is>
          <t>VÄSTERNORRLANDS LÄN</t>
        </is>
      </c>
      <c r="G388" t="inlineStr">
        <is>
          <t>KRAMFORS</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18820-2026</t>
        </is>
      </c>
      <c r="B389" t="inlineStr">
        <is>
          <t>avverkningsanmälan</t>
        </is>
      </c>
      <c r="C389" t="inlineStr">
        <is>
          <t>Föryngringsavverkning</t>
        </is>
      </c>
      <c r="D389" s="1" t="n">
        <v>46127</v>
      </c>
      <c r="E389" s="1" t="n">
        <v>46292</v>
      </c>
      <c r="F389" t="inlineStr">
        <is>
          <t>VÄSTERNORRLANDS LÄN</t>
        </is>
      </c>
      <c r="G389" t="inlineStr">
        <is>
          <t>KRAMFORS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12371-2023</t>
        </is>
      </c>
      <c r="B390" t="inlineStr">
        <is>
          <t>avverkningsanmälan</t>
        </is>
      </c>
      <c r="C390" t="inlineStr">
        <is>
          <t>Föryngringsavverkning</t>
        </is>
      </c>
      <c r="D390" s="1" t="n">
        <v>44998</v>
      </c>
      <c r="E390" s="1" t="n">
        <v>46292</v>
      </c>
      <c r="F390" t="inlineStr">
        <is>
          <t>VÄSTERNORRLANDS LÄN</t>
        </is>
      </c>
      <c r="G390" t="inlineStr">
        <is>
          <t>KRAMFORS</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51519-2025</t>
        </is>
      </c>
      <c r="B391" t="inlineStr">
        <is>
          <t>avverkningsanmälan</t>
        </is>
      </c>
      <c r="C391" t="inlineStr">
        <is>
          <t>Föryngringsavverkning</t>
        </is>
      </c>
      <c r="D391" s="1" t="n">
        <v>45950</v>
      </c>
      <c r="E391" s="1" t="n">
        <v>46292</v>
      </c>
      <c r="F391" t="inlineStr">
        <is>
          <t>VÄSTERNORRLANDS LÄN</t>
        </is>
      </c>
      <c r="G391" t="inlineStr">
        <is>
          <t>KRAMFORS</t>
        </is>
      </c>
      <c r="I391" t="n">
        <v>14.9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16531-2026</t>
        </is>
      </c>
      <c r="B392" t="inlineStr">
        <is>
          <t>avverkningsanmälan</t>
        </is>
      </c>
      <c r="C392" t="inlineStr">
        <is>
          <t>Föryngringsavverkning</t>
        </is>
      </c>
      <c r="D392" s="1" t="n">
        <v>46112</v>
      </c>
      <c r="E392" s="1" t="n">
        <v>46292</v>
      </c>
      <c r="F392" t="inlineStr">
        <is>
          <t>VÄSTERNORRLANDS LÄN</t>
        </is>
      </c>
      <c r="G392" t="inlineStr">
        <is>
          <t>KRAMFORS</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9389-2026</t>
        </is>
      </c>
      <c r="B393" t="inlineStr">
        <is>
          <t>avverkningsanmälan</t>
        </is>
      </c>
      <c r="C393" t="inlineStr">
        <is>
          <t>Föryngringsavverkning</t>
        </is>
      </c>
      <c r="D393" s="1" t="n">
        <v>46071</v>
      </c>
      <c r="E393" s="1" t="n">
        <v>46292</v>
      </c>
      <c r="F393" t="inlineStr">
        <is>
          <t>VÄSTERNORRLANDS LÄN</t>
        </is>
      </c>
      <c r="G393" t="inlineStr">
        <is>
          <t>KRAMFORS</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51528-2025</t>
        </is>
      </c>
      <c r="B394" t="inlineStr">
        <is>
          <t>avverkningsanmälan</t>
        </is>
      </c>
      <c r="C394" t="inlineStr">
        <is>
          <t>Föryngringsavverkning</t>
        </is>
      </c>
      <c r="D394" s="1" t="n">
        <v>45950</v>
      </c>
      <c r="E394" s="1" t="n">
        <v>46292</v>
      </c>
      <c r="F394" t="inlineStr">
        <is>
          <t>VÄSTERNORRLANDS LÄN</t>
        </is>
      </c>
      <c r="G394" t="inlineStr">
        <is>
          <t>KRAMFORS</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55148-2025</t>
        </is>
      </c>
      <c r="B395" t="inlineStr">
        <is>
          <t>avverkningsanmälan</t>
        </is>
      </c>
      <c r="C395" t="inlineStr">
        <is>
          <t>Föryngringsavverkning</t>
        </is>
      </c>
      <c r="D395" s="1" t="n">
        <v>45968</v>
      </c>
      <c r="E395" s="1" t="n">
        <v>46292</v>
      </c>
      <c r="F395" t="inlineStr">
        <is>
          <t>VÄSTERNORRLANDS LÄN</t>
        </is>
      </c>
      <c r="G395" t="inlineStr">
        <is>
          <t>KRAMFORS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55157-2025</t>
        </is>
      </c>
      <c r="B396" t="inlineStr">
        <is>
          <t>avverkningsanmälan</t>
        </is>
      </c>
      <c r="C396" t="inlineStr">
        <is>
          <t>Föryngringsavverkning</t>
        </is>
      </c>
      <c r="D396" s="1" t="n">
        <v>45968</v>
      </c>
      <c r="E396" s="1" t="n">
        <v>46292</v>
      </c>
      <c r="F396" t="inlineStr">
        <is>
          <t>VÄSTERNORRLANDS LÄN</t>
        </is>
      </c>
      <c r="G396" t="inlineStr">
        <is>
          <t>KRAMFORS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6446-2023</t>
        </is>
      </c>
      <c r="B397" t="inlineStr">
        <is>
          <t>avverkningsanmälan</t>
        </is>
      </c>
      <c r="C397" t="inlineStr">
        <is>
          <t>Föryngringsavverkning</t>
        </is>
      </c>
      <c r="D397" s="1" t="n">
        <v>44965</v>
      </c>
      <c r="E397" s="1" t="n">
        <v>46292</v>
      </c>
      <c r="F397" t="inlineStr">
        <is>
          <t>VÄSTERNORRLANDS LÄN</t>
        </is>
      </c>
      <c r="G397" t="inlineStr">
        <is>
          <t>KRAMFORS</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6449-2023</t>
        </is>
      </c>
      <c r="B398" t="inlineStr">
        <is>
          <t>avverkningsanmälan</t>
        </is>
      </c>
      <c r="C398" t="inlineStr">
        <is>
          <t>Föryngringsavverkning</t>
        </is>
      </c>
      <c r="D398" s="1" t="n">
        <v>44965</v>
      </c>
      <c r="E398" s="1" t="n">
        <v>46292</v>
      </c>
      <c r="F398" t="inlineStr">
        <is>
          <t>VÄSTERNORRLANDS LÄN</t>
        </is>
      </c>
      <c r="G398" t="inlineStr">
        <is>
          <t>KRAMFORS</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27550-2025</t>
        </is>
      </c>
      <c r="B399" t="inlineStr">
        <is>
          <t>avverkningsanmälan</t>
        </is>
      </c>
      <c r="C399" t="inlineStr">
        <is>
          <t>Föryngringsavverkning</t>
        </is>
      </c>
      <c r="D399" s="1" t="n">
        <v>45813</v>
      </c>
      <c r="E399" s="1" t="n">
        <v>46292</v>
      </c>
      <c r="F399" t="inlineStr">
        <is>
          <t>VÄSTERNORRLANDS LÄN</t>
        </is>
      </c>
      <c r="G399" t="inlineStr">
        <is>
          <t>KRAMFORS</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27551-2025</t>
        </is>
      </c>
      <c r="B400" t="inlineStr">
        <is>
          <t>avverkningsanmälan</t>
        </is>
      </c>
      <c r="C400" t="inlineStr">
        <is>
          <t>Föryngringsavverkning</t>
        </is>
      </c>
      <c r="D400" s="1" t="n">
        <v>45813</v>
      </c>
      <c r="E400" s="1" t="n">
        <v>46292</v>
      </c>
      <c r="F400" t="inlineStr">
        <is>
          <t>VÄSTERNORRLANDS LÄN</t>
        </is>
      </c>
      <c r="G400" t="inlineStr">
        <is>
          <t>KRAMFORS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3945-2025</t>
        </is>
      </c>
      <c r="B401" t="inlineStr">
        <is>
          <t>avverkningsanmälan</t>
        </is>
      </c>
      <c r="C401" t="inlineStr">
        <is>
          <t>Föryngringsavverkning</t>
        </is>
      </c>
      <c r="D401" s="1" t="n">
        <v>45684</v>
      </c>
      <c r="E401" s="1" t="n">
        <v>46292</v>
      </c>
      <c r="F401" t="inlineStr">
        <is>
          <t>VÄSTERNORRLANDS LÄN</t>
        </is>
      </c>
      <c r="G401" t="inlineStr">
        <is>
          <t>KRAMFORS</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55332-2025</t>
        </is>
      </c>
      <c r="B402" t="inlineStr">
        <is>
          <t>avverkningsanmälan</t>
        </is>
      </c>
      <c r="C402" t="inlineStr">
        <is>
          <t>Föryngringsavverkning</t>
        </is>
      </c>
      <c r="D402" s="1" t="n">
        <v>45971</v>
      </c>
      <c r="E402" s="1" t="n">
        <v>46292</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21182-2023</t>
        </is>
      </c>
      <c r="B403" t="inlineStr">
        <is>
          <t>avverkningsanmälan</t>
        </is>
      </c>
      <c r="C403" t="inlineStr">
        <is>
          <t>Föryngringsavverkning</t>
        </is>
      </c>
      <c r="D403" s="1" t="n">
        <v>45062</v>
      </c>
      <c r="E403" s="1" t="n">
        <v>46292</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56361-2025</t>
        </is>
      </c>
      <c r="B404" t="inlineStr">
        <is>
          <t>avverkningsanmälan</t>
        </is>
      </c>
      <c r="C404" t="inlineStr">
        <is>
          <t>Föryngringsavverkning</t>
        </is>
      </c>
      <c r="D404" s="1" t="n">
        <v>45974</v>
      </c>
      <c r="E404" s="1" t="n">
        <v>46292</v>
      </c>
      <c r="F404" t="inlineStr">
        <is>
          <t>VÄSTERNORRLANDS LÄN</t>
        </is>
      </c>
      <c r="G404" t="inlineStr">
        <is>
          <t>KRAMFORS</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56362-2025</t>
        </is>
      </c>
      <c r="B405" t="inlineStr">
        <is>
          <t>avverkningsanmälan</t>
        </is>
      </c>
      <c r="C405" t="inlineStr">
        <is>
          <t>Föryngringsavverkning</t>
        </is>
      </c>
      <c r="D405" s="1" t="n">
        <v>45974</v>
      </c>
      <c r="E405" s="1" t="n">
        <v>46292</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19124-2025</t>
        </is>
      </c>
      <c r="B406" t="inlineStr">
        <is>
          <t>avverkningsanmälan</t>
        </is>
      </c>
      <c r="C406" t="inlineStr">
        <is>
          <t>Föryngringsavverkning</t>
        </is>
      </c>
      <c r="D406" s="1" t="n">
        <v>45768</v>
      </c>
      <c r="E406" s="1" t="n">
        <v>46292</v>
      </c>
      <c r="F406" t="inlineStr">
        <is>
          <t>VÄSTERNORRLANDS LÄN</t>
        </is>
      </c>
      <c r="G406" t="inlineStr">
        <is>
          <t>KRAMFORS</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56156-2025</t>
        </is>
      </c>
      <c r="B407" t="inlineStr">
        <is>
          <t>avverkningsanmälan</t>
        </is>
      </c>
      <c r="C407" t="inlineStr">
        <is>
          <t>Föryngringsavverkning</t>
        </is>
      </c>
      <c r="D407" s="1" t="n">
        <v>45974</v>
      </c>
      <c r="E407" s="1" t="n">
        <v>46292</v>
      </c>
      <c r="F407" t="inlineStr">
        <is>
          <t>VÄSTERNORRLANDS LÄN</t>
        </is>
      </c>
      <c r="G407" t="inlineStr">
        <is>
          <t>KRAMFORS</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56358-2025</t>
        </is>
      </c>
      <c r="B408" t="inlineStr">
        <is>
          <t>avverkningsanmälan</t>
        </is>
      </c>
      <c r="C408" t="inlineStr">
        <is>
          <t>Föryngringsavverkning</t>
        </is>
      </c>
      <c r="D408" s="1" t="n">
        <v>45974</v>
      </c>
      <c r="E408" s="1" t="n">
        <v>46292</v>
      </c>
      <c r="F408" t="inlineStr">
        <is>
          <t>VÄSTERNORRLANDS LÄN</t>
        </is>
      </c>
      <c r="G408" t="inlineStr">
        <is>
          <t>KRAMFORS</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56359-2025</t>
        </is>
      </c>
      <c r="B409" t="inlineStr">
        <is>
          <t>avverkningsanmälan</t>
        </is>
      </c>
      <c r="C409" t="inlineStr">
        <is>
          <t>Föryngringsavverkning</t>
        </is>
      </c>
      <c r="D409" s="1" t="n">
        <v>45974</v>
      </c>
      <c r="E409" s="1" t="n">
        <v>46292</v>
      </c>
      <c r="F409" t="inlineStr">
        <is>
          <t>VÄSTERNORRLANDS LÄN</t>
        </is>
      </c>
      <c r="G409" t="inlineStr">
        <is>
          <t>KRAMFORS</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56339-2025</t>
        </is>
      </c>
      <c r="B410" t="inlineStr">
        <is>
          <t>avverkningsanmälan</t>
        </is>
      </c>
      <c r="C410" t="inlineStr">
        <is>
          <t>Föryngringsavverkning</t>
        </is>
      </c>
      <c r="D410" s="1" t="n">
        <v>45974</v>
      </c>
      <c r="E410" s="1" t="n">
        <v>46292</v>
      </c>
      <c r="F410" t="inlineStr">
        <is>
          <t>VÄSTERNORRLANDS LÄN</t>
        </is>
      </c>
      <c r="G410" t="inlineStr">
        <is>
          <t>KRAMFORS</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56355-2025</t>
        </is>
      </c>
      <c r="B411" t="inlineStr">
        <is>
          <t>avverkningsanmälan</t>
        </is>
      </c>
      <c r="C411" t="inlineStr">
        <is>
          <t>Föryngringsavverkning</t>
        </is>
      </c>
      <c r="D411" s="1" t="n">
        <v>45974</v>
      </c>
      <c r="E411" s="1" t="n">
        <v>46292</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18439-2026</t>
        </is>
      </c>
      <c r="B412" t="inlineStr">
        <is>
          <t>avverkningsanmälan</t>
        </is>
      </c>
      <c r="C412" t="inlineStr">
        <is>
          <t>Föryngringsavverkning</t>
        </is>
      </c>
      <c r="D412" s="1" t="n">
        <v>46127</v>
      </c>
      <c r="E412" s="1" t="n">
        <v>46292</v>
      </c>
      <c r="F412" t="inlineStr">
        <is>
          <t>VÄSTERNORRLANDS LÄN</t>
        </is>
      </c>
      <c r="G412" t="inlineStr">
        <is>
          <t>KRAMFORS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878-2022</t>
        </is>
      </c>
      <c r="B413" t="inlineStr">
        <is>
          <t>avverkningsanmälan</t>
        </is>
      </c>
      <c r="C413" t="inlineStr">
        <is>
          <t>Föryngringsavverkning</t>
        </is>
      </c>
      <c r="D413" s="1" t="n">
        <v>44571</v>
      </c>
      <c r="E413" s="1" t="n">
        <v>46292</v>
      </c>
      <c r="F413" t="inlineStr">
        <is>
          <t>VÄSTERNORRLANDS LÄN</t>
        </is>
      </c>
      <c r="G413" t="inlineStr">
        <is>
          <t>KRAMFORS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4275-2024</t>
        </is>
      </c>
      <c r="B414" t="inlineStr">
        <is>
          <t>avverkningsanmälan</t>
        </is>
      </c>
      <c r="C414" t="inlineStr">
        <is>
          <t>Föryngringsavverkning</t>
        </is>
      </c>
      <c r="D414" s="1" t="n">
        <v>45324</v>
      </c>
      <c r="E414" s="1" t="n">
        <v>46292</v>
      </c>
      <c r="F414" t="inlineStr">
        <is>
          <t>VÄSTERNORRLANDS LÄN</t>
        </is>
      </c>
      <c r="G414" t="inlineStr">
        <is>
          <t>KRAMFORS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28160-2025</t>
        </is>
      </c>
      <c r="B415" t="inlineStr">
        <is>
          <t>avverkningsanmälan</t>
        </is>
      </c>
      <c r="C415" t="inlineStr">
        <is>
          <t>Föryngringsavverkning</t>
        </is>
      </c>
      <c r="D415" s="1" t="n">
        <v>45818</v>
      </c>
      <c r="E415" s="1" t="n">
        <v>46292</v>
      </c>
      <c r="F415" t="inlineStr">
        <is>
          <t>VÄSTERNORRLANDS LÄN</t>
        </is>
      </c>
      <c r="G415" t="inlineStr">
        <is>
          <t>KRAMFORS</t>
        </is>
      </c>
      <c r="H415" t="inlineStr">
        <is>
          <t>SCA</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18710-2026</t>
        </is>
      </c>
      <c r="B416" t="inlineStr">
        <is>
          <t>avverkningsanmälan</t>
        </is>
      </c>
      <c r="C416" t="inlineStr">
        <is>
          <t>Föryngringsavverkning</t>
        </is>
      </c>
      <c r="D416" s="1" t="n">
        <v>46128</v>
      </c>
      <c r="E416" s="1" t="n">
        <v>46292</v>
      </c>
      <c r="F416" t="inlineStr">
        <is>
          <t>VÄSTERNORRLANDS LÄN</t>
        </is>
      </c>
      <c r="G416" t="inlineStr">
        <is>
          <t>KRAMFORS</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17540-2023</t>
        </is>
      </c>
      <c r="B417" t="inlineStr">
        <is>
          <t>avverkningsanmälan</t>
        </is>
      </c>
      <c r="C417" t="inlineStr">
        <is>
          <t>Föryngringsavverkning</t>
        </is>
      </c>
      <c r="D417" s="1" t="n">
        <v>45036</v>
      </c>
      <c r="E417" s="1" t="n">
        <v>46292</v>
      </c>
      <c r="F417" t="inlineStr">
        <is>
          <t>VÄSTERNORRLANDS LÄN</t>
        </is>
      </c>
      <c r="G417" t="inlineStr">
        <is>
          <t>KRAMFORS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10311-2024</t>
        </is>
      </c>
      <c r="B418" t="inlineStr">
        <is>
          <t>avverkningsanmälan</t>
        </is>
      </c>
      <c r="C418" t="inlineStr">
        <is>
          <t>Avverkning för annat ändamål</t>
        </is>
      </c>
      <c r="D418" s="1" t="n">
        <v>45365</v>
      </c>
      <c r="E418" s="1" t="n">
        <v>46292</v>
      </c>
      <c r="F418" t="inlineStr">
        <is>
          <t>VÄSTERNORRLANDS LÄN</t>
        </is>
      </c>
      <c r="G418" t="inlineStr">
        <is>
          <t>KRAMFORS</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57280-2025</t>
        </is>
      </c>
      <c r="B419" t="inlineStr">
        <is>
          <t>avverkningsanmälan</t>
        </is>
      </c>
      <c r="C419" t="inlineStr">
        <is>
          <t>Föryngringsavverkning</t>
        </is>
      </c>
      <c r="D419" s="1" t="n">
        <v>45979</v>
      </c>
      <c r="E419" s="1" t="n">
        <v>46292</v>
      </c>
      <c r="F419" t="inlineStr">
        <is>
          <t>VÄSTERNORRLANDS LÄN</t>
        </is>
      </c>
      <c r="G419" t="inlineStr">
        <is>
          <t>KRAMFORS</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57058-2025</t>
        </is>
      </c>
      <c r="B420" t="inlineStr">
        <is>
          <t>avverkningsanmälan</t>
        </is>
      </c>
      <c r="C420" t="inlineStr">
        <is>
          <t>Föryngringsavverkning</t>
        </is>
      </c>
      <c r="D420" s="1" t="n">
        <v>45979</v>
      </c>
      <c r="E420" s="1" t="n">
        <v>46292</v>
      </c>
      <c r="F420" t="inlineStr">
        <is>
          <t>VÄSTERNORRLANDS LÄN</t>
        </is>
      </c>
      <c r="G420" t="inlineStr">
        <is>
          <t>KRAMFORS</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57147-2025</t>
        </is>
      </c>
      <c r="B421" t="inlineStr">
        <is>
          <t>avverkningsanmälan</t>
        </is>
      </c>
      <c r="C421" t="inlineStr">
        <is>
          <t>Föryngringsavverkning</t>
        </is>
      </c>
      <c r="D421" s="1" t="n">
        <v>45979</v>
      </c>
      <c r="E421" s="1" t="n">
        <v>46292</v>
      </c>
      <c r="F421" t="inlineStr">
        <is>
          <t>VÄSTERNORRLANDS LÄN</t>
        </is>
      </c>
      <c r="G421" t="inlineStr">
        <is>
          <t>KRAMFORS</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57148-2025</t>
        </is>
      </c>
      <c r="B422" t="inlineStr">
        <is>
          <t>avverkningsanmälan</t>
        </is>
      </c>
      <c r="C422" t="inlineStr">
        <is>
          <t>Föryngringsavverkning</t>
        </is>
      </c>
      <c r="D422" s="1" t="n">
        <v>45979</v>
      </c>
      <c r="E422" s="1" t="n">
        <v>46292</v>
      </c>
      <c r="F422" t="inlineStr">
        <is>
          <t>VÄSTERNORRLANDS LÄN</t>
        </is>
      </c>
      <c r="G422" t="inlineStr">
        <is>
          <t>KRAMFORS</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19496-2026</t>
        </is>
      </c>
      <c r="B423" t="inlineStr">
        <is>
          <t>avverkningsanmälan</t>
        </is>
      </c>
      <c r="C423" t="inlineStr">
        <is>
          <t>Föryngringsavverkning</t>
        </is>
      </c>
      <c r="D423" s="1" t="n">
        <v>46134</v>
      </c>
      <c r="E423" s="1" t="n">
        <v>46292</v>
      </c>
      <c r="F423" t="inlineStr">
        <is>
          <t>VÄSTERNORRLANDS LÄN</t>
        </is>
      </c>
      <c r="G423" t="inlineStr">
        <is>
          <t>KRAMFORS</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57029-2025</t>
        </is>
      </c>
      <c r="B424" t="inlineStr">
        <is>
          <t>avverkningsanmälan</t>
        </is>
      </c>
      <c r="C424" t="inlineStr">
        <is>
          <t>Föryngringsavverkning</t>
        </is>
      </c>
      <c r="D424" s="1" t="n">
        <v>45979</v>
      </c>
      <c r="E424" s="1" t="n">
        <v>46292</v>
      </c>
      <c r="F424" t="inlineStr">
        <is>
          <t>VÄSTERNORRLANDS LÄN</t>
        </is>
      </c>
      <c r="G424" t="inlineStr">
        <is>
          <t>KRAMFORS</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57069-2025</t>
        </is>
      </c>
      <c r="B425" t="inlineStr">
        <is>
          <t>avverkningsanmälan</t>
        </is>
      </c>
      <c r="C425" t="inlineStr">
        <is>
          <t>Föryngringsavverkning</t>
        </is>
      </c>
      <c r="D425" s="1" t="n">
        <v>45979</v>
      </c>
      <c r="E425" s="1" t="n">
        <v>46292</v>
      </c>
      <c r="F425" t="inlineStr">
        <is>
          <t>VÄSTERNORRLANDS LÄN</t>
        </is>
      </c>
      <c r="G425" t="inlineStr">
        <is>
          <t>KRAMFORS</t>
        </is>
      </c>
      <c r="I425" t="n">
        <v>9.699999999999999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57247-2025</t>
        </is>
      </c>
      <c r="B426" t="inlineStr">
        <is>
          <t>avverkningsanmälan</t>
        </is>
      </c>
      <c r="C426" t="inlineStr">
        <is>
          <t>Föryngringsavverkning</t>
        </is>
      </c>
      <c r="D426" s="1" t="n">
        <v>45979</v>
      </c>
      <c r="E426" s="1" t="n">
        <v>46292</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57628-2025</t>
        </is>
      </c>
      <c r="B427" t="inlineStr">
        <is>
          <t>avverkningsanmälan</t>
        </is>
      </c>
      <c r="C427" t="inlineStr">
        <is>
          <t>Föryngringsavverkning</t>
        </is>
      </c>
      <c r="D427" s="1" t="n">
        <v>45981</v>
      </c>
      <c r="E427" s="1" t="n">
        <v>46292</v>
      </c>
      <c r="F427" t="inlineStr">
        <is>
          <t>VÄSTERNORRLANDS LÄN</t>
        </is>
      </c>
      <c r="G427" t="inlineStr">
        <is>
          <t>KRAMFORS</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58053-2025</t>
        </is>
      </c>
      <c r="B428" t="inlineStr">
        <is>
          <t>avverkningsanmälan</t>
        </is>
      </c>
      <c r="C428" t="inlineStr">
        <is>
          <t>Föryngringsavverkning</t>
        </is>
      </c>
      <c r="D428" s="1" t="n">
        <v>45982</v>
      </c>
      <c r="E428" s="1" t="n">
        <v>46292</v>
      </c>
      <c r="F428" t="inlineStr">
        <is>
          <t>VÄSTERNORRLANDS LÄN</t>
        </is>
      </c>
      <c r="G428" t="inlineStr">
        <is>
          <t>KRAMFORS</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58057-2025</t>
        </is>
      </c>
      <c r="B429" t="inlineStr">
        <is>
          <t>avverkningsanmälan</t>
        </is>
      </c>
      <c r="C429" t="inlineStr">
        <is>
          <t>Föryngringsavverkning</t>
        </is>
      </c>
      <c r="D429" s="1" t="n">
        <v>45982</v>
      </c>
      <c r="E429" s="1" t="n">
        <v>46292</v>
      </c>
      <c r="F429" t="inlineStr">
        <is>
          <t>VÄSTERNORRLANDS LÄN</t>
        </is>
      </c>
      <c r="G429" t="inlineStr">
        <is>
          <t>KRAMFORS</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58966-2024</t>
        </is>
      </c>
      <c r="B430" t="inlineStr">
        <is>
          <t>avverkningsanmälan</t>
        </is>
      </c>
      <c r="C430" t="inlineStr">
        <is>
          <t>Föryngringsavverkning</t>
        </is>
      </c>
      <c r="D430" s="1" t="n">
        <v>45636</v>
      </c>
      <c r="E430" s="1" t="n">
        <v>46292</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57643-2025</t>
        </is>
      </c>
      <c r="B431" t="inlineStr">
        <is>
          <t>avverkningsanmälan</t>
        </is>
      </c>
      <c r="C431" t="inlineStr">
        <is>
          <t>Föryngringsavverkning</t>
        </is>
      </c>
      <c r="D431" s="1" t="n">
        <v>45981</v>
      </c>
      <c r="E431" s="1" t="n">
        <v>46292</v>
      </c>
      <c r="F431" t="inlineStr">
        <is>
          <t>VÄSTERNORRLANDS LÄN</t>
        </is>
      </c>
      <c r="G431" t="inlineStr">
        <is>
          <t>KRAMFORS</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19602-2026</t>
        </is>
      </c>
      <c r="B432" t="inlineStr">
        <is>
          <t>avverkningsanmälan</t>
        </is>
      </c>
      <c r="C432" t="inlineStr">
        <is>
          <t>Föryngringsavverkning</t>
        </is>
      </c>
      <c r="D432" s="1" t="n">
        <v>46134</v>
      </c>
      <c r="E432" s="1" t="n">
        <v>46292</v>
      </c>
      <c r="F432" t="inlineStr">
        <is>
          <t>VÄSTERNORRLANDS LÄN</t>
        </is>
      </c>
      <c r="G432" t="inlineStr">
        <is>
          <t>KRAMFORS</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57919-2025</t>
        </is>
      </c>
      <c r="B433" t="inlineStr">
        <is>
          <t>avverkningsanmälan</t>
        </is>
      </c>
      <c r="C433" t="inlineStr">
        <is>
          <t>Föryngringsavverkning</t>
        </is>
      </c>
      <c r="D433" s="1" t="n">
        <v>45981</v>
      </c>
      <c r="E433" s="1" t="n">
        <v>46292</v>
      </c>
      <c r="F433" t="inlineStr">
        <is>
          <t>VÄSTERNORRLANDS LÄN</t>
        </is>
      </c>
      <c r="G433" t="inlineStr">
        <is>
          <t>KRAMFORS</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58929-2025</t>
        </is>
      </c>
      <c r="B434" t="inlineStr">
        <is>
          <t>avverkningsanmälan</t>
        </is>
      </c>
      <c r="C434" t="inlineStr">
        <is>
          <t>Föryngringsavverkning</t>
        </is>
      </c>
      <c r="D434" s="1" t="n">
        <v>45986</v>
      </c>
      <c r="E434" s="1" t="n">
        <v>46292</v>
      </c>
      <c r="F434" t="inlineStr">
        <is>
          <t>VÄSTERNORRLANDS LÄN</t>
        </is>
      </c>
      <c r="G434" t="inlineStr">
        <is>
          <t>KRAMFORS</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8455-2023</t>
        </is>
      </c>
      <c r="B435" t="inlineStr">
        <is>
          <t>avverkningsanmälan</t>
        </is>
      </c>
      <c r="C435" t="inlineStr">
        <is>
          <t>Avverkning för annat ändamål</t>
        </is>
      </c>
      <c r="D435" s="1" t="n">
        <v>44971</v>
      </c>
      <c r="E435" s="1" t="n">
        <v>46292</v>
      </c>
      <c r="F435" t="inlineStr">
        <is>
          <t>VÄSTERNORRLANDS LÄN</t>
        </is>
      </c>
      <c r="G435" t="inlineStr">
        <is>
          <t>KRAMFORS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24406-2025</t>
        </is>
      </c>
      <c r="B436" t="inlineStr">
        <is>
          <t>avverkningsanmälan</t>
        </is>
      </c>
      <c r="C436" t="inlineStr">
        <is>
          <t>Föryngringsavverkning</t>
        </is>
      </c>
      <c r="D436" s="1" t="n">
        <v>45797</v>
      </c>
      <c r="E436" s="1" t="n">
        <v>46292</v>
      </c>
      <c r="F436" t="inlineStr">
        <is>
          <t>VÄSTERNORRLANDS LÄN</t>
        </is>
      </c>
      <c r="G436" t="inlineStr">
        <is>
          <t>KRAMFORS</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58884-2025</t>
        </is>
      </c>
      <c r="B437" t="inlineStr">
        <is>
          <t>avverkningsanmälan</t>
        </is>
      </c>
      <c r="C437" t="inlineStr">
        <is>
          <t>Föryngringsavverkning</t>
        </is>
      </c>
      <c r="D437" s="1" t="n">
        <v>45987</v>
      </c>
      <c r="E437" s="1" t="n">
        <v>46292</v>
      </c>
      <c r="F437" t="inlineStr">
        <is>
          <t>VÄSTERNORRLANDS LÄN</t>
        </is>
      </c>
      <c r="G437" t="inlineStr">
        <is>
          <t>KRAMFORS</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58817-2025</t>
        </is>
      </c>
      <c r="B438" t="inlineStr">
        <is>
          <t>avverkningsanmälan</t>
        </is>
      </c>
      <c r="C438" t="inlineStr">
        <is>
          <t>Föryngringsavverkning</t>
        </is>
      </c>
      <c r="D438" s="1" t="n">
        <v>45987</v>
      </c>
      <c r="E438" s="1" t="n">
        <v>46292</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59095-2025</t>
        </is>
      </c>
      <c r="B439" t="inlineStr">
        <is>
          <t>avverkningsanmälan</t>
        </is>
      </c>
      <c r="C439" t="inlineStr">
        <is>
          <t>Föryngringsavverkning</t>
        </is>
      </c>
      <c r="D439" s="1" t="n">
        <v>45988</v>
      </c>
      <c r="E439" s="1" t="n">
        <v>46292</v>
      </c>
      <c r="F439" t="inlineStr">
        <is>
          <t>VÄSTERNORRLANDS LÄN</t>
        </is>
      </c>
      <c r="G439" t="inlineStr">
        <is>
          <t>KRAMFORS</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59141-2025</t>
        </is>
      </c>
      <c r="B440" t="inlineStr">
        <is>
          <t>avverkningsanmälan</t>
        </is>
      </c>
      <c r="C440" t="inlineStr">
        <is>
          <t>Avverkning för annat ändamål</t>
        </is>
      </c>
      <c r="D440" s="1" t="n">
        <v>45988</v>
      </c>
      <c r="E440" s="1" t="n">
        <v>46292</v>
      </c>
      <c r="F440" t="inlineStr">
        <is>
          <t>VÄSTERNORRLANDS LÄN</t>
        </is>
      </c>
      <c r="G440" t="inlineStr">
        <is>
          <t>KRAMFORS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53792-2025</t>
        </is>
      </c>
      <c r="B441" t="inlineStr">
        <is>
          <t>avverkningsanmälan</t>
        </is>
      </c>
      <c r="C441" t="inlineStr">
        <is>
          <t>Föryngringsavverkning</t>
        </is>
      </c>
      <c r="D441" s="1" t="n">
        <v>45960</v>
      </c>
      <c r="E441" s="1" t="n">
        <v>46292</v>
      </c>
      <c r="F441" t="inlineStr">
        <is>
          <t>VÄSTERNORRLANDS LÄN</t>
        </is>
      </c>
      <c r="G441" t="inlineStr">
        <is>
          <t>KRAMFORS</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43136-2023</t>
        </is>
      </c>
      <c r="B442" t="inlineStr">
        <is>
          <t>avverkningsanmälan</t>
        </is>
      </c>
      <c r="C442" t="inlineStr">
        <is>
          <t>Föryngringsavverkning</t>
        </is>
      </c>
      <c r="D442" s="1" t="n">
        <v>45180</v>
      </c>
      <c r="E442" s="1" t="n">
        <v>46292</v>
      </c>
      <c r="F442" t="inlineStr">
        <is>
          <t>VÄSTERNORRLANDS LÄN</t>
        </is>
      </c>
      <c r="G442" t="inlineStr">
        <is>
          <t>KRAMFORS</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41381-2022</t>
        </is>
      </c>
      <c r="B443" t="inlineStr">
        <is>
          <t>avverkningsanmälan</t>
        </is>
      </c>
      <c r="C443" t="inlineStr">
        <is>
          <t>Föryngringsavverkning</t>
        </is>
      </c>
      <c r="D443" s="1" t="n">
        <v>44826</v>
      </c>
      <c r="E443" s="1" t="n">
        <v>46292</v>
      </c>
      <c r="F443" t="inlineStr">
        <is>
          <t>VÄSTERNORRLANDS LÄN</t>
        </is>
      </c>
      <c r="G443" t="inlineStr">
        <is>
          <t>KRAMFORS</t>
        </is>
      </c>
      <c r="I443" t="n">
        <v>2.5</v>
      </c>
      <c r="J443" t="n">
        <v>0</v>
      </c>
      <c r="K443" t="n">
        <v>0</v>
      </c>
      <c r="L443" t="n">
        <v>0</v>
      </c>
      <c r="M443" t="n">
        <v>0</v>
      </c>
      <c r="N443" t="n">
        <v>0</v>
      </c>
      <c r="O443" t="n">
        <v>0</v>
      </c>
      <c r="P443" t="n">
        <v>0</v>
      </c>
      <c r="Q443" t="n">
        <v>0</v>
      </c>
      <c r="R443" t="n">
        <v>0</v>
      </c>
      <c r="S443" t="n">
        <v>0</v>
      </c>
      <c r="T443" t="n">
        <v>0</v>
      </c>
      <c r="U443" t="n">
        <v>0</v>
      </c>
      <c r="V443" s="2" t="inlineStr"/>
      <c r="Z443">
        <f>HYPERLINK("https://klasma.github.io/Logging_2282/knärot/A 41381-2022 karta knärot.png", "A 41381-2022")</f>
        <v/>
      </c>
      <c r="AA443">
        <f>HYPERLINK("https://klasma.github.io/Logging_2282/klagomål/A 41381-2022 FSC-klagomål.docx", "A 41381-2022")</f>
        <v/>
      </c>
      <c r="AB443">
        <f>HYPERLINK("https://klasma.github.io/Logging_2282/klagomålsmail/A 41381-2022 FSC-klagomål mail.docx", "A 41381-2022")</f>
        <v/>
      </c>
      <c r="AC443">
        <f>HYPERLINK("https://klasma.github.io/Logging_2282/tillsyn/A 41381-2022 tillsynsbegäran.docx", "A 41381-2022")</f>
        <v/>
      </c>
      <c r="AD443">
        <f>HYPERLINK("https://klasma.github.io/Logging_2282/tillsynsmail/A 41381-2022 tillsynsbegäran mail.docx", "A 41381-2022")</f>
        <v/>
      </c>
    </row>
    <row r="444" ht="15" customHeight="1">
      <c r="A444" t="inlineStr">
        <is>
          <t>A 20021-2026</t>
        </is>
      </c>
      <c r="B444" t="inlineStr">
        <is>
          <t>avverkningsanmälan</t>
        </is>
      </c>
      <c r="C444" t="inlineStr">
        <is>
          <t>Föryngringsavverkning</t>
        </is>
      </c>
      <c r="D444" s="1" t="n">
        <v>46136</v>
      </c>
      <c r="E444" s="1" t="n">
        <v>46292</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61174-2024</t>
        </is>
      </c>
      <c r="B445" t="inlineStr">
        <is>
          <t>avverkningsanmälan</t>
        </is>
      </c>
      <c r="C445" t="inlineStr">
        <is>
          <t>Föryngringsavverkning</t>
        </is>
      </c>
      <c r="D445" s="1" t="n">
        <v>45645</v>
      </c>
      <c r="E445" s="1" t="n">
        <v>46292</v>
      </c>
      <c r="F445" t="inlineStr">
        <is>
          <t>VÄSTERNORRLANDS LÄN</t>
        </is>
      </c>
      <c r="G445" t="inlineStr">
        <is>
          <t>KRAMFORS</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61176-2024</t>
        </is>
      </c>
      <c r="B446" t="inlineStr">
        <is>
          <t>avverkningsanmälan</t>
        </is>
      </c>
      <c r="C446" t="inlineStr">
        <is>
          <t>Föryngringsavverkning</t>
        </is>
      </c>
      <c r="D446" s="1" t="n">
        <v>45645</v>
      </c>
      <c r="E446" s="1" t="n">
        <v>46292</v>
      </c>
      <c r="F446" t="inlineStr">
        <is>
          <t>VÄSTERNORRLANDS LÄN</t>
        </is>
      </c>
      <c r="G446" t="inlineStr">
        <is>
          <t>KRAMFORS</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60156-2025</t>
        </is>
      </c>
      <c r="B447" t="inlineStr">
        <is>
          <t>avverkningsanmälan</t>
        </is>
      </c>
      <c r="C447" t="inlineStr">
        <is>
          <t>Föryngringsavverkning</t>
        </is>
      </c>
      <c r="D447" s="1" t="n">
        <v>45994</v>
      </c>
      <c r="E447" s="1" t="n">
        <v>46292</v>
      </c>
      <c r="F447" t="inlineStr">
        <is>
          <t>VÄSTERNORRLANDS LÄN</t>
        </is>
      </c>
      <c r="G447" t="inlineStr">
        <is>
          <t>KRAMFORS</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37307-2025</t>
        </is>
      </c>
      <c r="B448" t="inlineStr">
        <is>
          <t>avverkningsanmälan</t>
        </is>
      </c>
      <c r="C448" t="inlineStr">
        <is>
          <t>Föryngringsavverkning</t>
        </is>
      </c>
      <c r="D448" s="1" t="n">
        <v>45876</v>
      </c>
      <c r="E448" s="1" t="n">
        <v>46292</v>
      </c>
      <c r="F448" t="inlineStr">
        <is>
          <t>VÄSTERNORRLANDS LÄN</t>
        </is>
      </c>
      <c r="G448" t="inlineStr">
        <is>
          <t>KRAMFORS</t>
        </is>
      </c>
      <c r="I448" t="n">
        <v>8.199999999999999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19708-2025</t>
        </is>
      </c>
      <c r="B449" t="inlineStr">
        <is>
          <t>avverkningsanmälan</t>
        </is>
      </c>
      <c r="C449" t="inlineStr">
        <is>
          <t>Avverkning för annat ändamål</t>
        </is>
      </c>
      <c r="D449" s="1" t="n">
        <v>45771</v>
      </c>
      <c r="E449" s="1" t="n">
        <v>46292</v>
      </c>
      <c r="F449" t="inlineStr">
        <is>
          <t>VÄSTERNORRLANDS LÄN</t>
        </is>
      </c>
      <c r="G449" t="inlineStr">
        <is>
          <t>KRAMFORS</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53329-2025</t>
        </is>
      </c>
      <c r="B450" t="inlineStr">
        <is>
          <t>avverkningsanmälan</t>
        </is>
      </c>
      <c r="C450" t="inlineStr">
        <is>
          <t>Föryngringsavverkning</t>
        </is>
      </c>
      <c r="D450" s="1" t="n">
        <v>45959</v>
      </c>
      <c r="E450" s="1" t="n">
        <v>46292</v>
      </c>
      <c r="F450" t="inlineStr">
        <is>
          <t>VÄSTERNORRLANDS LÄN</t>
        </is>
      </c>
      <c r="G450" t="inlineStr">
        <is>
          <t>KRAMFORS</t>
        </is>
      </c>
      <c r="I450" t="n">
        <v>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46292</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40514-2025</t>
        </is>
      </c>
      <c r="B452" t="inlineStr">
        <is>
          <t>avverkningsanmälan</t>
        </is>
      </c>
      <c r="C452" t="inlineStr">
        <is>
          <t>Föryngringsavverkning</t>
        </is>
      </c>
      <c r="D452" s="1" t="n">
        <v>45896</v>
      </c>
      <c r="E452" s="1" t="n">
        <v>46292</v>
      </c>
      <c r="F452" t="inlineStr">
        <is>
          <t>VÄSTERNORRLANDS LÄN</t>
        </is>
      </c>
      <c r="G452" t="inlineStr">
        <is>
          <t>KRAMFORS</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8946-2026</t>
        </is>
      </c>
      <c r="B453" t="inlineStr">
        <is>
          <t>avverkningsanmälan</t>
        </is>
      </c>
      <c r="C453" t="inlineStr">
        <is>
          <t>Föryngringsavverkning</t>
        </is>
      </c>
      <c r="D453" s="1" t="n">
        <v>46069</v>
      </c>
      <c r="E453" s="1" t="n">
        <v>46292</v>
      </c>
      <c r="F453" t="inlineStr">
        <is>
          <t>VÄSTERNORRLANDS LÄN</t>
        </is>
      </c>
      <c r="G453" t="inlineStr">
        <is>
          <t>KRAMFORS</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18604-2024</t>
        </is>
      </c>
      <c r="B454" t="inlineStr">
        <is>
          <t>avverkningsanmälan</t>
        </is>
      </c>
      <c r="C454" t="inlineStr">
        <is>
          <t>Föryngringsavverkning</t>
        </is>
      </c>
      <c r="D454" s="1" t="n">
        <v>45425</v>
      </c>
      <c r="E454" s="1" t="n">
        <v>46292</v>
      </c>
      <c r="F454" t="inlineStr">
        <is>
          <t>VÄSTERNORRLANDS LÄN</t>
        </is>
      </c>
      <c r="G454" t="inlineStr">
        <is>
          <t>KRAMFORS</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31071-2022</t>
        </is>
      </c>
      <c r="B455" t="inlineStr">
        <is>
          <t>avverkningsanmälan</t>
        </is>
      </c>
      <c r="C455" t="inlineStr">
        <is>
          <t>Föryngringsavverkning</t>
        </is>
      </c>
      <c r="D455" s="1" t="n">
        <v>44769</v>
      </c>
      <c r="E455" s="1" t="n">
        <v>46292</v>
      </c>
      <c r="F455" t="inlineStr">
        <is>
          <t>VÄSTERNORRLANDS LÄN</t>
        </is>
      </c>
      <c r="G455" t="inlineStr">
        <is>
          <t>KRAMFORS</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15820-2026</t>
        </is>
      </c>
      <c r="B456" t="inlineStr">
        <is>
          <t>avverkningsanmälan</t>
        </is>
      </c>
      <c r="C456" t="inlineStr">
        <is>
          <t>Föryngringsavverkning</t>
        </is>
      </c>
      <c r="D456" s="1" t="n">
        <v>46107</v>
      </c>
      <c r="E456" s="1" t="n">
        <v>46292</v>
      </c>
      <c r="F456" t="inlineStr">
        <is>
          <t>VÄSTERNORRLANDS LÄN</t>
        </is>
      </c>
      <c r="G456" t="inlineStr">
        <is>
          <t>KRAMFORS</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46822-2023</t>
        </is>
      </c>
      <c r="B457" t="inlineStr">
        <is>
          <t>avverkningsanmälan</t>
        </is>
      </c>
      <c r="C457" t="inlineStr">
        <is>
          <t>Föryngringsavverkning</t>
        </is>
      </c>
      <c r="D457" s="1" t="n">
        <v>45198</v>
      </c>
      <c r="E457" s="1" t="n">
        <v>46292</v>
      </c>
      <c r="F457" t="inlineStr">
        <is>
          <t>VÄSTERNORRLANDS LÄN</t>
        </is>
      </c>
      <c r="G457" t="inlineStr">
        <is>
          <t>KRAMFORS</t>
        </is>
      </c>
      <c r="H457" t="inlineStr">
        <is>
          <t>SCA</t>
        </is>
      </c>
      <c r="I457" t="n">
        <v>21.2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42975-2025</t>
        </is>
      </c>
      <c r="B458" t="inlineStr">
        <is>
          <t>avverkningsanmälan</t>
        </is>
      </c>
      <c r="C458" t="inlineStr">
        <is>
          <t>Föryngringsavverkning</t>
        </is>
      </c>
      <c r="D458" s="1" t="n">
        <v>45909</v>
      </c>
      <c r="E458" s="1" t="n">
        <v>46292</v>
      </c>
      <c r="F458" t="inlineStr">
        <is>
          <t>VÄSTERNORRLANDS LÄN</t>
        </is>
      </c>
      <c r="G458" t="inlineStr">
        <is>
          <t>KRAMFORS</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60971-2025</t>
        </is>
      </c>
      <c r="B459" t="inlineStr">
        <is>
          <t>avverkningsanmälan</t>
        </is>
      </c>
      <c r="C459" t="inlineStr">
        <is>
          <t>Föryngringsavverkning</t>
        </is>
      </c>
      <c r="D459" s="1" t="n">
        <v>45999</v>
      </c>
      <c r="E459" s="1" t="n">
        <v>46292</v>
      </c>
      <c r="F459" t="inlineStr">
        <is>
          <t>VÄSTERNORRLANDS LÄN</t>
        </is>
      </c>
      <c r="G459" t="inlineStr">
        <is>
          <t>KRAMFORS</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14870-2025</t>
        </is>
      </c>
      <c r="B460" t="inlineStr">
        <is>
          <t>avverkningsanmälan</t>
        </is>
      </c>
      <c r="C460" t="inlineStr">
        <is>
          <t>Föryngringsavverkning</t>
        </is>
      </c>
      <c r="D460" s="1" t="n">
        <v>45743</v>
      </c>
      <c r="E460" s="1" t="n">
        <v>46292</v>
      </c>
      <c r="F460" t="inlineStr">
        <is>
          <t>VÄSTERNORRLANDS LÄN</t>
        </is>
      </c>
      <c r="G460" t="inlineStr">
        <is>
          <t>KRAMFORS</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60992-2025</t>
        </is>
      </c>
      <c r="B461" t="inlineStr">
        <is>
          <t>avverkningsanmälan</t>
        </is>
      </c>
      <c r="C461" t="inlineStr">
        <is>
          <t>Föryngringsavverkning</t>
        </is>
      </c>
      <c r="D461" s="1" t="n">
        <v>45999</v>
      </c>
      <c r="E461" s="1" t="n">
        <v>46292</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61317-2025</t>
        </is>
      </c>
      <c r="B462" t="inlineStr">
        <is>
          <t>avverkningsanmälan</t>
        </is>
      </c>
      <c r="C462" t="inlineStr">
        <is>
          <t>Föryngringsavverkning</t>
        </is>
      </c>
      <c r="D462" s="1" t="n">
        <v>46000</v>
      </c>
      <c r="E462" s="1" t="n">
        <v>46292</v>
      </c>
      <c r="F462" t="inlineStr">
        <is>
          <t>VÄSTERNORRLANDS LÄN</t>
        </is>
      </c>
      <c r="G462" t="inlineStr">
        <is>
          <t>KRAMFORS</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36523-2023</t>
        </is>
      </c>
      <c r="B463" t="inlineStr">
        <is>
          <t>avverkningsanmälan</t>
        </is>
      </c>
      <c r="C463" t="inlineStr">
        <is>
          <t>Avverkning för annat ändamål</t>
        </is>
      </c>
      <c r="D463" s="1" t="n">
        <v>45153</v>
      </c>
      <c r="E463" s="1" t="n">
        <v>46292</v>
      </c>
      <c r="F463" t="inlineStr">
        <is>
          <t>VÄSTERNORRLANDS LÄN</t>
        </is>
      </c>
      <c r="G463" t="inlineStr">
        <is>
          <t>KRAMFORS</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61425-2025</t>
        </is>
      </c>
      <c r="B464" t="inlineStr">
        <is>
          <t>avverkningsanmälan</t>
        </is>
      </c>
      <c r="C464" t="inlineStr">
        <is>
          <t>Föryngringsavverkning</t>
        </is>
      </c>
      <c r="D464" s="1" t="n">
        <v>46001</v>
      </c>
      <c r="E464" s="1" t="n">
        <v>46292</v>
      </c>
      <c r="F464" t="inlineStr">
        <is>
          <t>VÄSTERNORRLANDS LÄN</t>
        </is>
      </c>
      <c r="G464" t="inlineStr">
        <is>
          <t>KRAMFORS</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61716-2025</t>
        </is>
      </c>
      <c r="B465" t="inlineStr">
        <is>
          <t>avverkningsanmälan</t>
        </is>
      </c>
      <c r="C465" t="inlineStr">
        <is>
          <t>Föryngringsavverkning</t>
        </is>
      </c>
      <c r="D465" s="1" t="n">
        <v>46002</v>
      </c>
      <c r="E465" s="1" t="n">
        <v>46292</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61159-2025</t>
        </is>
      </c>
      <c r="B466" t="inlineStr">
        <is>
          <t>avverkningsanmälan</t>
        </is>
      </c>
      <c r="C466" t="inlineStr">
        <is>
          <t>Föryngringsavverkning</t>
        </is>
      </c>
      <c r="D466" s="1" t="n">
        <v>46000</v>
      </c>
      <c r="E466" s="1" t="n">
        <v>46292</v>
      </c>
      <c r="F466" t="inlineStr">
        <is>
          <t>VÄSTERNORRLANDS LÄN</t>
        </is>
      </c>
      <c r="G466" t="inlineStr">
        <is>
          <t>KRAMFORS</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61318-2025</t>
        </is>
      </c>
      <c r="B467" t="inlineStr">
        <is>
          <t>avverkningsanmälan</t>
        </is>
      </c>
      <c r="C467" t="inlineStr">
        <is>
          <t>Föryngringsavverkning</t>
        </is>
      </c>
      <c r="D467" s="1" t="n">
        <v>46000</v>
      </c>
      <c r="E467" s="1" t="n">
        <v>46292</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40434-2022</t>
        </is>
      </c>
      <c r="B468" t="inlineStr">
        <is>
          <t>avverkningsanmälan</t>
        </is>
      </c>
      <c r="C468" t="inlineStr">
        <is>
          <t>Föryngringsavverkning</t>
        </is>
      </c>
      <c r="D468" s="1" t="n">
        <v>44819</v>
      </c>
      <c r="E468" s="1" t="n">
        <v>46292</v>
      </c>
      <c r="F468" t="inlineStr">
        <is>
          <t>VÄSTERNORRLANDS LÄN</t>
        </is>
      </c>
      <c r="G468" t="inlineStr">
        <is>
          <t>KRAMFORS</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7938-2022</t>
        </is>
      </c>
      <c r="B469" t="inlineStr">
        <is>
          <t>avverkningsanmälan</t>
        </is>
      </c>
      <c r="C469" t="inlineStr">
        <is>
          <t>Föryngringsavverkning</t>
        </is>
      </c>
      <c r="D469" s="1" t="n">
        <v>44608</v>
      </c>
      <c r="E469" s="1" t="n">
        <v>46292</v>
      </c>
      <c r="F469" t="inlineStr">
        <is>
          <t>VÄSTERNORRLANDS LÄN</t>
        </is>
      </c>
      <c r="G469" t="inlineStr">
        <is>
          <t>KRAMFORS</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17946-2023</t>
        </is>
      </c>
      <c r="B470" t="inlineStr">
        <is>
          <t>avverkningsanmälan</t>
        </is>
      </c>
      <c r="C470" t="inlineStr">
        <is>
          <t>Föryngringsavverkning</t>
        </is>
      </c>
      <c r="D470" s="1" t="n">
        <v>45040</v>
      </c>
      <c r="E470" s="1" t="n">
        <v>46292</v>
      </c>
      <c r="F470" t="inlineStr">
        <is>
          <t>VÄSTERNORRLANDS LÄN</t>
        </is>
      </c>
      <c r="G470" t="inlineStr">
        <is>
          <t>KRAMFORS</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50139-2025</t>
        </is>
      </c>
      <c r="B471" t="inlineStr">
        <is>
          <t>avverkningsanmälan</t>
        </is>
      </c>
      <c r="C471" t="inlineStr">
        <is>
          <t>Föryngringsavverkning</t>
        </is>
      </c>
      <c r="D471" s="1" t="n">
        <v>45943</v>
      </c>
      <c r="E471" s="1" t="n">
        <v>46292</v>
      </c>
      <c r="F471" t="inlineStr">
        <is>
          <t>VÄSTERNORRLANDS LÄN</t>
        </is>
      </c>
      <c r="G471" t="inlineStr">
        <is>
          <t>KRAMFORS</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9241-2025</t>
        </is>
      </c>
      <c r="B472" t="inlineStr">
        <is>
          <t>avverkningsanmälan</t>
        </is>
      </c>
      <c r="C472" t="inlineStr">
        <is>
          <t>Föryngringsavverkning</t>
        </is>
      </c>
      <c r="D472" s="1" t="n">
        <v>45714</v>
      </c>
      <c r="E472" s="1" t="n">
        <v>46292</v>
      </c>
      <c r="F472" t="inlineStr">
        <is>
          <t>VÄSTERNORRLANDS LÄN</t>
        </is>
      </c>
      <c r="G472" t="inlineStr">
        <is>
          <t>KRAMFORS</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20454-2026</t>
        </is>
      </c>
      <c r="B473" t="inlineStr">
        <is>
          <t>avverkningsanmälan</t>
        </is>
      </c>
      <c r="C473" t="inlineStr">
        <is>
          <t>Föryngringsavverkning</t>
        </is>
      </c>
      <c r="D473" s="1" t="n">
        <v>46140</v>
      </c>
      <c r="E473" s="1" t="n">
        <v>46292</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56058-2025</t>
        </is>
      </c>
      <c r="B474" t="inlineStr">
        <is>
          <t>avverkningsanmälan</t>
        </is>
      </c>
      <c r="C474" t="inlineStr">
        <is>
          <t>Föryngringsavverkning</t>
        </is>
      </c>
      <c r="D474" s="1" t="n">
        <v>45973</v>
      </c>
      <c r="E474" s="1" t="n">
        <v>46292</v>
      </c>
      <c r="F474" t="inlineStr">
        <is>
          <t>VÄSTERNORRLANDS LÄN</t>
        </is>
      </c>
      <c r="G474" t="inlineStr">
        <is>
          <t>KRAMFORS</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29148-2025</t>
        </is>
      </c>
      <c r="B475" t="inlineStr">
        <is>
          <t>avverkningsanmälan</t>
        </is>
      </c>
      <c r="C475" t="inlineStr">
        <is>
          <t>Föryngringsavverkning</t>
        </is>
      </c>
      <c r="D475" s="1" t="n">
        <v>45821</v>
      </c>
      <c r="E475" s="1" t="n">
        <v>46292</v>
      </c>
      <c r="F475" t="inlineStr">
        <is>
          <t>VÄSTERNORRLANDS LÄN</t>
        </is>
      </c>
      <c r="G475" t="inlineStr">
        <is>
          <t>KRAMFORS</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28423-2025</t>
        </is>
      </c>
      <c r="B476" t="inlineStr">
        <is>
          <t>avverkningsanmälan</t>
        </is>
      </c>
      <c r="C476" t="inlineStr">
        <is>
          <t>Föryngringsavverkning</t>
        </is>
      </c>
      <c r="D476" s="1" t="n">
        <v>45819</v>
      </c>
      <c r="E476" s="1" t="n">
        <v>46292</v>
      </c>
      <c r="F476" t="inlineStr">
        <is>
          <t>VÄSTERNORRLANDS LÄN</t>
        </is>
      </c>
      <c r="G476" t="inlineStr">
        <is>
          <t>KRAMFORS</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28114-2024</t>
        </is>
      </c>
      <c r="B477" t="inlineStr">
        <is>
          <t>avverkningsanmälan</t>
        </is>
      </c>
      <c r="C477" t="inlineStr">
        <is>
          <t>Föryngringsavverkning</t>
        </is>
      </c>
      <c r="D477" s="1" t="n">
        <v>45476</v>
      </c>
      <c r="E477" s="1" t="n">
        <v>46292</v>
      </c>
      <c r="F477" t="inlineStr">
        <is>
          <t>VÄSTERNORRLANDS LÄN</t>
        </is>
      </c>
      <c r="G477" t="inlineStr">
        <is>
          <t>KRAMFORS</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4159-2025</t>
        </is>
      </c>
      <c r="B478" t="inlineStr">
        <is>
          <t>avverkningsanmälan</t>
        </is>
      </c>
      <c r="C478" t="inlineStr">
        <is>
          <t>Föryngringsavverkning</t>
        </is>
      </c>
      <c r="D478" s="1" t="n">
        <v>45685</v>
      </c>
      <c r="E478" s="1" t="n">
        <v>46292</v>
      </c>
      <c r="F478" t="inlineStr">
        <is>
          <t>VÄSTERNORRLANDS LÄN</t>
        </is>
      </c>
      <c r="G478" t="inlineStr">
        <is>
          <t>KRAMFORS</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4160-2025</t>
        </is>
      </c>
      <c r="B479" t="inlineStr">
        <is>
          <t>avverkningsanmälan</t>
        </is>
      </c>
      <c r="C479" t="inlineStr">
        <is>
          <t>Föryngringsavverkning</t>
        </is>
      </c>
      <c r="D479" s="1" t="n">
        <v>45685</v>
      </c>
      <c r="E479" s="1" t="n">
        <v>46292</v>
      </c>
      <c r="F479" t="inlineStr">
        <is>
          <t>VÄSTERNORRLANDS LÄN</t>
        </is>
      </c>
      <c r="G479" t="inlineStr">
        <is>
          <t>KRAMFORS</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62821-2025</t>
        </is>
      </c>
      <c r="B480" t="inlineStr">
        <is>
          <t>avverkningsanmälan</t>
        </is>
      </c>
      <c r="C480" t="inlineStr">
        <is>
          <t>Föryngringsavverkning</t>
        </is>
      </c>
      <c r="D480" s="1" t="n">
        <v>46008</v>
      </c>
      <c r="E480" s="1" t="n">
        <v>46292</v>
      </c>
      <c r="F480" t="inlineStr">
        <is>
          <t>VÄSTERNORRLANDS LÄN</t>
        </is>
      </c>
      <c r="G480" t="inlineStr">
        <is>
          <t>KRAMFORS</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62834-2025</t>
        </is>
      </c>
      <c r="B481" t="inlineStr">
        <is>
          <t>avverkningsanmälan</t>
        </is>
      </c>
      <c r="C481" t="inlineStr">
        <is>
          <t>Föryngringsavverkning</t>
        </is>
      </c>
      <c r="D481" s="1" t="n">
        <v>46008</v>
      </c>
      <c r="E481" s="1" t="n">
        <v>46292</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62474-2025</t>
        </is>
      </c>
      <c r="B482" t="inlineStr">
        <is>
          <t>avverkningsanmälan</t>
        </is>
      </c>
      <c r="C482" t="inlineStr">
        <is>
          <t>Föryngringsavverkning</t>
        </is>
      </c>
      <c r="D482" s="1" t="n">
        <v>46007</v>
      </c>
      <c r="E482" s="1" t="n">
        <v>46292</v>
      </c>
      <c r="F482" t="inlineStr">
        <is>
          <t>VÄSTERNORRLANDS LÄN</t>
        </is>
      </c>
      <c r="G482" t="inlineStr">
        <is>
          <t>KRAMFORS</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62627-2025</t>
        </is>
      </c>
      <c r="B483" t="inlineStr">
        <is>
          <t>avverkningsanmälan</t>
        </is>
      </c>
      <c r="C483" t="inlineStr">
        <is>
          <t>Föryngringsavverkning</t>
        </is>
      </c>
      <c r="D483" s="1" t="n">
        <v>46008</v>
      </c>
      <c r="E483" s="1" t="n">
        <v>46292</v>
      </c>
      <c r="F483" t="inlineStr">
        <is>
          <t>VÄSTERNORRLANDS LÄN</t>
        </is>
      </c>
      <c r="G483" t="inlineStr">
        <is>
          <t>KRAMFORS</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62650-2025</t>
        </is>
      </c>
      <c r="B484" t="inlineStr">
        <is>
          <t>avverkningsanmälan</t>
        </is>
      </c>
      <c r="C484" t="inlineStr">
        <is>
          <t>Föryngringsavverkning</t>
        </is>
      </c>
      <c r="D484" s="1" t="n">
        <v>46008</v>
      </c>
      <c r="E484" s="1" t="n">
        <v>46292</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37148-2025</t>
        </is>
      </c>
      <c r="B485" t="inlineStr">
        <is>
          <t>avverkningsanmälan</t>
        </is>
      </c>
      <c r="C485" t="inlineStr">
        <is>
          <t>Föryngringsavverkning</t>
        </is>
      </c>
      <c r="D485" s="1" t="n">
        <v>45875</v>
      </c>
      <c r="E485" s="1" t="n">
        <v>46292</v>
      </c>
      <c r="F485" t="inlineStr">
        <is>
          <t>VÄSTERNORRLANDS LÄN</t>
        </is>
      </c>
      <c r="G485" t="inlineStr">
        <is>
          <t>KRAMFORS</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18643-2025</t>
        </is>
      </c>
      <c r="B486" t="inlineStr">
        <is>
          <t>avverkningsanmälan</t>
        </is>
      </c>
      <c r="C486" t="inlineStr">
        <is>
          <t>Föryngringsavverkning</t>
        </is>
      </c>
      <c r="D486" s="1" t="n">
        <v>45763</v>
      </c>
      <c r="E486" s="1" t="n">
        <v>46292</v>
      </c>
      <c r="F486" t="inlineStr">
        <is>
          <t>VÄSTERNORRLANDS LÄN</t>
        </is>
      </c>
      <c r="G486" t="inlineStr">
        <is>
          <t>KRAMFORS</t>
        </is>
      </c>
      <c r="H486" t="inlineStr">
        <is>
          <t>SCA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62381-2025</t>
        </is>
      </c>
      <c r="B487" t="inlineStr">
        <is>
          <t>avverkningsanmälan</t>
        </is>
      </c>
      <c r="C487" t="inlineStr">
        <is>
          <t>Föryngringsavverkning</t>
        </is>
      </c>
      <c r="D487" s="1" t="n">
        <v>46007</v>
      </c>
      <c r="E487" s="1" t="n">
        <v>46292</v>
      </c>
      <c r="F487" t="inlineStr">
        <is>
          <t>VÄSTERNORRLANDS LÄN</t>
        </is>
      </c>
      <c r="G487" t="inlineStr">
        <is>
          <t>KRAMFORS</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62822-2025</t>
        </is>
      </c>
      <c r="B488" t="inlineStr">
        <is>
          <t>avverkningsanmälan</t>
        </is>
      </c>
      <c r="C488" t="inlineStr">
        <is>
          <t>Föryngringsavverkning</t>
        </is>
      </c>
      <c r="D488" s="1" t="n">
        <v>46008</v>
      </c>
      <c r="E488" s="1" t="n">
        <v>46292</v>
      </c>
      <c r="F488" t="inlineStr">
        <is>
          <t>VÄSTERNORRLANDS LÄN</t>
        </is>
      </c>
      <c r="G488" t="inlineStr">
        <is>
          <t>KRAMFORS</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62823-2025</t>
        </is>
      </c>
      <c r="B489" t="inlineStr">
        <is>
          <t>avverkningsanmälan</t>
        </is>
      </c>
      <c r="C489" t="inlineStr">
        <is>
          <t>Föryngringsavverkning</t>
        </is>
      </c>
      <c r="D489" s="1" t="n">
        <v>46008</v>
      </c>
      <c r="E489" s="1" t="n">
        <v>46292</v>
      </c>
      <c r="F489" t="inlineStr">
        <is>
          <t>VÄSTERNORRLANDS LÄN</t>
        </is>
      </c>
      <c r="G489" t="inlineStr">
        <is>
          <t>KRAMFORS</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62711-2025</t>
        </is>
      </c>
      <c r="B490" t="inlineStr">
        <is>
          <t>avverkningsanmälan</t>
        </is>
      </c>
      <c r="C490" t="inlineStr">
        <is>
          <t>Föryngringsavverkning</t>
        </is>
      </c>
      <c r="D490" s="1" t="n">
        <v>46008</v>
      </c>
      <c r="E490" s="1" t="n">
        <v>46292</v>
      </c>
      <c r="F490" t="inlineStr">
        <is>
          <t>VÄSTERNORRLANDS LÄN</t>
        </is>
      </c>
      <c r="G490" t="inlineStr">
        <is>
          <t>KRAMFORS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13926-2023</t>
        </is>
      </c>
      <c r="B491" t="inlineStr">
        <is>
          <t>avverkningsanmälan</t>
        </is>
      </c>
      <c r="C491" t="inlineStr">
        <is>
          <t>Föryngringsavverkning</t>
        </is>
      </c>
      <c r="D491" s="1" t="n">
        <v>45008</v>
      </c>
      <c r="E491" s="1" t="n">
        <v>46292</v>
      </c>
      <c r="F491" t="inlineStr">
        <is>
          <t>VÄSTERNORRLANDS LÄN</t>
        </is>
      </c>
      <c r="G491" t="inlineStr">
        <is>
          <t>KRAMFORS</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63091-2025</t>
        </is>
      </c>
      <c r="B492" t="inlineStr">
        <is>
          <t>avverkningsanmälan</t>
        </is>
      </c>
      <c r="C492" t="inlineStr">
        <is>
          <t>Föryngringsavverkning</t>
        </is>
      </c>
      <c r="D492" s="1" t="n">
        <v>46009</v>
      </c>
      <c r="E492" s="1" t="n">
        <v>46292</v>
      </c>
      <c r="F492" t="inlineStr">
        <is>
          <t>VÄSTERNORRLANDS LÄN</t>
        </is>
      </c>
      <c r="G492" t="inlineStr">
        <is>
          <t>KRAMFORS</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48046-2022</t>
        </is>
      </c>
      <c r="B493" t="inlineStr">
        <is>
          <t>avverkningsanmälan</t>
        </is>
      </c>
      <c r="C493" t="inlineStr">
        <is>
          <t>Föryngringsavverkning</t>
        </is>
      </c>
      <c r="D493" s="1" t="n">
        <v>44855</v>
      </c>
      <c r="E493" s="1" t="n">
        <v>46292</v>
      </c>
      <c r="F493" t="inlineStr">
        <is>
          <t>VÄSTERNORRLANDS LÄN</t>
        </is>
      </c>
      <c r="G493" t="inlineStr">
        <is>
          <t>KRAMFORS</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63090-2025</t>
        </is>
      </c>
      <c r="B494" t="inlineStr">
        <is>
          <t>avverkningsanmälan</t>
        </is>
      </c>
      <c r="C494" t="inlineStr">
        <is>
          <t>Föryngringsavverkning</t>
        </is>
      </c>
      <c r="D494" s="1" t="n">
        <v>46009</v>
      </c>
      <c r="E494" s="1" t="n">
        <v>46292</v>
      </c>
      <c r="F494" t="inlineStr">
        <is>
          <t>VÄSTERNORRLANDS LÄN</t>
        </is>
      </c>
      <c r="G494" t="inlineStr">
        <is>
          <t>KRAMFORS</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63099-2025</t>
        </is>
      </c>
      <c r="B495" t="inlineStr">
        <is>
          <t>avverkningsanmälan</t>
        </is>
      </c>
      <c r="C495" t="inlineStr">
        <is>
          <t>Föryngringsavverkning</t>
        </is>
      </c>
      <c r="D495" s="1" t="n">
        <v>46009</v>
      </c>
      <c r="E495" s="1" t="n">
        <v>46292</v>
      </c>
      <c r="F495" t="inlineStr">
        <is>
          <t>VÄSTERNORRLANDS LÄN</t>
        </is>
      </c>
      <c r="G495" t="inlineStr">
        <is>
          <t>KRAMFORS</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62926-2025</t>
        </is>
      </c>
      <c r="B496" t="inlineStr">
        <is>
          <t>avverkningsanmälan</t>
        </is>
      </c>
      <c r="C496" t="inlineStr">
        <is>
          <t>Föryngringsavverkning</t>
        </is>
      </c>
      <c r="D496" s="1" t="n">
        <v>46009</v>
      </c>
      <c r="E496" s="1" t="n">
        <v>46292</v>
      </c>
      <c r="F496" t="inlineStr">
        <is>
          <t>VÄSTERNORRLANDS LÄN</t>
        </is>
      </c>
      <c r="G496" t="inlineStr">
        <is>
          <t>KRAMFORS</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62911-2025</t>
        </is>
      </c>
      <c r="B497" t="inlineStr">
        <is>
          <t>avverkningsanmälan</t>
        </is>
      </c>
      <c r="C497" t="inlineStr">
        <is>
          <t>Föryngringsavverkning</t>
        </is>
      </c>
      <c r="D497" s="1" t="n">
        <v>46009</v>
      </c>
      <c r="E497" s="1" t="n">
        <v>46292</v>
      </c>
      <c r="F497" t="inlineStr">
        <is>
          <t>VÄSTERNORRLANDS LÄN</t>
        </is>
      </c>
      <c r="G497" t="inlineStr">
        <is>
          <t>KRAMFORS</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345-2025</t>
        </is>
      </c>
      <c r="B498" t="inlineStr">
        <is>
          <t>avverkningsanmälan</t>
        </is>
      </c>
      <c r="C498" t="inlineStr">
        <is>
          <t>Föryngringsavverkning</t>
        </is>
      </c>
      <c r="D498" s="1" t="n">
        <v>45660</v>
      </c>
      <c r="E498" s="1" t="n">
        <v>46292</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37867-2024</t>
        </is>
      </c>
      <c r="B499" t="inlineStr">
        <is>
          <t>avverkningsanmälan</t>
        </is>
      </c>
      <c r="C499" t="inlineStr">
        <is>
          <t>Föryngringsavverkning</t>
        </is>
      </c>
      <c r="D499" s="1" t="n">
        <v>45544</v>
      </c>
      <c r="E499" s="1" t="n">
        <v>46292</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29285-2024</t>
        </is>
      </c>
      <c r="B500" t="inlineStr">
        <is>
          <t>avverkningsanmälan</t>
        </is>
      </c>
      <c r="C500" t="inlineStr">
        <is>
          <t>Avverkning för annat ändamål</t>
        </is>
      </c>
      <c r="D500" s="1" t="n">
        <v>45483</v>
      </c>
      <c r="E500" s="1" t="n">
        <v>46292</v>
      </c>
      <c r="F500" t="inlineStr">
        <is>
          <t>VÄSTERNORRLANDS LÄN</t>
        </is>
      </c>
      <c r="G500" t="inlineStr">
        <is>
          <t>KRAMFORS</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42063-2022</t>
        </is>
      </c>
      <c r="B501" t="inlineStr">
        <is>
          <t>avverkningsanmälan</t>
        </is>
      </c>
      <c r="C501" t="inlineStr">
        <is>
          <t>Föryngringsavverkning</t>
        </is>
      </c>
      <c r="D501" s="1" t="n">
        <v>44830</v>
      </c>
      <c r="E501" s="1" t="n">
        <v>46292</v>
      </c>
      <c r="F501" t="inlineStr">
        <is>
          <t>VÄSTERNORRLANDS LÄN</t>
        </is>
      </c>
      <c r="G501" t="inlineStr">
        <is>
          <t>KRAMFORS</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27549-2025</t>
        </is>
      </c>
      <c r="B502" t="inlineStr">
        <is>
          <t>avverkningsanmälan</t>
        </is>
      </c>
      <c r="C502" t="inlineStr">
        <is>
          <t>Föryngringsavverkning</t>
        </is>
      </c>
      <c r="D502" s="1" t="n">
        <v>45813</v>
      </c>
      <c r="E502" s="1" t="n">
        <v>46292</v>
      </c>
      <c r="F502" t="inlineStr">
        <is>
          <t>VÄSTERNORRLANDS LÄN</t>
        </is>
      </c>
      <c r="G502" t="inlineStr">
        <is>
          <t>KRAMFORS</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12106-2025</t>
        </is>
      </c>
      <c r="B503" t="inlineStr">
        <is>
          <t>avverkningsanmälan</t>
        </is>
      </c>
      <c r="C503" t="inlineStr">
        <is>
          <t>Föryngringsavverkning</t>
        </is>
      </c>
      <c r="D503" s="1" t="n">
        <v>45729</v>
      </c>
      <c r="E503" s="1" t="n">
        <v>46292</v>
      </c>
      <c r="F503" t="inlineStr">
        <is>
          <t>VÄSTERNORRLANDS LÄN</t>
        </is>
      </c>
      <c r="G503" t="inlineStr">
        <is>
          <t>KRAMFORS</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51077-2022</t>
        </is>
      </c>
      <c r="B504" t="inlineStr">
        <is>
          <t>avverkningsanmälan</t>
        </is>
      </c>
      <c r="C504" t="inlineStr">
        <is>
          <t>Föryngringsavverkning</t>
        </is>
      </c>
      <c r="D504" s="1" t="n">
        <v>44865</v>
      </c>
      <c r="E504" s="1" t="n">
        <v>46292</v>
      </c>
      <c r="F504" t="inlineStr">
        <is>
          <t>VÄSTERNORRLANDS LÄN</t>
        </is>
      </c>
      <c r="G504" t="inlineStr">
        <is>
          <t>KRAMFORS</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16163-2025</t>
        </is>
      </c>
      <c r="B505" t="inlineStr">
        <is>
          <t>avverkningsanmälan</t>
        </is>
      </c>
      <c r="C505" t="inlineStr">
        <is>
          <t>Föryngringsavverkning</t>
        </is>
      </c>
      <c r="D505" s="1" t="n">
        <v>45750</v>
      </c>
      <c r="E505" s="1" t="n">
        <v>46292</v>
      </c>
      <c r="F505" t="inlineStr">
        <is>
          <t>VÄSTERNORRLANDS LÄN</t>
        </is>
      </c>
      <c r="G505" t="inlineStr">
        <is>
          <t>KRAMFORS</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709-2026</t>
        </is>
      </c>
      <c r="B506" t="inlineStr">
        <is>
          <t>avverkningsanmälan</t>
        </is>
      </c>
      <c r="C506" t="inlineStr">
        <is>
          <t>Föryngringsavverkning</t>
        </is>
      </c>
      <c r="D506" s="1" t="n">
        <v>46029</v>
      </c>
      <c r="E506" s="1" t="n">
        <v>46292</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4144-2025</t>
        </is>
      </c>
      <c r="B507" t="inlineStr">
        <is>
          <t>avverkningsanmälan</t>
        </is>
      </c>
      <c r="C507" t="inlineStr">
        <is>
          <t>Föryngringsavverkning</t>
        </is>
      </c>
      <c r="D507" s="1" t="n">
        <v>45685</v>
      </c>
      <c r="E507" s="1" t="n">
        <v>46292</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33522-2025</t>
        </is>
      </c>
      <c r="B508" t="inlineStr">
        <is>
          <t>avverkningsanmälan</t>
        </is>
      </c>
      <c r="C508" t="inlineStr">
        <is>
          <t>Föryngringsavverkning</t>
        </is>
      </c>
      <c r="D508" s="1" t="n">
        <v>45841</v>
      </c>
      <c r="E508" s="1" t="n">
        <v>46292</v>
      </c>
      <c r="F508" t="inlineStr">
        <is>
          <t>VÄSTERNORRLANDS LÄN</t>
        </is>
      </c>
      <c r="G508" t="inlineStr">
        <is>
          <t>KRAMFORS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8219-2026</t>
        </is>
      </c>
      <c r="B509" t="inlineStr">
        <is>
          <t>avverkningsanmälan</t>
        </is>
      </c>
      <c r="C509" t="inlineStr">
        <is>
          <t>Föryngringsavverkning</t>
        </is>
      </c>
      <c r="D509" s="1" t="n">
        <v>46064</v>
      </c>
      <c r="E509" s="1" t="n">
        <v>46292</v>
      </c>
      <c r="F509" t="inlineStr">
        <is>
          <t>VÄSTERNORRLANDS LÄN</t>
        </is>
      </c>
      <c r="G509" t="inlineStr">
        <is>
          <t>KRAMFORS</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12638-2025</t>
        </is>
      </c>
      <c r="B510" t="inlineStr">
        <is>
          <t>avverkningsanmälan</t>
        </is>
      </c>
      <c r="C510" t="inlineStr">
        <is>
          <t>Föryngringsavverkning</t>
        </is>
      </c>
      <c r="D510" s="1" t="n">
        <v>45733</v>
      </c>
      <c r="E510" s="1" t="n">
        <v>46292</v>
      </c>
      <c r="F510" t="inlineStr">
        <is>
          <t>VÄSTERNORRLANDS LÄN</t>
        </is>
      </c>
      <c r="G510" t="inlineStr">
        <is>
          <t>KRAMFORS</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11574-2026</t>
        </is>
      </c>
      <c r="B511" t="inlineStr">
        <is>
          <t>avverkningsanmälan</t>
        </is>
      </c>
      <c r="C511" t="inlineStr">
        <is>
          <t>Föryngringsavverkning</t>
        </is>
      </c>
      <c r="D511" s="1" t="n">
        <v>46084</v>
      </c>
      <c r="E511" s="1" t="n">
        <v>46292</v>
      </c>
      <c r="F511" t="inlineStr">
        <is>
          <t>VÄSTERNORRLANDS LÄN</t>
        </is>
      </c>
      <c r="G511" t="inlineStr">
        <is>
          <t>KRAMFORS</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53373-2025</t>
        </is>
      </c>
      <c r="B512" t="inlineStr">
        <is>
          <t>avverkningsanmälan</t>
        </is>
      </c>
      <c r="C512" t="inlineStr">
        <is>
          <t>Föryngringsavverkning</t>
        </is>
      </c>
      <c r="D512" s="1" t="n">
        <v>45959</v>
      </c>
      <c r="E512" s="1" t="n">
        <v>46292</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40871-2023</t>
        </is>
      </c>
      <c r="B513" t="inlineStr">
        <is>
          <t>avverkningsanmälan</t>
        </is>
      </c>
      <c r="C513" t="inlineStr">
        <is>
          <t>Föryngringsavverkning</t>
        </is>
      </c>
      <c r="D513" s="1" t="n">
        <v>45173</v>
      </c>
      <c r="E513" s="1" t="n">
        <v>46292</v>
      </c>
      <c r="F513" t="inlineStr">
        <is>
          <t>VÄSTERNORRLANDS LÄN</t>
        </is>
      </c>
      <c r="G513" t="inlineStr">
        <is>
          <t>KRAMFORS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29567-2025</t>
        </is>
      </c>
      <c r="B514" t="inlineStr">
        <is>
          <t>avverkningsanmälan</t>
        </is>
      </c>
      <c r="C514" t="inlineStr">
        <is>
          <t>Föryngringsavverkning</t>
        </is>
      </c>
      <c r="D514" s="1" t="n">
        <v>45825</v>
      </c>
      <c r="E514" s="1" t="n">
        <v>46292</v>
      </c>
      <c r="F514" t="inlineStr">
        <is>
          <t>VÄSTERNORRLANDS LÄN</t>
        </is>
      </c>
      <c r="G514" t="inlineStr">
        <is>
          <t>KRAMFORS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29551-2025</t>
        </is>
      </c>
      <c r="B515" t="inlineStr">
        <is>
          <t>avverkningsanmälan</t>
        </is>
      </c>
      <c r="C515" t="inlineStr">
        <is>
          <t>Föryngringsavverkning</t>
        </is>
      </c>
      <c r="D515" s="1" t="n">
        <v>45825</v>
      </c>
      <c r="E515" s="1" t="n">
        <v>46292</v>
      </c>
      <c r="F515" t="inlineStr">
        <is>
          <t>VÄSTERNORRLANDS LÄN</t>
        </is>
      </c>
      <c r="G515" t="inlineStr">
        <is>
          <t>KRAMFORS</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29552-2025</t>
        </is>
      </c>
      <c r="B516" t="inlineStr">
        <is>
          <t>avverkningsanmälan</t>
        </is>
      </c>
      <c r="C516" t="inlineStr">
        <is>
          <t>Föryngringsavverkning</t>
        </is>
      </c>
      <c r="D516" s="1" t="n">
        <v>45825</v>
      </c>
      <c r="E516" s="1" t="n">
        <v>46292</v>
      </c>
      <c r="F516" t="inlineStr">
        <is>
          <t>VÄSTERNORRLANDS LÄN</t>
        </is>
      </c>
      <c r="G516" t="inlineStr">
        <is>
          <t>KRAMFORS</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29603-2025</t>
        </is>
      </c>
      <c r="B517" t="inlineStr">
        <is>
          <t>avverkningsanmälan</t>
        </is>
      </c>
      <c r="C517" t="inlineStr">
        <is>
          <t>Föryngringsavverkning</t>
        </is>
      </c>
      <c r="D517" s="1" t="n">
        <v>45825</v>
      </c>
      <c r="E517" s="1" t="n">
        <v>46292</v>
      </c>
      <c r="F517" t="inlineStr">
        <is>
          <t>VÄSTERNORRLANDS LÄN</t>
        </is>
      </c>
      <c r="G517" t="inlineStr">
        <is>
          <t>KRAMFORS</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29609-2025</t>
        </is>
      </c>
      <c r="B518" t="inlineStr">
        <is>
          <t>avverkningsanmälan</t>
        </is>
      </c>
      <c r="C518" t="inlineStr">
        <is>
          <t>Föryngringsavverkning</t>
        </is>
      </c>
      <c r="D518" s="1" t="n">
        <v>45825</v>
      </c>
      <c r="E518" s="1" t="n">
        <v>46292</v>
      </c>
      <c r="F518" t="inlineStr">
        <is>
          <t>VÄSTERNORRLANDS LÄN</t>
        </is>
      </c>
      <c r="G518" t="inlineStr">
        <is>
          <t>KRAMFORS</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29679-2025</t>
        </is>
      </c>
      <c r="B519" t="inlineStr">
        <is>
          <t>avverkningsanmälan</t>
        </is>
      </c>
      <c r="C519" t="inlineStr">
        <is>
          <t>Föryngringsavverkning</t>
        </is>
      </c>
      <c r="D519" s="1" t="n">
        <v>45825</v>
      </c>
      <c r="E519" s="1" t="n">
        <v>46292</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2150-2025</t>
        </is>
      </c>
      <c r="B520" t="inlineStr">
        <is>
          <t>avverkningsanmälan</t>
        </is>
      </c>
      <c r="C520" t="inlineStr">
        <is>
          <t>Föryngringsavverkning</t>
        </is>
      </c>
      <c r="D520" s="1" t="n">
        <v>45672</v>
      </c>
      <c r="E520" s="1" t="n">
        <v>46292</v>
      </c>
      <c r="F520" t="inlineStr">
        <is>
          <t>VÄSTERNORRLANDS LÄN</t>
        </is>
      </c>
      <c r="G520" t="inlineStr">
        <is>
          <t>KRAMFORS</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29608-2025</t>
        </is>
      </c>
      <c r="B521" t="inlineStr">
        <is>
          <t>avverkningsanmälan</t>
        </is>
      </c>
      <c r="C521" t="inlineStr">
        <is>
          <t>Föryngringsavverkning</t>
        </is>
      </c>
      <c r="D521" s="1" t="n">
        <v>45825</v>
      </c>
      <c r="E521" s="1" t="n">
        <v>46292</v>
      </c>
      <c r="F521" t="inlineStr">
        <is>
          <t>VÄSTERNORRLANDS LÄN</t>
        </is>
      </c>
      <c r="G521" t="inlineStr">
        <is>
          <t>KRAMFORS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29680-2025</t>
        </is>
      </c>
      <c r="B522" t="inlineStr">
        <is>
          <t>avverkningsanmälan</t>
        </is>
      </c>
      <c r="C522" t="inlineStr">
        <is>
          <t>Föryngringsavverkning</t>
        </is>
      </c>
      <c r="D522" s="1" t="n">
        <v>45825</v>
      </c>
      <c r="E522" s="1" t="n">
        <v>46292</v>
      </c>
      <c r="F522" t="inlineStr">
        <is>
          <t>VÄSTERNORRLANDS LÄN</t>
        </is>
      </c>
      <c r="G522" t="inlineStr">
        <is>
          <t>KRAMFORS</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28175-2025</t>
        </is>
      </c>
      <c r="B523" t="inlineStr">
        <is>
          <t>avverkningsanmälan</t>
        </is>
      </c>
      <c r="C523" t="inlineStr">
        <is>
          <t>Föryngringsavverkning</t>
        </is>
      </c>
      <c r="D523" s="1" t="n">
        <v>45818</v>
      </c>
      <c r="E523" s="1" t="n">
        <v>46292</v>
      </c>
      <c r="F523" t="inlineStr">
        <is>
          <t>VÄSTERNORRLANDS LÄN</t>
        </is>
      </c>
      <c r="G523" t="inlineStr">
        <is>
          <t>KRAMFORS</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39846-2024</t>
        </is>
      </c>
      <c r="B524" t="inlineStr">
        <is>
          <t>avverkningsanmälan</t>
        </is>
      </c>
      <c r="C524" t="inlineStr">
        <is>
          <t>Föryngringsavverkning</t>
        </is>
      </c>
      <c r="D524" s="1" t="n">
        <v>45553</v>
      </c>
      <c r="E524" s="1" t="n">
        <v>46292</v>
      </c>
      <c r="F524" t="inlineStr">
        <is>
          <t>VÄSTERNORRLANDS LÄN</t>
        </is>
      </c>
      <c r="G524" t="inlineStr">
        <is>
          <t>KRAMFORS</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21328-2026</t>
        </is>
      </c>
      <c r="B525" t="inlineStr">
        <is>
          <t>avverkningsanmälan</t>
        </is>
      </c>
      <c r="C525" t="inlineStr">
        <is>
          <t>Föryngringsavverkning</t>
        </is>
      </c>
      <c r="D525" s="1" t="n">
        <v>46142</v>
      </c>
      <c r="E525" s="1" t="n">
        <v>46292</v>
      </c>
      <c r="F525" t="inlineStr">
        <is>
          <t>VÄSTERNORRLANDS LÄN</t>
        </is>
      </c>
      <c r="G525" t="inlineStr">
        <is>
          <t>KRAMFORS</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31140-2024</t>
        </is>
      </c>
      <c r="B526" t="inlineStr">
        <is>
          <t>avverkningsanmälan</t>
        </is>
      </c>
      <c r="C526" t="inlineStr">
        <is>
          <t>Föryngringsavverkning</t>
        </is>
      </c>
      <c r="D526" s="1" t="n">
        <v>45502</v>
      </c>
      <c r="E526" s="1" t="n">
        <v>46292</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29605-2025</t>
        </is>
      </c>
      <c r="B527" t="inlineStr">
        <is>
          <t>avverkningsanmälan</t>
        </is>
      </c>
      <c r="C527" t="inlineStr">
        <is>
          <t>Föryngringsavverkning</t>
        </is>
      </c>
      <c r="D527" s="1" t="n">
        <v>45825</v>
      </c>
      <c r="E527" s="1" t="n">
        <v>46292</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29607-2025</t>
        </is>
      </c>
      <c r="B528" t="inlineStr">
        <is>
          <t>avverkningsanmälan</t>
        </is>
      </c>
      <c r="C528" t="inlineStr">
        <is>
          <t>Föryngringsavverkning</t>
        </is>
      </c>
      <c r="D528" s="1" t="n">
        <v>45825</v>
      </c>
      <c r="E528" s="1" t="n">
        <v>46292</v>
      </c>
      <c r="F528" t="inlineStr">
        <is>
          <t>VÄSTERNORRLANDS LÄN</t>
        </is>
      </c>
      <c r="G528" t="inlineStr">
        <is>
          <t>KRAMFORS</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18917-2023</t>
        </is>
      </c>
      <c r="B529" t="inlineStr">
        <is>
          <t>avverkningsanmälan</t>
        </is>
      </c>
      <c r="C529" t="inlineStr">
        <is>
          <t>Föryngringsavverkning</t>
        </is>
      </c>
      <c r="D529" s="1" t="n">
        <v>45044</v>
      </c>
      <c r="E529" s="1" t="n">
        <v>46292</v>
      </c>
      <c r="F529" t="inlineStr">
        <is>
          <t>VÄSTERNORRLANDS LÄN</t>
        </is>
      </c>
      <c r="G529" t="inlineStr">
        <is>
          <t>KRAMFORS</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59370-2025</t>
        </is>
      </c>
      <c r="B530" t="inlineStr">
        <is>
          <t>avverkningsanmälan</t>
        </is>
      </c>
      <c r="C530" t="inlineStr">
        <is>
          <t>Föryngringsavverkning</t>
        </is>
      </c>
      <c r="D530" s="1" t="n">
        <v>45989</v>
      </c>
      <c r="E530" s="1" t="n">
        <v>46292</v>
      </c>
      <c r="F530" t="inlineStr">
        <is>
          <t>VÄSTERNORRLANDS LÄN</t>
        </is>
      </c>
      <c r="G530" t="inlineStr">
        <is>
          <t>KRAMFORS</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33940-2025</t>
        </is>
      </c>
      <c r="B531" t="inlineStr">
        <is>
          <t>avverkningsanmälan</t>
        </is>
      </c>
      <c r="C531" t="inlineStr">
        <is>
          <t>Föryngringsavverkning</t>
        </is>
      </c>
      <c r="D531" s="1" t="n">
        <v>45842</v>
      </c>
      <c r="E531" s="1" t="n">
        <v>46292</v>
      </c>
      <c r="F531" t="inlineStr">
        <is>
          <t>VÄSTERNORRLANDS LÄN</t>
        </is>
      </c>
      <c r="G531" t="inlineStr">
        <is>
          <t>KRAMFORS</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53326-2025</t>
        </is>
      </c>
      <c r="B532" t="inlineStr">
        <is>
          <t>avverkningsanmälan</t>
        </is>
      </c>
      <c r="C532" t="inlineStr">
        <is>
          <t>Föryngringsavverkning</t>
        </is>
      </c>
      <c r="D532" s="1" t="n">
        <v>45959</v>
      </c>
      <c r="E532" s="1" t="n">
        <v>46292</v>
      </c>
      <c r="F532" t="inlineStr">
        <is>
          <t>VÄSTERNORRLANDS LÄN</t>
        </is>
      </c>
      <c r="G532" t="inlineStr">
        <is>
          <t>KRAMFORS</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27622-2024</t>
        </is>
      </c>
      <c r="B533" t="inlineStr">
        <is>
          <t>avverkningsanmälan</t>
        </is>
      </c>
      <c r="C533" t="inlineStr">
        <is>
          <t>Föryngringsavverkning</t>
        </is>
      </c>
      <c r="D533" s="1" t="n">
        <v>45474</v>
      </c>
      <c r="E533" s="1" t="n">
        <v>46292</v>
      </c>
      <c r="F533" t="inlineStr">
        <is>
          <t>VÄSTERNORRLANDS LÄN</t>
        </is>
      </c>
      <c r="G533" t="inlineStr">
        <is>
          <t>KRAMFORS</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47582-2025</t>
        </is>
      </c>
      <c r="B534" t="inlineStr">
        <is>
          <t>avverkningsanmälan</t>
        </is>
      </c>
      <c r="C534" t="inlineStr">
        <is>
          <t>Föryngringsavverkning</t>
        </is>
      </c>
      <c r="D534" s="1" t="n">
        <v>45931</v>
      </c>
      <c r="E534" s="1" t="n">
        <v>46292</v>
      </c>
      <c r="F534" t="inlineStr">
        <is>
          <t>VÄSTERNORRLANDS LÄN</t>
        </is>
      </c>
      <c r="G534" t="inlineStr">
        <is>
          <t>KRAMFORS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40109-2025</t>
        </is>
      </c>
      <c r="B535" t="inlineStr">
        <is>
          <t>avverkningsanmälan</t>
        </is>
      </c>
      <c r="C535" t="inlineStr">
        <is>
          <t>Föryngringsavverkning</t>
        </is>
      </c>
      <c r="D535" s="1" t="n">
        <v>45894</v>
      </c>
      <c r="E535" s="1" t="n">
        <v>46292</v>
      </c>
      <c r="F535" t="inlineStr">
        <is>
          <t>VÄSTERNORRLANDS LÄN</t>
        </is>
      </c>
      <c r="G535" t="inlineStr">
        <is>
          <t>KRAMFORS</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18618-2025</t>
        </is>
      </c>
      <c r="B536" t="inlineStr">
        <is>
          <t>avverkningsanmälan</t>
        </is>
      </c>
      <c r="C536" t="inlineStr">
        <is>
          <t>Föryngringsavverkning</t>
        </is>
      </c>
      <c r="D536" s="1" t="n">
        <v>45763</v>
      </c>
      <c r="E536" s="1" t="n">
        <v>46292</v>
      </c>
      <c r="F536" t="inlineStr">
        <is>
          <t>VÄSTERNORRLANDS LÄN</t>
        </is>
      </c>
      <c r="G536" t="inlineStr">
        <is>
          <t>KRAMFORS</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37825-2025</t>
        </is>
      </c>
      <c r="B537" t="inlineStr">
        <is>
          <t>avverkningsanmälan</t>
        </is>
      </c>
      <c r="C537" t="inlineStr">
        <is>
          <t>Föryngringsavverkning</t>
        </is>
      </c>
      <c r="D537" s="1" t="n">
        <v>45881</v>
      </c>
      <c r="E537" s="1" t="n">
        <v>46292</v>
      </c>
      <c r="F537" t="inlineStr">
        <is>
          <t>VÄSTERNORRLANDS LÄN</t>
        </is>
      </c>
      <c r="G537" t="inlineStr">
        <is>
          <t>KRAMFORS</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3614-2024</t>
        </is>
      </c>
      <c r="B538" t="inlineStr">
        <is>
          <t>avverkningsanmälan</t>
        </is>
      </c>
      <c r="C538" t="inlineStr">
        <is>
          <t>Föryngringsavverkning</t>
        </is>
      </c>
      <c r="D538" s="1" t="n">
        <v>45320</v>
      </c>
      <c r="E538" s="1" t="n">
        <v>46292</v>
      </c>
      <c r="F538" t="inlineStr">
        <is>
          <t>VÄSTERNORRLANDS LÄN</t>
        </is>
      </c>
      <c r="G538" t="inlineStr">
        <is>
          <t>KRAMFORS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40879-2023</t>
        </is>
      </c>
      <c r="B539" t="inlineStr">
        <is>
          <t>avverkningsanmälan</t>
        </is>
      </c>
      <c r="C539" t="inlineStr">
        <is>
          <t>Föryngringsavverkning</t>
        </is>
      </c>
      <c r="D539" s="1" t="n">
        <v>45173</v>
      </c>
      <c r="E539" s="1" t="n">
        <v>46292</v>
      </c>
      <c r="F539" t="inlineStr">
        <is>
          <t>VÄSTERNORRLANDS LÄN</t>
        </is>
      </c>
      <c r="G539" t="inlineStr">
        <is>
          <t>KRAMFORS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18794-2025</t>
        </is>
      </c>
      <c r="B540" t="inlineStr">
        <is>
          <t>avverkningsanmälan</t>
        </is>
      </c>
      <c r="C540" t="inlineStr">
        <is>
          <t>Föryngringsavverkning</t>
        </is>
      </c>
      <c r="D540" s="1" t="n">
        <v>45764</v>
      </c>
      <c r="E540" s="1" t="n">
        <v>46292</v>
      </c>
      <c r="F540" t="inlineStr">
        <is>
          <t>VÄSTERNORRLANDS LÄN</t>
        </is>
      </c>
      <c r="G540" t="inlineStr">
        <is>
          <t>KRAMFORS</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68615-2021</t>
        </is>
      </c>
      <c r="B541" t="inlineStr">
        <is>
          <t>avverkningsanmälan</t>
        </is>
      </c>
      <c r="C541" t="inlineStr">
        <is>
          <t>Föryngringsavverkning</t>
        </is>
      </c>
      <c r="D541" s="1" t="n">
        <v>44529</v>
      </c>
      <c r="E541" s="1" t="n">
        <v>46292</v>
      </c>
      <c r="F541" t="inlineStr">
        <is>
          <t>VÄSTERNORRLANDS LÄN</t>
        </is>
      </c>
      <c r="G541" t="inlineStr">
        <is>
          <t>KRAMFORS</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21046-2026</t>
        </is>
      </c>
      <c r="B542" t="inlineStr">
        <is>
          <t>avverkningsanmälan</t>
        </is>
      </c>
      <c r="C542" t="inlineStr">
        <is>
          <t>Föryngringsavverkning</t>
        </is>
      </c>
      <c r="D542" s="1" t="n">
        <v>46146</v>
      </c>
      <c r="E542" s="1" t="n">
        <v>46292</v>
      </c>
      <c r="F542" t="inlineStr">
        <is>
          <t>VÄSTERNORRLANDS LÄN</t>
        </is>
      </c>
      <c r="G542" t="inlineStr">
        <is>
          <t>KRAMFORS</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21078-2026</t>
        </is>
      </c>
      <c r="B543" t="inlineStr">
        <is>
          <t>avverkningsanmälan</t>
        </is>
      </c>
      <c r="C543" t="inlineStr">
        <is>
          <t>Föryngringsavverkning</t>
        </is>
      </c>
      <c r="D543" s="1" t="n">
        <v>46146</v>
      </c>
      <c r="E543" s="1" t="n">
        <v>46292</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21065-2026</t>
        </is>
      </c>
      <c r="B544" t="inlineStr">
        <is>
          <t>avverkningsanmälan</t>
        </is>
      </c>
      <c r="C544" t="inlineStr">
        <is>
          <t>Föryngringsavverkning</t>
        </is>
      </c>
      <c r="D544" s="1" t="n">
        <v>46146</v>
      </c>
      <c r="E544" s="1" t="n">
        <v>46292</v>
      </c>
      <c r="F544" t="inlineStr">
        <is>
          <t>VÄSTERNORRLANDS LÄN</t>
        </is>
      </c>
      <c r="G544" t="inlineStr">
        <is>
          <t>KRAMFORS</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9506-2023</t>
        </is>
      </c>
      <c r="B545" t="inlineStr">
        <is>
          <t>avverkningsanmälan</t>
        </is>
      </c>
      <c r="C545" t="inlineStr">
        <is>
          <t>Föryngringsavverkning</t>
        </is>
      </c>
      <c r="D545" s="1" t="n">
        <v>44978</v>
      </c>
      <c r="E545" s="1" t="n">
        <v>46292</v>
      </c>
      <c r="F545" t="inlineStr">
        <is>
          <t>VÄSTERNORRLANDS LÄN</t>
        </is>
      </c>
      <c r="G545" t="inlineStr">
        <is>
          <t>KRAMFORS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30896-2025</t>
        </is>
      </c>
      <c r="B546" t="inlineStr">
        <is>
          <t>avverkningsanmälan</t>
        </is>
      </c>
      <c r="C546" t="inlineStr">
        <is>
          <t>Föryngringsavverkning</t>
        </is>
      </c>
      <c r="D546" s="1" t="n">
        <v>45832</v>
      </c>
      <c r="E546" s="1" t="n">
        <v>46292</v>
      </c>
      <c r="F546" t="inlineStr">
        <is>
          <t>VÄSTERNORRLANDS LÄN</t>
        </is>
      </c>
      <c r="G546" t="inlineStr">
        <is>
          <t>KRAMFORS</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21406-2026</t>
        </is>
      </c>
      <c r="B547" t="inlineStr">
        <is>
          <t>avverkningsanmälan</t>
        </is>
      </c>
      <c r="C547" t="inlineStr">
        <is>
          <t>Avverkning för att bevara och utveckla /försöksver</t>
        </is>
      </c>
      <c r="D547" s="1" t="n">
        <v>46148</v>
      </c>
      <c r="E547" s="1" t="n">
        <v>46292</v>
      </c>
      <c r="F547" t="inlineStr">
        <is>
          <t>VÄSTERNORRLANDS LÄN</t>
        </is>
      </c>
      <c r="G547" t="inlineStr">
        <is>
          <t>KRAMFORS</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21359-2026</t>
        </is>
      </c>
      <c r="B548" t="inlineStr">
        <is>
          <t>avverkningsanmälan</t>
        </is>
      </c>
      <c r="C548" t="inlineStr">
        <is>
          <t>Föryngringsavverkning</t>
        </is>
      </c>
      <c r="D548" s="1" t="n">
        <v>46147</v>
      </c>
      <c r="E548" s="1" t="n">
        <v>46292</v>
      </c>
      <c r="F548" t="inlineStr">
        <is>
          <t>VÄSTERNORRLANDS LÄN</t>
        </is>
      </c>
      <c r="G548" t="inlineStr">
        <is>
          <t>KRAMFORS</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22106-2026</t>
        </is>
      </c>
      <c r="B549" t="inlineStr">
        <is>
          <t>avverkningsanmälan</t>
        </is>
      </c>
      <c r="C549" t="inlineStr">
        <is>
          <t>Föryngringsavverkning</t>
        </is>
      </c>
      <c r="D549" s="1" t="n">
        <v>46149</v>
      </c>
      <c r="E549" s="1" t="n">
        <v>46292</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53920-2022</t>
        </is>
      </c>
      <c r="B550" t="inlineStr">
        <is>
          <t>avverkningsanmälan</t>
        </is>
      </c>
      <c r="C550" t="inlineStr">
        <is>
          <t>Föryngringsavverkning</t>
        </is>
      </c>
      <c r="D550" s="1" t="n">
        <v>44880</v>
      </c>
      <c r="E550" s="1" t="n">
        <v>46292</v>
      </c>
      <c r="F550" t="inlineStr">
        <is>
          <t>VÄSTERNORRLANDS LÄN</t>
        </is>
      </c>
      <c r="G550" t="inlineStr">
        <is>
          <t>KRAMFORS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31356-2025</t>
        </is>
      </c>
      <c r="B551" t="inlineStr">
        <is>
          <t>avverkningsanmälan</t>
        </is>
      </c>
      <c r="C551" t="inlineStr">
        <is>
          <t>Föryngringsavverkning</t>
        </is>
      </c>
      <c r="D551" s="1" t="n">
        <v>45833</v>
      </c>
      <c r="E551" s="1" t="n">
        <v>46292</v>
      </c>
      <c r="F551" t="inlineStr">
        <is>
          <t>VÄSTERNORRLANDS LÄN</t>
        </is>
      </c>
      <c r="G551" t="inlineStr">
        <is>
          <t>KRAMFORS</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2601-2023</t>
        </is>
      </c>
      <c r="B552" t="inlineStr">
        <is>
          <t>avverkningsanmälan</t>
        </is>
      </c>
      <c r="C552" t="inlineStr">
        <is>
          <t>Föryngringsavverkning</t>
        </is>
      </c>
      <c r="D552" s="1" t="n">
        <v>44943</v>
      </c>
      <c r="E552" s="1" t="n">
        <v>46292</v>
      </c>
      <c r="F552" t="inlineStr">
        <is>
          <t>VÄSTERNORRLANDS LÄN</t>
        </is>
      </c>
      <c r="G552" t="inlineStr">
        <is>
          <t>KRAMFORS</t>
        </is>
      </c>
      <c r="H552" t="inlineStr">
        <is>
          <t>SCA</t>
        </is>
      </c>
      <c r="I552" t="n">
        <v>44.5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31341-2025</t>
        </is>
      </c>
      <c r="B553" t="inlineStr">
        <is>
          <t>avverkningsanmälan</t>
        </is>
      </c>
      <c r="C553" t="inlineStr">
        <is>
          <t>Föryngringsavverkning</t>
        </is>
      </c>
      <c r="D553" s="1" t="n">
        <v>45833</v>
      </c>
      <c r="E553" s="1" t="n">
        <v>46292</v>
      </c>
      <c r="F553" t="inlineStr">
        <is>
          <t>VÄSTERNORRLANDS LÄN</t>
        </is>
      </c>
      <c r="G553" t="inlineStr">
        <is>
          <t>KRAMFORS</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31697-2025</t>
        </is>
      </c>
      <c r="B554" t="inlineStr">
        <is>
          <t>avverkningsanmälan</t>
        </is>
      </c>
      <c r="C554" t="inlineStr">
        <is>
          <t>Föryngringsavverkning</t>
        </is>
      </c>
      <c r="D554" s="1" t="n">
        <v>45834</v>
      </c>
      <c r="E554" s="1" t="n">
        <v>46292</v>
      </c>
      <c r="F554" t="inlineStr">
        <is>
          <t>VÄSTERNORRLANDS LÄN</t>
        </is>
      </c>
      <c r="G554" t="inlineStr">
        <is>
          <t>KRAMFORS</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32465-2023</t>
        </is>
      </c>
      <c r="B555" t="inlineStr">
        <is>
          <t>avverkningsanmälan</t>
        </is>
      </c>
      <c r="C555" t="inlineStr">
        <is>
          <t>Föryngringsavverkning</t>
        </is>
      </c>
      <c r="D555" s="1" t="n">
        <v>45120</v>
      </c>
      <c r="E555" s="1" t="n">
        <v>46292</v>
      </c>
      <c r="F555" t="inlineStr">
        <is>
          <t>VÄSTERNORRLANDS LÄN</t>
        </is>
      </c>
      <c r="G555" t="inlineStr">
        <is>
          <t>KRAMFORS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46166-2023</t>
        </is>
      </c>
      <c r="B556" t="inlineStr">
        <is>
          <t>avverkningsanmälan</t>
        </is>
      </c>
      <c r="C556" t="inlineStr">
        <is>
          <t>Föryngringsavverkning</t>
        </is>
      </c>
      <c r="D556" s="1" t="n">
        <v>45190</v>
      </c>
      <c r="E556" s="1" t="n">
        <v>46292</v>
      </c>
      <c r="F556" t="inlineStr">
        <is>
          <t>VÄSTERNORRLANDS LÄN</t>
        </is>
      </c>
      <c r="G556" t="inlineStr">
        <is>
          <t>KRAMFORS</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22064-2026</t>
        </is>
      </c>
      <c r="B557" t="inlineStr">
        <is>
          <t>avverkningsanmälan</t>
        </is>
      </c>
      <c r="C557" t="inlineStr">
        <is>
          <t>Föryngringsavverkning</t>
        </is>
      </c>
      <c r="D557" s="1" t="n">
        <v>46153</v>
      </c>
      <c r="E557" s="1" t="n">
        <v>46292</v>
      </c>
      <c r="F557" t="inlineStr">
        <is>
          <t>VÄSTERNORRLANDS LÄN</t>
        </is>
      </c>
      <c r="G557" t="inlineStr">
        <is>
          <t>KRAMFORS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53431-2025</t>
        </is>
      </c>
      <c r="B558" t="inlineStr">
        <is>
          <t>avverkningsanmälan</t>
        </is>
      </c>
      <c r="C558" t="inlineStr">
        <is>
          <t>Föryngringsavverkning</t>
        </is>
      </c>
      <c r="D558" s="1" t="n">
        <v>45959</v>
      </c>
      <c r="E558" s="1" t="n">
        <v>46292</v>
      </c>
      <c r="F558" t="inlineStr">
        <is>
          <t>VÄSTERNORRLANDS LÄN</t>
        </is>
      </c>
      <c r="G558" t="inlineStr">
        <is>
          <t>KRAMFORS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31606-2022</t>
        </is>
      </c>
      <c r="B559" t="inlineStr">
        <is>
          <t>avverkningsanmälan</t>
        </is>
      </c>
      <c r="C559" t="inlineStr">
        <is>
          <t>Föryngringsavverkning</t>
        </is>
      </c>
      <c r="D559" s="1" t="n">
        <v>44775</v>
      </c>
      <c r="E559" s="1" t="n">
        <v>46292</v>
      </c>
      <c r="F559" t="inlineStr">
        <is>
          <t>VÄSTERNORRLANDS LÄN</t>
        </is>
      </c>
      <c r="G559" t="inlineStr">
        <is>
          <t>KRAMFORS</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7764-2022</t>
        </is>
      </c>
      <c r="B560" t="inlineStr">
        <is>
          <t>avverkningsanmälan</t>
        </is>
      </c>
      <c r="C560" t="inlineStr">
        <is>
          <t>Föryngringsavverkning</t>
        </is>
      </c>
      <c r="D560" s="1" t="n">
        <v>44608</v>
      </c>
      <c r="E560" s="1" t="n">
        <v>46292</v>
      </c>
      <c r="F560" t="inlineStr">
        <is>
          <t>VÄSTERNORRLANDS LÄN</t>
        </is>
      </c>
      <c r="G560" t="inlineStr">
        <is>
          <t>KRAMFORS</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22613-2026</t>
        </is>
      </c>
      <c r="B561" t="inlineStr">
        <is>
          <t>avverkningsanmälan</t>
        </is>
      </c>
      <c r="C561" t="inlineStr">
        <is>
          <t>Föryngringsavverkning</t>
        </is>
      </c>
      <c r="D561" s="1" t="n">
        <v>46155</v>
      </c>
      <c r="E561" s="1" t="n">
        <v>46292</v>
      </c>
      <c r="F561" t="inlineStr">
        <is>
          <t>VÄSTERNORRLANDS LÄN</t>
        </is>
      </c>
      <c r="G561" t="inlineStr">
        <is>
          <t>KRAMFORS</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51313-2025</t>
        </is>
      </c>
      <c r="B562" t="inlineStr">
        <is>
          <t>avverkningsanmälan</t>
        </is>
      </c>
      <c r="C562" t="inlineStr">
        <is>
          <t>Föryngringsavverkning</t>
        </is>
      </c>
      <c r="D562" s="1" t="n">
        <v>45950</v>
      </c>
      <c r="E562" s="1" t="n">
        <v>46292</v>
      </c>
      <c r="F562" t="inlineStr">
        <is>
          <t>VÄSTERNORRLANDS LÄN</t>
        </is>
      </c>
      <c r="G562" t="inlineStr">
        <is>
          <t>KRAMFORS</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22595-2026</t>
        </is>
      </c>
      <c r="B563" t="inlineStr">
        <is>
          <t>avverkningsanmälan</t>
        </is>
      </c>
      <c r="C563" t="inlineStr">
        <is>
          <t>Föryngringsavverkning</t>
        </is>
      </c>
      <c r="D563" s="1" t="n">
        <v>46155</v>
      </c>
      <c r="E563" s="1" t="n">
        <v>46292</v>
      </c>
      <c r="F563" t="inlineStr">
        <is>
          <t>VÄSTERNORRLANDS LÄN</t>
        </is>
      </c>
      <c r="G563" t="inlineStr">
        <is>
          <t>KRAMFORS</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16763-2025</t>
        </is>
      </c>
      <c r="B564" t="inlineStr">
        <is>
          <t>avverkningsanmälan</t>
        </is>
      </c>
      <c r="C564" t="inlineStr">
        <is>
          <t>Föryngringsavverkning</t>
        </is>
      </c>
      <c r="D564" s="1" t="n">
        <v>45754</v>
      </c>
      <c r="E564" s="1" t="n">
        <v>46292</v>
      </c>
      <c r="F564" t="inlineStr">
        <is>
          <t>VÄSTERNORRLANDS LÄN</t>
        </is>
      </c>
      <c r="G564" t="inlineStr">
        <is>
          <t>KRAMFORS</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36034-2023</t>
        </is>
      </c>
      <c r="B565" t="inlineStr">
        <is>
          <t>avverkningsanmälan</t>
        </is>
      </c>
      <c r="C565" t="inlineStr">
        <is>
          <t>Föryngringsavverkning</t>
        </is>
      </c>
      <c r="D565" s="1" t="n">
        <v>45148</v>
      </c>
      <c r="E565" s="1" t="n">
        <v>46292</v>
      </c>
      <c r="F565" t="inlineStr">
        <is>
          <t>VÄSTERNORRLANDS LÄN</t>
        </is>
      </c>
      <c r="G565" t="inlineStr">
        <is>
          <t>KRAMFORS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22612-2026</t>
        </is>
      </c>
      <c r="B566" t="inlineStr">
        <is>
          <t>avverkningsanmälan</t>
        </is>
      </c>
      <c r="C566" t="inlineStr">
        <is>
          <t>Föryngringsavverkning</t>
        </is>
      </c>
      <c r="D566" s="1" t="n">
        <v>46155</v>
      </c>
      <c r="E566" s="1" t="n">
        <v>46292</v>
      </c>
      <c r="F566" t="inlineStr">
        <is>
          <t>VÄSTERNORRLANDS LÄN</t>
        </is>
      </c>
      <c r="G566" t="inlineStr">
        <is>
          <t>KRAMFORS</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44509-2025</t>
        </is>
      </c>
      <c r="B567" t="inlineStr">
        <is>
          <t>avverkningsanmälan</t>
        </is>
      </c>
      <c r="C567" t="inlineStr">
        <is>
          <t>Föryngringsavverkning</t>
        </is>
      </c>
      <c r="D567" s="1" t="n">
        <v>45916</v>
      </c>
      <c r="E567" s="1" t="n">
        <v>46292</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22846-2026</t>
        </is>
      </c>
      <c r="B568" t="inlineStr">
        <is>
          <t>avverkningsanmälan</t>
        </is>
      </c>
      <c r="C568" t="inlineStr">
        <is>
          <t>Föryngringsavverkning</t>
        </is>
      </c>
      <c r="D568" s="1" t="n">
        <v>46160</v>
      </c>
      <c r="E568" s="1" t="n">
        <v>46292</v>
      </c>
      <c r="F568" t="inlineStr">
        <is>
          <t>VÄSTERNORRLANDS LÄN</t>
        </is>
      </c>
      <c r="G568" t="inlineStr">
        <is>
          <t>KRAMFORS</t>
        </is>
      </c>
      <c r="H568" t="inlineStr">
        <is>
          <t>Kommuner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22852-2026</t>
        </is>
      </c>
      <c r="B569" t="inlineStr">
        <is>
          <t>avverkningsanmälan</t>
        </is>
      </c>
      <c r="C569" t="inlineStr">
        <is>
          <t>Föryngringsavverkning</t>
        </is>
      </c>
      <c r="D569" s="1" t="n">
        <v>46160</v>
      </c>
      <c r="E569" s="1" t="n">
        <v>46292</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3191-2025</t>
        </is>
      </c>
      <c r="B570" t="inlineStr">
        <is>
          <t>avverkningsanmälan</t>
        </is>
      </c>
      <c r="C570" t="inlineStr">
        <is>
          <t>Föryngringsavverkning</t>
        </is>
      </c>
      <c r="D570" s="1" t="n">
        <v>45679</v>
      </c>
      <c r="E570" s="1" t="n">
        <v>46292</v>
      </c>
      <c r="F570" t="inlineStr">
        <is>
          <t>VÄSTERNORRLANDS LÄN</t>
        </is>
      </c>
      <c r="G570" t="inlineStr">
        <is>
          <t>KRAMFORS</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8227-2024</t>
        </is>
      </c>
      <c r="B571" t="inlineStr">
        <is>
          <t>avverkningsanmälan</t>
        </is>
      </c>
      <c r="C571" t="inlineStr">
        <is>
          <t>Föryngringsavverkning</t>
        </is>
      </c>
      <c r="D571" s="1" t="n">
        <v>45351</v>
      </c>
      <c r="E571" s="1" t="n">
        <v>46292</v>
      </c>
      <c r="F571" t="inlineStr">
        <is>
          <t>VÄSTERNORRLANDS LÄN</t>
        </is>
      </c>
      <c r="G571" t="inlineStr">
        <is>
          <t>KRAMFORS</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22732-2026</t>
        </is>
      </c>
      <c r="B572" t="inlineStr">
        <is>
          <t>avverkningsanmälan</t>
        </is>
      </c>
      <c r="C572" t="inlineStr">
        <is>
          <t>Föryngringsavverkning</t>
        </is>
      </c>
      <c r="D572" s="1" t="n">
        <v>46157</v>
      </c>
      <c r="E572" s="1" t="n">
        <v>46292</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14149-2024</t>
        </is>
      </c>
      <c r="B573" t="inlineStr">
        <is>
          <t>avverkningsanmälan</t>
        </is>
      </c>
      <c r="C573" t="inlineStr">
        <is>
          <t>Föryngringsavverkning</t>
        </is>
      </c>
      <c r="D573" s="1" t="n">
        <v>45392</v>
      </c>
      <c r="E573" s="1" t="n">
        <v>46292</v>
      </c>
      <c r="F573" t="inlineStr">
        <is>
          <t>VÄSTERNORRLANDS LÄN</t>
        </is>
      </c>
      <c r="G573" t="inlineStr">
        <is>
          <t>KRAMFORS</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40127-2024</t>
        </is>
      </c>
      <c r="B574" t="inlineStr">
        <is>
          <t>avverkningsanmälan</t>
        </is>
      </c>
      <c r="C574" t="inlineStr">
        <is>
          <t>Avverkning för annat ändamål</t>
        </is>
      </c>
      <c r="D574" s="1" t="n">
        <v>45554</v>
      </c>
      <c r="E574" s="1" t="n">
        <v>46292</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7986-2025</t>
        </is>
      </c>
      <c r="B575" t="inlineStr">
        <is>
          <t>avverkningsanmälan</t>
        </is>
      </c>
      <c r="C575" t="inlineStr">
        <is>
          <t>Föryngringsavverkning</t>
        </is>
      </c>
      <c r="D575" s="1" t="n">
        <v>45707</v>
      </c>
      <c r="E575" s="1" t="n">
        <v>46292</v>
      </c>
      <c r="F575" t="inlineStr">
        <is>
          <t>VÄSTERNORRLANDS LÄN</t>
        </is>
      </c>
      <c r="G575" t="inlineStr">
        <is>
          <t>KRAMFORS</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32543-2025</t>
        </is>
      </c>
      <c r="B576" t="inlineStr">
        <is>
          <t>avverkningsanmälan</t>
        </is>
      </c>
      <c r="C576" t="inlineStr">
        <is>
          <t>Föryngringsavverkning</t>
        </is>
      </c>
      <c r="D576" s="1" t="n">
        <v>45838</v>
      </c>
      <c r="E576" s="1" t="n">
        <v>46292</v>
      </c>
      <c r="F576" t="inlineStr">
        <is>
          <t>VÄSTERNORRLANDS LÄN</t>
        </is>
      </c>
      <c r="G576" t="inlineStr">
        <is>
          <t>KRAMFORS</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22972-2026</t>
        </is>
      </c>
      <c r="B577" t="inlineStr">
        <is>
          <t>avverkningsanmälan</t>
        </is>
      </c>
      <c r="C577" t="inlineStr">
        <is>
          <t>Föryngringsavverkning</t>
        </is>
      </c>
      <c r="D577" s="1" t="n">
        <v>46160</v>
      </c>
      <c r="E577" s="1" t="n">
        <v>46292</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14177-2025</t>
        </is>
      </c>
      <c r="B578" t="inlineStr">
        <is>
          <t>avverkningsanmälan</t>
        </is>
      </c>
      <c r="C578" t="inlineStr">
        <is>
          <t>Föryngringsavverkning</t>
        </is>
      </c>
      <c r="D578" s="1" t="n">
        <v>45740</v>
      </c>
      <c r="E578" s="1" t="n">
        <v>46292</v>
      </c>
      <c r="F578" t="inlineStr">
        <is>
          <t>VÄSTERNORRLANDS LÄN</t>
        </is>
      </c>
      <c r="G578" t="inlineStr">
        <is>
          <t>KRAMFORS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61304-2022</t>
        </is>
      </c>
      <c r="B579" t="inlineStr">
        <is>
          <t>avverkningsanmälan</t>
        </is>
      </c>
      <c r="C579" t="inlineStr">
        <is>
          <t>Avverkning för annat ändamål</t>
        </is>
      </c>
      <c r="D579" s="1" t="n">
        <v>44915</v>
      </c>
      <c r="E579" s="1" t="n">
        <v>46292</v>
      </c>
      <c r="F579" t="inlineStr">
        <is>
          <t>VÄSTERNORRLANDS LÄN</t>
        </is>
      </c>
      <c r="G579" t="inlineStr">
        <is>
          <t>KRAMFORS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19855-2024</t>
        </is>
      </c>
      <c r="B580" t="inlineStr">
        <is>
          <t>avverkningsanmälan</t>
        </is>
      </c>
      <c r="C580" t="inlineStr">
        <is>
          <t>Föryngringsavverkning</t>
        </is>
      </c>
      <c r="D580" s="1" t="n">
        <v>45433</v>
      </c>
      <c r="E580" s="1" t="n">
        <v>46292</v>
      </c>
      <c r="F580" t="inlineStr">
        <is>
          <t>VÄSTERNORRLANDS LÄN</t>
        </is>
      </c>
      <c r="G580" t="inlineStr">
        <is>
          <t>KRAMFORS</t>
        </is>
      </c>
      <c r="I580" t="n">
        <v>18.9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32441-2025</t>
        </is>
      </c>
      <c r="B581" t="inlineStr">
        <is>
          <t>avverkningsanmälan</t>
        </is>
      </c>
      <c r="C581" t="inlineStr">
        <is>
          <t>Avverkning för annat ändamål</t>
        </is>
      </c>
      <c r="D581" s="1" t="n">
        <v>45838</v>
      </c>
      <c r="E581" s="1" t="n">
        <v>46292</v>
      </c>
      <c r="F581" t="inlineStr">
        <is>
          <t>VÄSTERNORRLANDS LÄN</t>
        </is>
      </c>
      <c r="G581" t="inlineStr">
        <is>
          <t>KRAMFORS</t>
        </is>
      </c>
      <c r="H581" t="inlineStr">
        <is>
          <t>SCA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51175-2025</t>
        </is>
      </c>
      <c r="B582" t="inlineStr">
        <is>
          <t>avverkningsanmälan</t>
        </is>
      </c>
      <c r="C582" t="inlineStr">
        <is>
          <t>Föryngringsavverkning</t>
        </is>
      </c>
      <c r="D582" s="1" t="n">
        <v>45947</v>
      </c>
      <c r="E582" s="1" t="n">
        <v>46292</v>
      </c>
      <c r="F582" t="inlineStr">
        <is>
          <t>VÄSTERNORRLANDS LÄN</t>
        </is>
      </c>
      <c r="G582" t="inlineStr">
        <is>
          <t>KRAMFORS</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51213-2025</t>
        </is>
      </c>
      <c r="B583" t="inlineStr">
        <is>
          <t>avverkningsanmälan</t>
        </is>
      </c>
      <c r="C583" t="inlineStr">
        <is>
          <t>Föryngringsavverkning</t>
        </is>
      </c>
      <c r="D583" s="1" t="n">
        <v>45947</v>
      </c>
      <c r="E583" s="1" t="n">
        <v>46292</v>
      </c>
      <c r="F583" t="inlineStr">
        <is>
          <t>VÄSTERNORRLANDS LÄN</t>
        </is>
      </c>
      <c r="G583" t="inlineStr">
        <is>
          <t>KRAMFORS</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14025-2026</t>
        </is>
      </c>
      <c r="B584" t="inlineStr">
        <is>
          <t>avverkningsanmälan</t>
        </is>
      </c>
      <c r="C584" t="inlineStr">
        <is>
          <t>Föryngringsavverkning</t>
        </is>
      </c>
      <c r="D584" s="1" t="n">
        <v>46098</v>
      </c>
      <c r="E584" s="1" t="n">
        <v>46292</v>
      </c>
      <c r="F584" t="inlineStr">
        <is>
          <t>VÄSTERNORRLANDS LÄN</t>
        </is>
      </c>
      <c r="G584" t="inlineStr">
        <is>
          <t>KRAMFORS</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4551-2026</t>
        </is>
      </c>
      <c r="B585" t="inlineStr">
        <is>
          <t>avverkningsanmälan</t>
        </is>
      </c>
      <c r="C585" t="inlineStr">
        <is>
          <t>Föryngringsavverkning</t>
        </is>
      </c>
      <c r="D585" s="1" t="n">
        <v>46047</v>
      </c>
      <c r="E585" s="1" t="n">
        <v>46292</v>
      </c>
      <c r="F585" t="inlineStr">
        <is>
          <t>VÄSTERNORRLANDS LÄN</t>
        </is>
      </c>
      <c r="G585" t="inlineStr">
        <is>
          <t>KRAMFORS</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23094-2026</t>
        </is>
      </c>
      <c r="B586" t="inlineStr">
        <is>
          <t>avverkningsanmälan</t>
        </is>
      </c>
      <c r="C586" t="inlineStr">
        <is>
          <t>Föryngringsavverkning</t>
        </is>
      </c>
      <c r="D586" s="1" t="n">
        <v>46161</v>
      </c>
      <c r="E586" s="1" t="n">
        <v>46292</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22496-2024</t>
        </is>
      </c>
      <c r="B587" t="inlineStr">
        <is>
          <t>avverkningsanmälan</t>
        </is>
      </c>
      <c r="C587" t="inlineStr">
        <is>
          <t>Föryngringsavverkning</t>
        </is>
      </c>
      <c r="D587" s="1" t="n">
        <v>45447</v>
      </c>
      <c r="E587" s="1" t="n">
        <v>46292</v>
      </c>
      <c r="F587" t="inlineStr">
        <is>
          <t>VÄSTERNORRLANDS LÄN</t>
        </is>
      </c>
      <c r="G587" t="inlineStr">
        <is>
          <t>KRAMFORS</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33135-2025</t>
        </is>
      </c>
      <c r="B588" t="inlineStr">
        <is>
          <t>avverkningsanmälan</t>
        </is>
      </c>
      <c r="C588" t="inlineStr">
        <is>
          <t>Avverkning för annat ändamål</t>
        </is>
      </c>
      <c r="D588" s="1" t="n">
        <v>45840</v>
      </c>
      <c r="E588" s="1" t="n">
        <v>46292</v>
      </c>
      <c r="F588" t="inlineStr">
        <is>
          <t>VÄSTERNORRLANDS LÄN</t>
        </is>
      </c>
      <c r="G588" t="inlineStr">
        <is>
          <t>KRAMFORS</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33164-2025</t>
        </is>
      </c>
      <c r="B589" t="inlineStr">
        <is>
          <t>avverkningsanmälan</t>
        </is>
      </c>
      <c r="C589" t="inlineStr">
        <is>
          <t>Avverkning för annat ändamål</t>
        </is>
      </c>
      <c r="D589" s="1" t="n">
        <v>45840</v>
      </c>
      <c r="E589" s="1" t="n">
        <v>46292</v>
      </c>
      <c r="F589" t="inlineStr">
        <is>
          <t>VÄSTERNORRLANDS LÄN</t>
        </is>
      </c>
      <c r="G589" t="inlineStr">
        <is>
          <t>KRAMFORS</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33119-2025</t>
        </is>
      </c>
      <c r="B590" t="inlineStr">
        <is>
          <t>avverkningsanmälan</t>
        </is>
      </c>
      <c r="C590" t="inlineStr">
        <is>
          <t>Föryngringsavverkning</t>
        </is>
      </c>
      <c r="D590" s="1" t="n">
        <v>45840</v>
      </c>
      <c r="E590" s="1" t="n">
        <v>46292</v>
      </c>
      <c r="F590" t="inlineStr">
        <is>
          <t>VÄSTERNORRLANDS LÄN</t>
        </is>
      </c>
      <c r="G590" t="inlineStr">
        <is>
          <t>KRAMFORS</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33859-2025</t>
        </is>
      </c>
      <c r="B591" t="inlineStr">
        <is>
          <t>avverkningsanmälan</t>
        </is>
      </c>
      <c r="C591" t="inlineStr">
        <is>
          <t>Föryngringsavverkning</t>
        </is>
      </c>
      <c r="D591" s="1" t="n">
        <v>45842</v>
      </c>
      <c r="E591" s="1" t="n">
        <v>46292</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51208-2025</t>
        </is>
      </c>
      <c r="B592" t="inlineStr">
        <is>
          <t>avverkningsanmälan</t>
        </is>
      </c>
      <c r="C592" t="inlineStr">
        <is>
          <t>Föryngringsavverkning</t>
        </is>
      </c>
      <c r="D592" s="1" t="n">
        <v>45947</v>
      </c>
      <c r="E592" s="1" t="n">
        <v>46292</v>
      </c>
      <c r="F592" t="inlineStr">
        <is>
          <t>VÄSTERNORRLANDS LÄN</t>
        </is>
      </c>
      <c r="G592" t="inlineStr">
        <is>
          <t>KRAMFORS</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33479-2025</t>
        </is>
      </c>
      <c r="B593" t="inlineStr">
        <is>
          <t>avverkningsanmälan</t>
        </is>
      </c>
      <c r="C593" t="inlineStr">
        <is>
          <t>Föryngringsavverkning</t>
        </is>
      </c>
      <c r="D593" s="1" t="n">
        <v>45841</v>
      </c>
      <c r="E593" s="1" t="n">
        <v>46292</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33509-2025</t>
        </is>
      </c>
      <c r="B594" t="inlineStr">
        <is>
          <t>avverkningsanmälan</t>
        </is>
      </c>
      <c r="C594" t="inlineStr">
        <is>
          <t>Föryngringsavverkning</t>
        </is>
      </c>
      <c r="D594" s="1" t="n">
        <v>45841</v>
      </c>
      <c r="E594" s="1" t="n">
        <v>46292</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11250-2025</t>
        </is>
      </c>
      <c r="B595" t="inlineStr">
        <is>
          <t>avverkningsanmälan</t>
        </is>
      </c>
      <c r="C595" t="inlineStr">
        <is>
          <t>Föryngringsavverkning</t>
        </is>
      </c>
      <c r="D595" s="1" t="n">
        <v>45726</v>
      </c>
      <c r="E595" s="1" t="n">
        <v>46292</v>
      </c>
      <c r="F595" t="inlineStr">
        <is>
          <t>VÄSTERNORRLANDS LÄN</t>
        </is>
      </c>
      <c r="G595" t="inlineStr">
        <is>
          <t>KRAMFORS</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12066-2025</t>
        </is>
      </c>
      <c r="B596" t="inlineStr">
        <is>
          <t>avverkningsanmälan</t>
        </is>
      </c>
      <c r="C596" t="inlineStr">
        <is>
          <t>Föryngringsavverkning</t>
        </is>
      </c>
      <c r="D596" s="1" t="n">
        <v>45728</v>
      </c>
      <c r="E596" s="1" t="n">
        <v>46292</v>
      </c>
      <c r="F596" t="inlineStr">
        <is>
          <t>VÄSTERNORRLANDS LÄN</t>
        </is>
      </c>
      <c r="G596" t="inlineStr">
        <is>
          <t>KRAMFORS</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33323-2025</t>
        </is>
      </c>
      <c r="B597" t="inlineStr">
        <is>
          <t>avverkningsanmälan</t>
        </is>
      </c>
      <c r="C597" t="inlineStr">
        <is>
          <t>Föryngringsavverkning</t>
        </is>
      </c>
      <c r="D597" s="1" t="n">
        <v>45841</v>
      </c>
      <c r="E597" s="1" t="n">
        <v>46292</v>
      </c>
      <c r="F597" t="inlineStr">
        <is>
          <t>VÄSTERNORRLANDS LÄN</t>
        </is>
      </c>
      <c r="G597" t="inlineStr">
        <is>
          <t>KRAMFORS</t>
        </is>
      </c>
      <c r="H597" t="inlineStr">
        <is>
          <t>SCA</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52924-2025</t>
        </is>
      </c>
      <c r="B598" t="inlineStr">
        <is>
          <t>avverkningsanmälan</t>
        </is>
      </c>
      <c r="C598" t="inlineStr">
        <is>
          <t>Föryngringsavverkning</t>
        </is>
      </c>
      <c r="D598" s="1" t="n">
        <v>45957</v>
      </c>
      <c r="E598" s="1" t="n">
        <v>46292</v>
      </c>
      <c r="F598" t="inlineStr">
        <is>
          <t>VÄSTERNORRLANDS LÄN</t>
        </is>
      </c>
      <c r="G598" t="inlineStr">
        <is>
          <t>KRAMFORS</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8127-2026</t>
        </is>
      </c>
      <c r="B599" t="inlineStr">
        <is>
          <t>avverkningsanmälan</t>
        </is>
      </c>
      <c r="C599" t="inlineStr">
        <is>
          <t>Föryngringsavverkning</t>
        </is>
      </c>
      <c r="D599" s="1" t="n">
        <v>46064</v>
      </c>
      <c r="E599" s="1" t="n">
        <v>46292</v>
      </c>
      <c r="F599" t="inlineStr">
        <is>
          <t>VÄSTERNORRLANDS LÄN</t>
        </is>
      </c>
      <c r="G599" t="inlineStr">
        <is>
          <t>KRAMFORS</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33553-2025</t>
        </is>
      </c>
      <c r="B600" t="inlineStr">
        <is>
          <t>avverkningsanmälan</t>
        </is>
      </c>
      <c r="C600" t="inlineStr">
        <is>
          <t>Föryngringsavverkning</t>
        </is>
      </c>
      <c r="D600" s="1" t="n">
        <v>45841</v>
      </c>
      <c r="E600" s="1" t="n">
        <v>46292</v>
      </c>
      <c r="F600" t="inlineStr">
        <is>
          <t>VÄSTERNORRLANDS LÄN</t>
        </is>
      </c>
      <c r="G600" t="inlineStr">
        <is>
          <t>KRAMFORS</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53372-2025</t>
        </is>
      </c>
      <c r="B601" t="inlineStr">
        <is>
          <t>avverkningsanmälan</t>
        </is>
      </c>
      <c r="C601" t="inlineStr">
        <is>
          <t>Föryngringsavverkning</t>
        </is>
      </c>
      <c r="D601" s="1" t="n">
        <v>45959</v>
      </c>
      <c r="E601" s="1" t="n">
        <v>46292</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23655-2026</t>
        </is>
      </c>
      <c r="B602" t="inlineStr">
        <is>
          <t>avverkningsanmälan</t>
        </is>
      </c>
      <c r="C602" t="inlineStr">
        <is>
          <t>Föryngringsavverkning</t>
        </is>
      </c>
      <c r="D602" s="1" t="n">
        <v>46164</v>
      </c>
      <c r="E602" s="1" t="n">
        <v>46292</v>
      </c>
      <c r="F602" t="inlineStr">
        <is>
          <t>VÄSTERNORRLANDS LÄN</t>
        </is>
      </c>
      <c r="G602" t="inlineStr">
        <is>
          <t>KRAMFORS</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17211-2023</t>
        </is>
      </c>
      <c r="B603" t="inlineStr">
        <is>
          <t>avverkningsanmälan</t>
        </is>
      </c>
      <c r="C603" t="inlineStr">
        <is>
          <t>Föryngringsavverkning</t>
        </is>
      </c>
      <c r="D603" s="1" t="n">
        <v>45034</v>
      </c>
      <c r="E603" s="1" t="n">
        <v>46292</v>
      </c>
      <c r="F603" t="inlineStr">
        <is>
          <t>VÄSTERNORRLANDS LÄN</t>
        </is>
      </c>
      <c r="G603" t="inlineStr">
        <is>
          <t>KRAMFORS</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23652-2026</t>
        </is>
      </c>
      <c r="B604" t="inlineStr">
        <is>
          <t>avverkningsanmälan</t>
        </is>
      </c>
      <c r="C604" t="inlineStr">
        <is>
          <t>Föryngringsavverkning</t>
        </is>
      </c>
      <c r="D604" s="1" t="n">
        <v>46164</v>
      </c>
      <c r="E604" s="1" t="n">
        <v>46292</v>
      </c>
      <c r="F604" t="inlineStr">
        <is>
          <t>VÄSTERNORRLANDS LÄN</t>
        </is>
      </c>
      <c r="G604" t="inlineStr">
        <is>
          <t>KRAMFORS</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23628-2026</t>
        </is>
      </c>
      <c r="B605" t="inlineStr">
        <is>
          <t>avverkningsanmälan</t>
        </is>
      </c>
      <c r="C605" t="inlineStr">
        <is>
          <t>Föryngringsavverkning</t>
        </is>
      </c>
      <c r="D605" s="1" t="n">
        <v>46163</v>
      </c>
      <c r="E605" s="1" t="n">
        <v>46292</v>
      </c>
      <c r="F605" t="inlineStr">
        <is>
          <t>VÄSTERNORRLANDS LÄN</t>
        </is>
      </c>
      <c r="G605" t="inlineStr">
        <is>
          <t>KRAMFORS</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23486-2026</t>
        </is>
      </c>
      <c r="B606" t="inlineStr">
        <is>
          <t>avverkningsanmälan</t>
        </is>
      </c>
      <c r="C606" t="inlineStr">
        <is>
          <t>Föryngringsavverkning</t>
        </is>
      </c>
      <c r="D606" s="1" t="n">
        <v>46163</v>
      </c>
      <c r="E606" s="1" t="n">
        <v>46292</v>
      </c>
      <c r="F606" t="inlineStr">
        <is>
          <t>VÄSTERNORRLANDS LÄN</t>
        </is>
      </c>
      <c r="G606" t="inlineStr">
        <is>
          <t>KRAMFORS</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23668-2026</t>
        </is>
      </c>
      <c r="B607" t="inlineStr">
        <is>
          <t>avverkningsanmälan</t>
        </is>
      </c>
      <c r="C607" t="inlineStr">
        <is>
          <t>Föryngringsavverkning</t>
        </is>
      </c>
      <c r="D607" s="1" t="n">
        <v>46164</v>
      </c>
      <c r="E607" s="1" t="n">
        <v>46292</v>
      </c>
      <c r="F607" t="inlineStr">
        <is>
          <t>VÄSTERNORRLANDS LÄN</t>
        </is>
      </c>
      <c r="G607" t="inlineStr">
        <is>
          <t>KRAMFORS</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6448-2023</t>
        </is>
      </c>
      <c r="B608" t="inlineStr">
        <is>
          <t>avverkningsanmälan</t>
        </is>
      </c>
      <c r="C608" t="inlineStr">
        <is>
          <t>Föryngringsavverkning</t>
        </is>
      </c>
      <c r="D608" s="1" t="n">
        <v>44965</v>
      </c>
      <c r="E608" s="1" t="n">
        <v>46292</v>
      </c>
      <c r="F608" t="inlineStr">
        <is>
          <t>VÄSTERNORRLANDS LÄN</t>
        </is>
      </c>
      <c r="G608" t="inlineStr">
        <is>
          <t>KRAMFORS</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56110-2023</t>
        </is>
      </c>
      <c r="B609" t="inlineStr">
        <is>
          <t>avverkningsanmälan</t>
        </is>
      </c>
      <c r="C609" t="inlineStr">
        <is>
          <t>Föryngringsavverkning</t>
        </is>
      </c>
      <c r="D609" s="1" t="n">
        <v>45240</v>
      </c>
      <c r="E609" s="1" t="n">
        <v>46292</v>
      </c>
      <c r="F609" t="inlineStr">
        <is>
          <t>VÄSTERNORRLANDS LÄN</t>
        </is>
      </c>
      <c r="G609" t="inlineStr">
        <is>
          <t>KRAMFORS</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35044-2025</t>
        </is>
      </c>
      <c r="B610" t="inlineStr">
        <is>
          <t>avverkningsanmälan</t>
        </is>
      </c>
      <c r="C610" t="inlineStr">
        <is>
          <t>Avverkning för annat ändamål</t>
        </is>
      </c>
      <c r="D610" s="1" t="n">
        <v>45852</v>
      </c>
      <c r="E610" s="1" t="n">
        <v>46292</v>
      </c>
      <c r="F610" t="inlineStr">
        <is>
          <t>VÄSTERNORRLANDS LÄN</t>
        </is>
      </c>
      <c r="G610" t="inlineStr">
        <is>
          <t>KRAMFORS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55760-2024</t>
        </is>
      </c>
      <c r="B611" t="inlineStr">
        <is>
          <t>avverkningsanmälan</t>
        </is>
      </c>
      <c r="C611" t="inlineStr">
        <is>
          <t>Föryngringsavverkning</t>
        </is>
      </c>
      <c r="D611" s="1" t="n">
        <v>45623</v>
      </c>
      <c r="E611" s="1" t="n">
        <v>46292</v>
      </c>
      <c r="F611" t="inlineStr">
        <is>
          <t>VÄSTERNORRLANDS LÄN</t>
        </is>
      </c>
      <c r="G611" t="inlineStr">
        <is>
          <t>KRAMFORS</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21053-2026</t>
        </is>
      </c>
      <c r="B612" t="inlineStr">
        <is>
          <t>avverkningsanmälan</t>
        </is>
      </c>
      <c r="C612" t="inlineStr">
        <is>
          <t>Föryngringsavverkning</t>
        </is>
      </c>
      <c r="D612" s="1" t="n">
        <v>46146</v>
      </c>
      <c r="E612" s="1" t="n">
        <v>46292</v>
      </c>
      <c r="F612" t="inlineStr">
        <is>
          <t>VÄSTERNORRLANDS LÄN</t>
        </is>
      </c>
      <c r="G612" t="inlineStr">
        <is>
          <t>KRAMFORS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3425-2023</t>
        </is>
      </c>
      <c r="B613" t="inlineStr">
        <is>
          <t>avverkningsanmälan</t>
        </is>
      </c>
      <c r="C613" t="inlineStr">
        <is>
          <t>Föryngringsavverkning</t>
        </is>
      </c>
      <c r="D613" s="1" t="n">
        <v>44946</v>
      </c>
      <c r="E613" s="1" t="n">
        <v>46292</v>
      </c>
      <c r="F613" t="inlineStr">
        <is>
          <t>VÄSTERNORRLANDS LÄN</t>
        </is>
      </c>
      <c r="G613" t="inlineStr">
        <is>
          <t>KRAMFORS</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52120-2025</t>
        </is>
      </c>
      <c r="B614" t="inlineStr">
        <is>
          <t>avverkningsanmälan</t>
        </is>
      </c>
      <c r="C614" t="inlineStr">
        <is>
          <t>Föryngringsavverkning</t>
        </is>
      </c>
      <c r="D614" s="1" t="n">
        <v>45952</v>
      </c>
      <c r="E614" s="1" t="n">
        <v>46292</v>
      </c>
      <c r="F614" t="inlineStr">
        <is>
          <t>VÄSTERNORRLANDS LÄN</t>
        </is>
      </c>
      <c r="G614" t="inlineStr">
        <is>
          <t>KRAMFORS</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57696-2025</t>
        </is>
      </c>
      <c r="B615" t="inlineStr">
        <is>
          <t>avverkningsanmälan</t>
        </is>
      </c>
      <c r="C615" t="inlineStr">
        <is>
          <t>Avverkning för annat ändamål</t>
        </is>
      </c>
      <c r="D615" s="1" t="n">
        <v>45981</v>
      </c>
      <c r="E615" s="1" t="n">
        <v>46292</v>
      </c>
      <c r="F615" t="inlineStr">
        <is>
          <t>VÄSTERNORRLANDS LÄN</t>
        </is>
      </c>
      <c r="G615" t="inlineStr">
        <is>
          <t>KRAMFORS</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24254-2026</t>
        </is>
      </c>
      <c r="B616" t="inlineStr">
        <is>
          <t>avverkningsanmälan</t>
        </is>
      </c>
      <c r="C616" t="inlineStr">
        <is>
          <t>Föryngringsavverkning</t>
        </is>
      </c>
      <c r="D616" s="1" t="n">
        <v>46168</v>
      </c>
      <c r="E616" s="1" t="n">
        <v>46292</v>
      </c>
      <c r="F616" t="inlineStr">
        <is>
          <t>VÄSTERNORRLANDS LÄN</t>
        </is>
      </c>
      <c r="G616" t="inlineStr">
        <is>
          <t>KRAMFORS</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4601-2023</t>
        </is>
      </c>
      <c r="B617" t="inlineStr">
        <is>
          <t>avverkningsanmälan</t>
        </is>
      </c>
      <c r="C617" t="inlineStr">
        <is>
          <t>Föryngringsavverkning</t>
        </is>
      </c>
      <c r="D617" s="1" t="n">
        <v>44956</v>
      </c>
      <c r="E617" s="1" t="n">
        <v>46292</v>
      </c>
      <c r="F617" t="inlineStr">
        <is>
          <t>VÄSTERNORRLANDS LÄN</t>
        </is>
      </c>
      <c r="G617" t="inlineStr">
        <is>
          <t>KRAMFORS</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4602-2023</t>
        </is>
      </c>
      <c r="B618" t="inlineStr">
        <is>
          <t>avverkningsanmälan</t>
        </is>
      </c>
      <c r="C618" t="inlineStr">
        <is>
          <t>Föryngringsavverkning</t>
        </is>
      </c>
      <c r="D618" s="1" t="n">
        <v>44956</v>
      </c>
      <c r="E618" s="1" t="n">
        <v>46292</v>
      </c>
      <c r="F618" t="inlineStr">
        <is>
          <t>VÄSTERNORRLANDS LÄN</t>
        </is>
      </c>
      <c r="G618" t="inlineStr">
        <is>
          <t>KRAMFORS</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23994-2026</t>
        </is>
      </c>
      <c r="B619" t="inlineStr">
        <is>
          <t>avverkningsanmälan</t>
        </is>
      </c>
      <c r="C619" t="inlineStr">
        <is>
          <t>Föryngringsavverkning</t>
        </is>
      </c>
      <c r="D619" s="1" t="n">
        <v>46167</v>
      </c>
      <c r="E619" s="1" t="n">
        <v>46292</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47966-2024</t>
        </is>
      </c>
      <c r="B620" t="inlineStr">
        <is>
          <t>avverkningsanmälan</t>
        </is>
      </c>
      <c r="C620" t="inlineStr">
        <is>
          <t>Föryngringsavverkning</t>
        </is>
      </c>
      <c r="D620" s="1" t="n">
        <v>45589</v>
      </c>
      <c r="E620" s="1" t="n">
        <v>46292</v>
      </c>
      <c r="F620" t="inlineStr">
        <is>
          <t>VÄSTERNORRLANDS LÄN</t>
        </is>
      </c>
      <c r="G620" t="inlineStr">
        <is>
          <t>KRAMFORS</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40875-2023</t>
        </is>
      </c>
      <c r="B621" t="inlineStr">
        <is>
          <t>avverkningsanmälan</t>
        </is>
      </c>
      <c r="C621" t="inlineStr">
        <is>
          <t>Föryngringsavverkning</t>
        </is>
      </c>
      <c r="D621" s="1" t="n">
        <v>45173</v>
      </c>
      <c r="E621" s="1" t="n">
        <v>46292</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28356-2023</t>
        </is>
      </c>
      <c r="B622" t="inlineStr">
        <is>
          <t>avverkningsanmälan</t>
        </is>
      </c>
      <c r="C622" t="inlineStr">
        <is>
          <t>Föryngringsavverkning</t>
        </is>
      </c>
      <c r="D622" s="1" t="n">
        <v>45099</v>
      </c>
      <c r="E622" s="1" t="n">
        <v>46292</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73988-2021</t>
        </is>
      </c>
      <c r="B623" t="inlineStr">
        <is>
          <t>avverkningsanmälan</t>
        </is>
      </c>
      <c r="C623" t="inlineStr">
        <is>
          <t>Avverkning för annat ändamål</t>
        </is>
      </c>
      <c r="D623" s="1" t="n">
        <v>44556</v>
      </c>
      <c r="E623" s="1" t="n">
        <v>46292</v>
      </c>
      <c r="F623" t="inlineStr">
        <is>
          <t>VÄSTERNORRLANDS LÄN</t>
        </is>
      </c>
      <c r="G623" t="inlineStr">
        <is>
          <t>KRAMFORS</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35394-2025</t>
        </is>
      </c>
      <c r="B624" t="inlineStr">
        <is>
          <t>avverkningsanmälan</t>
        </is>
      </c>
      <c r="C624" t="inlineStr">
        <is>
          <t>Föryngringsavverkning</t>
        </is>
      </c>
      <c r="D624" s="1" t="n">
        <v>45855</v>
      </c>
      <c r="E624" s="1" t="n">
        <v>46292</v>
      </c>
      <c r="F624" t="inlineStr">
        <is>
          <t>VÄSTERNORRLANDS LÄN</t>
        </is>
      </c>
      <c r="G624" t="inlineStr">
        <is>
          <t>KRAMFORS</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24378-2026</t>
        </is>
      </c>
      <c r="B625" t="inlineStr">
        <is>
          <t>avverkningsanmälan</t>
        </is>
      </c>
      <c r="C625" t="inlineStr">
        <is>
          <t>Föryngringsavverkning</t>
        </is>
      </c>
      <c r="D625" s="1" t="n">
        <v>46169</v>
      </c>
      <c r="E625" s="1" t="n">
        <v>46292</v>
      </c>
      <c r="F625" t="inlineStr">
        <is>
          <t>VÄSTERNORRLANDS LÄN</t>
        </is>
      </c>
      <c r="G625" t="inlineStr">
        <is>
          <t>KRAMFORS</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24255-2026</t>
        </is>
      </c>
      <c r="B626" t="inlineStr">
        <is>
          <t>avverkningsanmälan</t>
        </is>
      </c>
      <c r="C626" t="inlineStr">
        <is>
          <t>Föryngringsavverkning</t>
        </is>
      </c>
      <c r="D626" s="1" t="n">
        <v>46168</v>
      </c>
      <c r="E626" s="1" t="n">
        <v>46292</v>
      </c>
      <c r="F626" t="inlineStr">
        <is>
          <t>VÄSTERNORRLANDS LÄN</t>
        </is>
      </c>
      <c r="G626" t="inlineStr">
        <is>
          <t>KRAMFORS</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5070-2024</t>
        </is>
      </c>
      <c r="B627" t="inlineStr">
        <is>
          <t>avverkningsanmälan</t>
        </is>
      </c>
      <c r="C627" t="inlineStr">
        <is>
          <t>Föryngringsavverkning</t>
        </is>
      </c>
      <c r="D627" s="1" t="n">
        <v>45329</v>
      </c>
      <c r="E627" s="1" t="n">
        <v>46292</v>
      </c>
      <c r="F627" t="inlineStr">
        <is>
          <t>VÄSTERNORRLANDS LÄN</t>
        </is>
      </c>
      <c r="G627" t="inlineStr">
        <is>
          <t>KRAMFORS</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24843-2025</t>
        </is>
      </c>
      <c r="B628" t="inlineStr">
        <is>
          <t>avverkningsanmälan</t>
        </is>
      </c>
      <c r="C628" t="inlineStr">
        <is>
          <t>Föryngringsavverkning</t>
        </is>
      </c>
      <c r="D628" s="1" t="n">
        <v>45799</v>
      </c>
      <c r="E628" s="1" t="n">
        <v>46292</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62818-2023</t>
        </is>
      </c>
      <c r="B629" t="inlineStr">
        <is>
          <t>avverkningsanmälan</t>
        </is>
      </c>
      <c r="C629" t="inlineStr">
        <is>
          <t>Föryngringsavverkning</t>
        </is>
      </c>
      <c r="D629" s="1" t="n">
        <v>45271</v>
      </c>
      <c r="E629" s="1" t="n">
        <v>46292</v>
      </c>
      <c r="F629" t="inlineStr">
        <is>
          <t>VÄSTERNORRLANDS LÄN</t>
        </is>
      </c>
      <c r="G629" t="inlineStr">
        <is>
          <t>KRAMFORS</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35758-2025</t>
        </is>
      </c>
      <c r="B630" t="inlineStr">
        <is>
          <t>avverkningsanmälan</t>
        </is>
      </c>
      <c r="C630" t="inlineStr">
        <is>
          <t>Föryngringsavverkning</t>
        </is>
      </c>
      <c r="D630" s="1" t="n">
        <v>45860</v>
      </c>
      <c r="E630" s="1" t="n">
        <v>46292</v>
      </c>
      <c r="F630" t="inlineStr">
        <is>
          <t>VÄSTERNORRLANDS LÄN</t>
        </is>
      </c>
      <c r="G630" t="inlineStr">
        <is>
          <t>KRAMFORS</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35645-2025</t>
        </is>
      </c>
      <c r="B631" t="inlineStr">
        <is>
          <t>avverkningsanmälan</t>
        </is>
      </c>
      <c r="C631" t="inlineStr">
        <is>
          <t>Föryngringsavverkning</t>
        </is>
      </c>
      <c r="D631" s="1" t="n">
        <v>45859</v>
      </c>
      <c r="E631" s="1" t="n">
        <v>46292</v>
      </c>
      <c r="F631" t="inlineStr">
        <is>
          <t>VÄSTERNORRLANDS LÄN</t>
        </is>
      </c>
      <c r="G631" t="inlineStr">
        <is>
          <t>KRAMFORS</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24957-2025</t>
        </is>
      </c>
      <c r="B632" t="inlineStr">
        <is>
          <t>avverkningsanmälan</t>
        </is>
      </c>
      <c r="C632" t="inlineStr">
        <is>
          <t>Föryngringsavverkning</t>
        </is>
      </c>
      <c r="D632" s="1" t="n">
        <v>45799</v>
      </c>
      <c r="E632" s="1" t="n">
        <v>46292</v>
      </c>
      <c r="F632" t="inlineStr">
        <is>
          <t>VÄSTERNORRLANDS LÄN</t>
        </is>
      </c>
      <c r="G632" t="inlineStr">
        <is>
          <t>KRAMFORS</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70795-2021</t>
        </is>
      </c>
      <c r="B633" t="inlineStr">
        <is>
          <t>avverkningsanmälan</t>
        </is>
      </c>
      <c r="C633" t="inlineStr">
        <is>
          <t>Föryngringsavverkning</t>
        </is>
      </c>
      <c r="D633" s="1" t="n">
        <v>44537</v>
      </c>
      <c r="E633" s="1" t="n">
        <v>46292</v>
      </c>
      <c r="F633" t="inlineStr">
        <is>
          <t>VÄSTERNORRLANDS LÄN</t>
        </is>
      </c>
      <c r="G633" t="inlineStr">
        <is>
          <t>KRAMFORS</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60865-2022</t>
        </is>
      </c>
      <c r="B634" t="inlineStr">
        <is>
          <t>avverkningsanmälan</t>
        </is>
      </c>
      <c r="C634" t="inlineStr">
        <is>
          <t>Föryngringsavverkning</t>
        </is>
      </c>
      <c r="D634" s="1" t="n">
        <v>44908</v>
      </c>
      <c r="E634" s="1" t="n">
        <v>46292</v>
      </c>
      <c r="F634" t="inlineStr">
        <is>
          <t>VÄSTERNORRLANDS LÄN</t>
        </is>
      </c>
      <c r="G634" t="inlineStr">
        <is>
          <t>KRAMFORS</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24544-2026</t>
        </is>
      </c>
      <c r="B635" t="inlineStr">
        <is>
          <t>avverkningsanmälan</t>
        </is>
      </c>
      <c r="C635" t="inlineStr">
        <is>
          <t>Föryngringsavverkning</t>
        </is>
      </c>
      <c r="D635" s="1" t="n">
        <v>46170</v>
      </c>
      <c r="E635" s="1" t="n">
        <v>46292</v>
      </c>
      <c r="F635" t="inlineStr">
        <is>
          <t>VÄSTERNORRLANDS LÄN</t>
        </is>
      </c>
      <c r="G635" t="inlineStr">
        <is>
          <t>KRAMFORS</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29584-2025</t>
        </is>
      </c>
      <c r="B636" t="inlineStr">
        <is>
          <t>avverkningsanmälan</t>
        </is>
      </c>
      <c r="C636" t="inlineStr">
        <is>
          <t>Föryngringsavverkning</t>
        </is>
      </c>
      <c r="D636" s="1" t="n">
        <v>45825</v>
      </c>
      <c r="E636" s="1" t="n">
        <v>46292</v>
      </c>
      <c r="F636" t="inlineStr">
        <is>
          <t>VÄSTERNORRLANDS LÄN</t>
        </is>
      </c>
      <c r="G636" t="inlineStr">
        <is>
          <t>KRAMFORS</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24854-2026</t>
        </is>
      </c>
      <c r="B637" t="inlineStr">
        <is>
          <t>avverkningsanmälan</t>
        </is>
      </c>
      <c r="C637" t="inlineStr">
        <is>
          <t>Föryngringsavverkning</t>
        </is>
      </c>
      <c r="D637" s="1" t="n">
        <v>46174</v>
      </c>
      <c r="E637" s="1" t="n">
        <v>46292</v>
      </c>
      <c r="F637" t="inlineStr">
        <is>
          <t>VÄSTERNORRLANDS LÄN</t>
        </is>
      </c>
      <c r="G637" t="inlineStr">
        <is>
          <t>KRAMFORS</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16057-2025</t>
        </is>
      </c>
      <c r="B638" t="inlineStr">
        <is>
          <t>avverkningsanmälan</t>
        </is>
      </c>
      <c r="C638" t="inlineStr">
        <is>
          <t>Föryngringsavverkning</t>
        </is>
      </c>
      <c r="D638" s="1" t="n">
        <v>45749</v>
      </c>
      <c r="E638" s="1" t="n">
        <v>46292</v>
      </c>
      <c r="F638" t="inlineStr">
        <is>
          <t>VÄSTERNORRLANDS LÄN</t>
        </is>
      </c>
      <c r="G638" t="inlineStr">
        <is>
          <t>KRAMFORS</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19777-2025</t>
        </is>
      </c>
      <c r="B639" t="inlineStr">
        <is>
          <t>avverkningsanmälan</t>
        </is>
      </c>
      <c r="C639" t="inlineStr">
        <is>
          <t>Föryngringsavverkning</t>
        </is>
      </c>
      <c r="D639" s="1" t="n">
        <v>45771</v>
      </c>
      <c r="E639" s="1" t="n">
        <v>46292</v>
      </c>
      <c r="F639" t="inlineStr">
        <is>
          <t>VÄSTERNORRLANDS LÄN</t>
        </is>
      </c>
      <c r="G639" t="inlineStr">
        <is>
          <t>KRAMFORS</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124-2024</t>
        </is>
      </c>
      <c r="B640" t="inlineStr">
        <is>
          <t>avverkningsanmälan</t>
        </is>
      </c>
      <c r="C640" t="inlineStr">
        <is>
          <t>Föryngringsavverkning</t>
        </is>
      </c>
      <c r="D640" s="1" t="n">
        <v>45294</v>
      </c>
      <c r="E640" s="1" t="n">
        <v>46292</v>
      </c>
      <c r="F640" t="inlineStr">
        <is>
          <t>VÄSTERNORRLANDS LÄN</t>
        </is>
      </c>
      <c r="G640" t="inlineStr">
        <is>
          <t>KRAMFORS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7466-2024</t>
        </is>
      </c>
      <c r="B641" t="inlineStr">
        <is>
          <t>avverkningsanmälan</t>
        </is>
      </c>
      <c r="C641" t="inlineStr">
        <is>
          <t>Avverkning för att bevara och utveckla /försöksver</t>
        </is>
      </c>
      <c r="D641" s="1" t="n">
        <v>45345</v>
      </c>
      <c r="E641" s="1" t="n">
        <v>46292</v>
      </c>
      <c r="F641" t="inlineStr">
        <is>
          <t>VÄSTERNORRLANDS LÄN</t>
        </is>
      </c>
      <c r="G641" t="inlineStr">
        <is>
          <t>KRAMFORS</t>
        </is>
      </c>
      <c r="H641" t="inlineStr">
        <is>
          <t>SCA</t>
        </is>
      </c>
      <c r="I641" t="n">
        <v>13.1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24960-2026</t>
        </is>
      </c>
      <c r="B642" t="inlineStr">
        <is>
          <t>avverkningsanmälan</t>
        </is>
      </c>
      <c r="C642" t="inlineStr">
        <is>
          <t>Föryngringsavverkning</t>
        </is>
      </c>
      <c r="D642" s="1" t="n">
        <v>46174</v>
      </c>
      <c r="E642" s="1" t="n">
        <v>46292</v>
      </c>
      <c r="F642" t="inlineStr">
        <is>
          <t>VÄSTERNORRLANDS LÄN</t>
        </is>
      </c>
      <c r="G642" t="inlineStr">
        <is>
          <t>KRAMFORS</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33328-2024</t>
        </is>
      </c>
      <c r="B643" t="inlineStr">
        <is>
          <t>avverkningsanmälan</t>
        </is>
      </c>
      <c r="C643" t="inlineStr">
        <is>
          <t>Föryngringsavverkning</t>
        </is>
      </c>
      <c r="D643" s="1" t="n">
        <v>45519</v>
      </c>
      <c r="E643" s="1" t="n">
        <v>46292</v>
      </c>
      <c r="F643" t="inlineStr">
        <is>
          <t>VÄSTERNORRLANDS LÄN</t>
        </is>
      </c>
      <c r="G643" t="inlineStr">
        <is>
          <t>KRAMFORS</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24848-2026</t>
        </is>
      </c>
      <c r="B644" t="inlineStr">
        <is>
          <t>avverkningsanmälan</t>
        </is>
      </c>
      <c r="C644" t="inlineStr">
        <is>
          <t>Föryngringsavverkning</t>
        </is>
      </c>
      <c r="D644" s="1" t="n">
        <v>46174</v>
      </c>
      <c r="E644" s="1" t="n">
        <v>46292</v>
      </c>
      <c r="F644" t="inlineStr">
        <is>
          <t>VÄSTERNORRLANDS LÄN</t>
        </is>
      </c>
      <c r="G644" t="inlineStr">
        <is>
          <t>KRAMFORS</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24945-2026</t>
        </is>
      </c>
      <c r="B645" t="inlineStr">
        <is>
          <t>avverkningsanmälan</t>
        </is>
      </c>
      <c r="C645" t="inlineStr">
        <is>
          <t>Föryngringsavverkning</t>
        </is>
      </c>
      <c r="D645" s="1" t="n">
        <v>46174</v>
      </c>
      <c r="E645" s="1" t="n">
        <v>46292</v>
      </c>
      <c r="F645" t="inlineStr">
        <is>
          <t>VÄSTERNORRLANDS LÄN</t>
        </is>
      </c>
      <c r="G645" t="inlineStr">
        <is>
          <t>KRAMFORS</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24961-2026</t>
        </is>
      </c>
      <c r="B646" t="inlineStr">
        <is>
          <t>avverkningsanmälan</t>
        </is>
      </c>
      <c r="C646" t="inlineStr">
        <is>
          <t>Föryngringsavverkning</t>
        </is>
      </c>
      <c r="D646" s="1" t="n">
        <v>46174</v>
      </c>
      <c r="E646" s="1" t="n">
        <v>46292</v>
      </c>
      <c r="F646" t="inlineStr">
        <is>
          <t>VÄSTERNORRLANDS LÄN</t>
        </is>
      </c>
      <c r="G646" t="inlineStr">
        <is>
          <t>KRAMFORS</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25533-2026</t>
        </is>
      </c>
      <c r="B647" t="inlineStr">
        <is>
          <t>avverkningsanmälan</t>
        </is>
      </c>
      <c r="C647" t="inlineStr">
        <is>
          <t>Föryngringsavverkning</t>
        </is>
      </c>
      <c r="D647" s="1" t="n">
        <v>46177</v>
      </c>
      <c r="E647" s="1" t="n">
        <v>46292</v>
      </c>
      <c r="F647" t="inlineStr">
        <is>
          <t>VÄSTERNORRLANDS LÄN</t>
        </is>
      </c>
      <c r="G647" t="inlineStr">
        <is>
          <t>KRAMFORS</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25369-2026</t>
        </is>
      </c>
      <c r="B648" t="inlineStr">
        <is>
          <t>avverkningsanmälan</t>
        </is>
      </c>
      <c r="C648" t="inlineStr">
        <is>
          <t>Avverkning för att bevara och utveckla /försöksver</t>
        </is>
      </c>
      <c r="D648" s="1" t="n">
        <v>46176</v>
      </c>
      <c r="E648" s="1" t="n">
        <v>46292</v>
      </c>
      <c r="F648" t="inlineStr">
        <is>
          <t>VÄSTERNORRLANDS LÄN</t>
        </is>
      </c>
      <c r="G648" t="inlineStr">
        <is>
          <t>KRAMFORS</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25380-2026</t>
        </is>
      </c>
      <c r="B649" t="inlineStr">
        <is>
          <t>avverkningsanmälan</t>
        </is>
      </c>
      <c r="C649" t="inlineStr">
        <is>
          <t>Föryngringsavverkning</t>
        </is>
      </c>
      <c r="D649" s="1" t="n">
        <v>46176</v>
      </c>
      <c r="E649" s="1" t="n">
        <v>46292</v>
      </c>
      <c r="F649" t="inlineStr">
        <is>
          <t>VÄSTERNORRLANDS LÄN</t>
        </is>
      </c>
      <c r="G649" t="inlineStr">
        <is>
          <t>KRAMFORS</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8732-2022</t>
        </is>
      </c>
      <c r="B650" t="inlineStr">
        <is>
          <t>avverkningsanmälan</t>
        </is>
      </c>
      <c r="C650" t="inlineStr">
        <is>
          <t>Föryngringsavverkning</t>
        </is>
      </c>
      <c r="D650" s="1" t="n">
        <v>44613</v>
      </c>
      <c r="E650" s="1" t="n">
        <v>46292</v>
      </c>
      <c r="F650" t="inlineStr">
        <is>
          <t>VÄSTERNORRLANDS LÄN</t>
        </is>
      </c>
      <c r="G650" t="inlineStr">
        <is>
          <t>KRAMFORS</t>
        </is>
      </c>
      <c r="H650" t="inlineStr">
        <is>
          <t>SCA</t>
        </is>
      </c>
      <c r="I650" t="n">
        <v>11.7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26089-2026</t>
        </is>
      </c>
      <c r="B651" t="inlineStr">
        <is>
          <t>avverkningsanmälan</t>
        </is>
      </c>
      <c r="C651" t="inlineStr">
        <is>
          <t>Föryngringsavverkning</t>
        </is>
      </c>
      <c r="D651" s="1" t="n">
        <v>46181</v>
      </c>
      <c r="E651" s="1" t="n">
        <v>46292</v>
      </c>
      <c r="F651" t="inlineStr">
        <is>
          <t>VÄSTERNORRLANDS LÄN</t>
        </is>
      </c>
      <c r="G651" t="inlineStr">
        <is>
          <t>KRAMFORS</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17061-2023</t>
        </is>
      </c>
      <c r="B652" t="inlineStr">
        <is>
          <t>avverkningsanmälan</t>
        </is>
      </c>
      <c r="C652" t="inlineStr">
        <is>
          <t>Föryngringsavverkning</t>
        </is>
      </c>
      <c r="D652" s="1" t="n">
        <v>45034</v>
      </c>
      <c r="E652" s="1" t="n">
        <v>46292</v>
      </c>
      <c r="F652" t="inlineStr">
        <is>
          <t>VÄSTERNORRLANDS LÄN</t>
        </is>
      </c>
      <c r="G652" t="inlineStr">
        <is>
          <t>KRAMFORS</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15190-2025</t>
        </is>
      </c>
      <c r="B653" t="inlineStr">
        <is>
          <t>avverkningsanmälan</t>
        </is>
      </c>
      <c r="C653" t="inlineStr">
        <is>
          <t>Föryngringsavverkning</t>
        </is>
      </c>
      <c r="D653" s="1" t="n">
        <v>45744</v>
      </c>
      <c r="E653" s="1" t="n">
        <v>46292</v>
      </c>
      <c r="F653" t="inlineStr">
        <is>
          <t>VÄSTERNORRLANDS LÄN</t>
        </is>
      </c>
      <c r="G653" t="inlineStr">
        <is>
          <t>KRAMFORS</t>
        </is>
      </c>
      <c r="H653" t="inlineStr">
        <is>
          <t>Kyrkan</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21609-2023</t>
        </is>
      </c>
      <c r="B654" t="inlineStr">
        <is>
          <t>avverkningsanmälan</t>
        </is>
      </c>
      <c r="C654" t="inlineStr">
        <is>
          <t>Föryngringsavverkning</t>
        </is>
      </c>
      <c r="D654" s="1" t="n">
        <v>45062</v>
      </c>
      <c r="E654" s="1" t="n">
        <v>46292</v>
      </c>
      <c r="F654" t="inlineStr">
        <is>
          <t>VÄSTERNORRLANDS LÄN</t>
        </is>
      </c>
      <c r="G654" t="inlineStr">
        <is>
          <t>KRAMFORS</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58786-2023</t>
        </is>
      </c>
      <c r="B655" t="inlineStr">
        <is>
          <t>avverkningsanmälan</t>
        </is>
      </c>
      <c r="C655" t="inlineStr">
        <is>
          <t>Föryngringsavverkning</t>
        </is>
      </c>
      <c r="D655" s="1" t="n">
        <v>45247</v>
      </c>
      <c r="E655" s="1" t="n">
        <v>46292</v>
      </c>
      <c r="F655" t="inlineStr">
        <is>
          <t>VÄSTERNORRLANDS LÄN</t>
        </is>
      </c>
      <c r="G655" t="inlineStr">
        <is>
          <t>KRAMFORS</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26005-2026</t>
        </is>
      </c>
      <c r="B656" t="inlineStr">
        <is>
          <t>avverkningsanmälan</t>
        </is>
      </c>
      <c r="C656" t="inlineStr">
        <is>
          <t>Föryngringsavverkning</t>
        </is>
      </c>
      <c r="D656" s="1" t="n">
        <v>46181</v>
      </c>
      <c r="E656" s="1" t="n">
        <v>46292</v>
      </c>
      <c r="F656" t="inlineStr">
        <is>
          <t>VÄSTERNORRLANDS LÄN</t>
        </is>
      </c>
      <c r="G656" t="inlineStr">
        <is>
          <t>KRAMFORS</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25982-2026</t>
        </is>
      </c>
      <c r="B657" t="inlineStr">
        <is>
          <t>avverkningsanmälan</t>
        </is>
      </c>
      <c r="C657" t="inlineStr">
        <is>
          <t>Föryngringsavverkning</t>
        </is>
      </c>
      <c r="D657" s="1" t="n">
        <v>46181</v>
      </c>
      <c r="E657" s="1" t="n">
        <v>46292</v>
      </c>
      <c r="F657" t="inlineStr">
        <is>
          <t>VÄSTERNORRLANDS LÄN</t>
        </is>
      </c>
      <c r="G657" t="inlineStr">
        <is>
          <t>KRAMFORS</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26003-2026</t>
        </is>
      </c>
      <c r="B658" t="inlineStr">
        <is>
          <t>avverkningsanmälan</t>
        </is>
      </c>
      <c r="C658" t="inlineStr">
        <is>
          <t>Föryngringsavverkning</t>
        </is>
      </c>
      <c r="D658" s="1" t="n">
        <v>46181</v>
      </c>
      <c r="E658" s="1" t="n">
        <v>46292</v>
      </c>
      <c r="F658" t="inlineStr">
        <is>
          <t>VÄSTERNORRLANDS LÄN</t>
        </is>
      </c>
      <c r="G658" t="inlineStr">
        <is>
          <t>KRAMFORS</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26004-2026</t>
        </is>
      </c>
      <c r="B659" t="inlineStr">
        <is>
          <t>avverkningsanmälan</t>
        </is>
      </c>
      <c r="C659" t="inlineStr">
        <is>
          <t>Föryngringsavverkning</t>
        </is>
      </c>
      <c r="D659" s="1" t="n">
        <v>46181</v>
      </c>
      <c r="E659" s="1" t="n">
        <v>46292</v>
      </c>
      <c r="F659" t="inlineStr">
        <is>
          <t>VÄSTERNORRLANDS LÄN</t>
        </is>
      </c>
      <c r="G659" t="inlineStr">
        <is>
          <t>KRAMFORS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25989-2026</t>
        </is>
      </c>
      <c r="B660" t="inlineStr">
        <is>
          <t>avverkningsanmälan</t>
        </is>
      </c>
      <c r="C660" t="inlineStr">
        <is>
          <t>Föryngringsavverkning</t>
        </is>
      </c>
      <c r="D660" s="1" t="n">
        <v>46181</v>
      </c>
      <c r="E660" s="1" t="n">
        <v>46292</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38553-2024</t>
        </is>
      </c>
      <c r="B661" t="inlineStr">
        <is>
          <t>avverkningsanmälan</t>
        </is>
      </c>
      <c r="C661" t="inlineStr">
        <is>
          <t>Föryngringsavverkning</t>
        </is>
      </c>
      <c r="D661" s="1" t="n">
        <v>45546</v>
      </c>
      <c r="E661" s="1" t="n">
        <v>46292</v>
      </c>
      <c r="F661" t="inlineStr">
        <is>
          <t>VÄSTERNORRLANDS LÄN</t>
        </is>
      </c>
      <c r="G661" t="inlineStr">
        <is>
          <t>KRAMFORS</t>
        </is>
      </c>
      <c r="I661" t="n">
        <v>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17054-2023</t>
        </is>
      </c>
      <c r="B662" t="inlineStr">
        <is>
          <t>avverkningsanmälan</t>
        </is>
      </c>
      <c r="C662" t="inlineStr">
        <is>
          <t>Föryngringsavverkning</t>
        </is>
      </c>
      <c r="D662" s="1" t="n">
        <v>45034</v>
      </c>
      <c r="E662" s="1" t="n">
        <v>46292</v>
      </c>
      <c r="F662" t="inlineStr">
        <is>
          <t>VÄSTERNORRLANDS LÄN</t>
        </is>
      </c>
      <c r="G662" t="inlineStr">
        <is>
          <t>KRAMFORS</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42918-2023</t>
        </is>
      </c>
      <c r="B663" t="inlineStr">
        <is>
          <t>avverkningsanmälan</t>
        </is>
      </c>
      <c r="C663" t="inlineStr">
        <is>
          <t>Avverkning för annat ändamål</t>
        </is>
      </c>
      <c r="D663" s="1" t="n">
        <v>45182</v>
      </c>
      <c r="E663" s="1" t="n">
        <v>46292</v>
      </c>
      <c r="F663" t="inlineStr">
        <is>
          <t>VÄSTERNORRLANDS LÄN</t>
        </is>
      </c>
      <c r="G663" t="inlineStr">
        <is>
          <t>KRAMFORS</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36933-2025</t>
        </is>
      </c>
      <c r="B664" t="inlineStr">
        <is>
          <t>avverkningsanmälan</t>
        </is>
      </c>
      <c r="C664" t="inlineStr">
        <is>
          <t>Föryngringsavverkning</t>
        </is>
      </c>
      <c r="D664" s="1" t="n">
        <v>45874</v>
      </c>
      <c r="E664" s="1" t="n">
        <v>46292</v>
      </c>
      <c r="F664" t="inlineStr">
        <is>
          <t>VÄSTERNORRLANDS LÄN</t>
        </is>
      </c>
      <c r="G664" t="inlineStr">
        <is>
          <t>KRAMFORS</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36876-2025</t>
        </is>
      </c>
      <c r="B665" t="inlineStr">
        <is>
          <t>avverkningsanmälan</t>
        </is>
      </c>
      <c r="C665" t="inlineStr">
        <is>
          <t>Föryngringsavverkning</t>
        </is>
      </c>
      <c r="D665" s="1" t="n">
        <v>45874</v>
      </c>
      <c r="E665" s="1" t="n">
        <v>46292</v>
      </c>
      <c r="F665" t="inlineStr">
        <is>
          <t>VÄSTERNORRLANDS LÄN</t>
        </is>
      </c>
      <c r="G665" t="inlineStr">
        <is>
          <t>KRAMFORS</t>
        </is>
      </c>
      <c r="I665" t="n">
        <v>15.8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56325-2023</t>
        </is>
      </c>
      <c r="B666" t="inlineStr">
        <is>
          <t>avverkningsanmälan</t>
        </is>
      </c>
      <c r="C666" t="inlineStr">
        <is>
          <t>Föryngringsavverkning</t>
        </is>
      </c>
      <c r="D666" s="1" t="n">
        <v>45236</v>
      </c>
      <c r="E666" s="1" t="n">
        <v>46292</v>
      </c>
      <c r="F666" t="inlineStr">
        <is>
          <t>VÄSTERNORRLANDS LÄN</t>
        </is>
      </c>
      <c r="G666" t="inlineStr">
        <is>
          <t>KRAMFORS</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47652-2024</t>
        </is>
      </c>
      <c r="B667" t="inlineStr">
        <is>
          <t>avverkningsanmälan</t>
        </is>
      </c>
      <c r="C667" t="inlineStr">
        <is>
          <t>Föryngringsavverkning</t>
        </is>
      </c>
      <c r="D667" s="1" t="n">
        <v>45588</v>
      </c>
      <c r="E667" s="1" t="n">
        <v>46292</v>
      </c>
      <c r="F667" t="inlineStr">
        <is>
          <t>VÄSTERNORRLANDS LÄN</t>
        </is>
      </c>
      <c r="G667" t="inlineStr">
        <is>
          <t>KRAMFORS</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47667-2024</t>
        </is>
      </c>
      <c r="B668" t="inlineStr">
        <is>
          <t>avverkningsanmälan</t>
        </is>
      </c>
      <c r="C668" t="inlineStr">
        <is>
          <t>Föryngringsavverkning</t>
        </is>
      </c>
      <c r="D668" s="1" t="n">
        <v>45588</v>
      </c>
      <c r="E668" s="1" t="n">
        <v>46292</v>
      </c>
      <c r="F668" t="inlineStr">
        <is>
          <t>VÄSTERNORRLANDS LÄN</t>
        </is>
      </c>
      <c r="G668" t="inlineStr">
        <is>
          <t>KRAMFORS</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47673-2024</t>
        </is>
      </c>
      <c r="B669" t="inlineStr">
        <is>
          <t>avverkningsanmälan</t>
        </is>
      </c>
      <c r="C669" t="inlineStr">
        <is>
          <t>Föryngringsavverkning</t>
        </is>
      </c>
      <c r="D669" s="1" t="n">
        <v>45588</v>
      </c>
      <c r="E669" s="1" t="n">
        <v>46292</v>
      </c>
      <c r="F669" t="inlineStr">
        <is>
          <t>VÄSTERNORRLANDS LÄN</t>
        </is>
      </c>
      <c r="G669" t="inlineStr">
        <is>
          <t>KRAMFORS</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36805-2025</t>
        </is>
      </c>
      <c r="B670" t="inlineStr">
        <is>
          <t>avverkningsanmälan</t>
        </is>
      </c>
      <c r="C670" t="inlineStr">
        <is>
          <t>Föryngringsavverkning</t>
        </is>
      </c>
      <c r="D670" s="1" t="n">
        <v>45873</v>
      </c>
      <c r="E670" s="1" t="n">
        <v>46292</v>
      </c>
      <c r="F670" t="inlineStr">
        <is>
          <t>VÄSTERNORRLANDS LÄN</t>
        </is>
      </c>
      <c r="G670" t="inlineStr">
        <is>
          <t>KRAMFORS</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17112-2023</t>
        </is>
      </c>
      <c r="B671" t="inlineStr">
        <is>
          <t>avverkningsanmälan</t>
        </is>
      </c>
      <c r="C671" t="inlineStr">
        <is>
          <t>Föryngringsavverkning</t>
        </is>
      </c>
      <c r="D671" s="1" t="n">
        <v>45034</v>
      </c>
      <c r="E671" s="1" t="n">
        <v>46292</v>
      </c>
      <c r="F671" t="inlineStr">
        <is>
          <t>VÄSTERNORRLANDS LÄN</t>
        </is>
      </c>
      <c r="G671" t="inlineStr">
        <is>
          <t>KRAMFORS</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27250-2026</t>
        </is>
      </c>
      <c r="B672" t="inlineStr">
        <is>
          <t>avverkningsanmälan</t>
        </is>
      </c>
      <c r="C672" t="inlineStr">
        <is>
          <t>Föryngringsavverkning</t>
        </is>
      </c>
      <c r="D672" s="1" t="n">
        <v>46188</v>
      </c>
      <c r="E672" s="1" t="n">
        <v>46292</v>
      </c>
      <c r="F672" t="inlineStr">
        <is>
          <t>VÄSTERNORRLANDS LÄN</t>
        </is>
      </c>
      <c r="G672" t="inlineStr">
        <is>
          <t>KRAMFORS</t>
        </is>
      </c>
      <c r="I672" t="n">
        <v>13.2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23573-2024</t>
        </is>
      </c>
      <c r="B673" t="inlineStr">
        <is>
          <t>avverkningsanmälan</t>
        </is>
      </c>
      <c r="C673" t="inlineStr">
        <is>
          <t>Föryngringsavverkning</t>
        </is>
      </c>
      <c r="D673" s="1" t="n">
        <v>45454</v>
      </c>
      <c r="E673" s="1" t="n">
        <v>46292</v>
      </c>
      <c r="F673" t="inlineStr">
        <is>
          <t>VÄSTERNORRLANDS LÄN</t>
        </is>
      </c>
      <c r="G673" t="inlineStr">
        <is>
          <t>KRAMFORS</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8257-2022</t>
        </is>
      </c>
      <c r="B674" t="inlineStr">
        <is>
          <t>avverkningsanmälan</t>
        </is>
      </c>
      <c r="C674" t="inlineStr">
        <is>
          <t>Föryngringsavverkning</t>
        </is>
      </c>
      <c r="D674" s="1" t="n">
        <v>44610</v>
      </c>
      <c r="E674" s="1" t="n">
        <v>46292</v>
      </c>
      <c r="F674" t="inlineStr">
        <is>
          <t>VÄSTERNORRLANDS LÄN</t>
        </is>
      </c>
      <c r="G674" t="inlineStr">
        <is>
          <t>KRAMFORS</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27339-2026</t>
        </is>
      </c>
      <c r="B675" t="inlineStr">
        <is>
          <t>avverkningsanmälan</t>
        </is>
      </c>
      <c r="C675" t="inlineStr">
        <is>
          <t>Föryngringsavverkning</t>
        </is>
      </c>
      <c r="D675" s="1" t="n">
        <v>46188</v>
      </c>
      <c r="E675" s="1" t="n">
        <v>46292</v>
      </c>
      <c r="F675" t="inlineStr">
        <is>
          <t>VÄSTERNORRLANDS LÄN</t>
        </is>
      </c>
      <c r="G675" t="inlineStr">
        <is>
          <t>KRAMFORS</t>
        </is>
      </c>
      <c r="H675" t="inlineStr">
        <is>
          <t>SCA</t>
        </is>
      </c>
      <c r="I675" t="n">
        <v>11.3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27229-2026</t>
        </is>
      </c>
      <c r="B676" t="inlineStr">
        <is>
          <t>avverkningsanmälan</t>
        </is>
      </c>
      <c r="C676" t="inlineStr">
        <is>
          <t>Föryngringsavverkning</t>
        </is>
      </c>
      <c r="D676" s="1" t="n">
        <v>46188</v>
      </c>
      <c r="E676" s="1" t="n">
        <v>46292</v>
      </c>
      <c r="F676" t="inlineStr">
        <is>
          <t>VÄSTERNORRLANDS LÄN</t>
        </is>
      </c>
      <c r="G676" t="inlineStr">
        <is>
          <t>KRAMFORS</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28611-2026</t>
        </is>
      </c>
      <c r="B677" t="inlineStr">
        <is>
          <t>avverkningsanmälan</t>
        </is>
      </c>
      <c r="C677" t="inlineStr">
        <is>
          <t>Föryngringsavverkning</t>
        </is>
      </c>
      <c r="D677" s="1" t="n">
        <v>46190</v>
      </c>
      <c r="E677" s="1" t="n">
        <v>46292</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36936-2025</t>
        </is>
      </c>
      <c r="B678" t="inlineStr">
        <is>
          <t>avverkningsanmälan</t>
        </is>
      </c>
      <c r="C678" t="inlineStr">
        <is>
          <t>Föryngringsavverkning</t>
        </is>
      </c>
      <c r="D678" s="1" t="n">
        <v>45874</v>
      </c>
      <c r="E678" s="1" t="n">
        <v>46292</v>
      </c>
      <c r="F678" t="inlineStr">
        <is>
          <t>VÄSTERNORRLANDS LÄN</t>
        </is>
      </c>
      <c r="G678" t="inlineStr">
        <is>
          <t>KRAMFORS</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27648-2026</t>
        </is>
      </c>
      <c r="B679" t="inlineStr">
        <is>
          <t>avverkningsanmälan</t>
        </is>
      </c>
      <c r="C679" t="inlineStr">
        <is>
          <t>Föryngringsavverkning</t>
        </is>
      </c>
      <c r="D679" s="1" t="n">
        <v>46190</v>
      </c>
      <c r="E679" s="1" t="n">
        <v>46292</v>
      </c>
      <c r="F679" t="inlineStr">
        <is>
          <t>VÄSTERNORRLANDS LÄN</t>
        </is>
      </c>
      <c r="G679" t="inlineStr">
        <is>
          <t>KRAMFORS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27657-2026</t>
        </is>
      </c>
      <c r="B680" t="inlineStr">
        <is>
          <t>avverkningsanmälan</t>
        </is>
      </c>
      <c r="C680" t="inlineStr">
        <is>
          <t>Föryngringsavverkning</t>
        </is>
      </c>
      <c r="D680" s="1" t="n">
        <v>46190</v>
      </c>
      <c r="E680" s="1" t="n">
        <v>46292</v>
      </c>
      <c r="F680" t="inlineStr">
        <is>
          <t>VÄSTERNORRLANDS LÄN</t>
        </is>
      </c>
      <c r="G680" t="inlineStr">
        <is>
          <t>KRAMFORS</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27635-2026</t>
        </is>
      </c>
      <c r="B681" t="inlineStr">
        <is>
          <t>avverkningsanmälan</t>
        </is>
      </c>
      <c r="C681" t="inlineStr">
        <is>
          <t>Föryngringsavverkning</t>
        </is>
      </c>
      <c r="D681" s="1" t="n">
        <v>46190</v>
      </c>
      <c r="E681" s="1" t="n">
        <v>46292</v>
      </c>
      <c r="F681" t="inlineStr">
        <is>
          <t>VÄSTERNORRLANDS LÄN</t>
        </is>
      </c>
      <c r="G681" t="inlineStr">
        <is>
          <t>KRAMFORS</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14129-2023</t>
        </is>
      </c>
      <c r="B682" t="inlineStr">
        <is>
          <t>avverkningsanmälan</t>
        </is>
      </c>
      <c r="C682" t="inlineStr">
        <is>
          <t>Föryngringsavverkning</t>
        </is>
      </c>
      <c r="D682" s="1" t="n">
        <v>45008</v>
      </c>
      <c r="E682" s="1" t="n">
        <v>46292</v>
      </c>
      <c r="F682" t="inlineStr">
        <is>
          <t>VÄSTERNORRLANDS LÄN</t>
        </is>
      </c>
      <c r="G682" t="inlineStr">
        <is>
          <t>KRAMFORS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37256-2025</t>
        </is>
      </c>
      <c r="B683" t="inlineStr">
        <is>
          <t>avverkningsanmälan</t>
        </is>
      </c>
      <c r="C683" t="inlineStr">
        <is>
          <t>Avverkning för annat ändamål</t>
        </is>
      </c>
      <c r="D683" s="1" t="n">
        <v>45876</v>
      </c>
      <c r="E683" s="1" t="n">
        <v>46292</v>
      </c>
      <c r="F683" t="inlineStr">
        <is>
          <t>VÄSTERNORRLANDS LÄN</t>
        </is>
      </c>
      <c r="G683" t="inlineStr">
        <is>
          <t>KRAMFORS</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28036-2026</t>
        </is>
      </c>
      <c r="B684" t="inlineStr">
        <is>
          <t>avverkningsanmälan</t>
        </is>
      </c>
      <c r="C684" t="inlineStr">
        <is>
          <t>Föryngringsavverkning</t>
        </is>
      </c>
      <c r="D684" s="1" t="n">
        <v>46195</v>
      </c>
      <c r="E684" s="1" t="n">
        <v>46292</v>
      </c>
      <c r="F684" t="inlineStr">
        <is>
          <t>VÄSTERNORRLANDS LÄN</t>
        </is>
      </c>
      <c r="G684" t="inlineStr">
        <is>
          <t>KRAMFORS</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18798-2025</t>
        </is>
      </c>
      <c r="B685" t="inlineStr">
        <is>
          <t>avverkningsanmälan</t>
        </is>
      </c>
      <c r="C685" t="inlineStr">
        <is>
          <t>Föryngringsavverkning</t>
        </is>
      </c>
      <c r="D685" s="1" t="n">
        <v>45764</v>
      </c>
      <c r="E685" s="1" t="n">
        <v>46292</v>
      </c>
      <c r="F685" t="inlineStr">
        <is>
          <t>VÄSTERNORRLANDS LÄN</t>
        </is>
      </c>
      <c r="G685" t="inlineStr">
        <is>
          <t>KRAMFORS</t>
        </is>
      </c>
      <c r="H685" t="inlineStr">
        <is>
          <t>SCA</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37167-2025</t>
        </is>
      </c>
      <c r="B686" t="inlineStr">
        <is>
          <t>avverkningsanmälan</t>
        </is>
      </c>
      <c r="C686" t="inlineStr">
        <is>
          <t>Föryngringsavverkning</t>
        </is>
      </c>
      <c r="D686" s="1" t="n">
        <v>45875</v>
      </c>
      <c r="E686" s="1" t="n">
        <v>46292</v>
      </c>
      <c r="F686" t="inlineStr">
        <is>
          <t>VÄSTERNORRLANDS LÄN</t>
        </is>
      </c>
      <c r="G686" t="inlineStr">
        <is>
          <t>KRAMFORS</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12338-2023</t>
        </is>
      </c>
      <c r="B687" t="inlineStr">
        <is>
          <t>avverkningsanmälan</t>
        </is>
      </c>
      <c r="C687" t="inlineStr">
        <is>
          <t>Föryngringsavverkning</t>
        </is>
      </c>
      <c r="D687" s="1" t="n">
        <v>44998</v>
      </c>
      <c r="E687" s="1" t="n">
        <v>46292</v>
      </c>
      <c r="F687" t="inlineStr">
        <is>
          <t>VÄSTERNORRLANDS LÄN</t>
        </is>
      </c>
      <c r="G687" t="inlineStr">
        <is>
          <t>KRAMFORS</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28055-2026</t>
        </is>
      </c>
      <c r="B688" t="inlineStr">
        <is>
          <t>avverkningsanmälan</t>
        </is>
      </c>
      <c r="C688" t="inlineStr">
        <is>
          <t>Föryngringsavverkning</t>
        </is>
      </c>
      <c r="D688" s="1" t="n">
        <v>46195</v>
      </c>
      <c r="E688" s="1" t="n">
        <v>46292</v>
      </c>
      <c r="F688" t="inlineStr">
        <is>
          <t>VÄSTERNORRLANDS LÄN</t>
        </is>
      </c>
      <c r="G688" t="inlineStr">
        <is>
          <t>KRAMFORS</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28052-2026</t>
        </is>
      </c>
      <c r="B689" t="inlineStr">
        <is>
          <t>avverkningsanmälan</t>
        </is>
      </c>
      <c r="C689" t="inlineStr">
        <is>
          <t>Föryngringsavverkning</t>
        </is>
      </c>
      <c r="D689" s="1" t="n">
        <v>46195</v>
      </c>
      <c r="E689" s="1" t="n">
        <v>46292</v>
      </c>
      <c r="F689" t="inlineStr">
        <is>
          <t>VÄSTERNORRLANDS LÄN</t>
        </is>
      </c>
      <c r="G689" t="inlineStr">
        <is>
          <t>KRAMFORS</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38447-2023</t>
        </is>
      </c>
      <c r="B690" t="inlineStr">
        <is>
          <t>avverkningsanmälan</t>
        </is>
      </c>
      <c r="C690" t="inlineStr">
        <is>
          <t>Föryngringsavverkning</t>
        </is>
      </c>
      <c r="D690" s="1" t="n">
        <v>45162</v>
      </c>
      <c r="E690" s="1" t="n">
        <v>46292</v>
      </c>
      <c r="F690" t="inlineStr">
        <is>
          <t>VÄSTERNORRLANDS LÄN</t>
        </is>
      </c>
      <c r="G690" t="inlineStr">
        <is>
          <t>KRAMFORS</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29004-2026</t>
        </is>
      </c>
      <c r="B691" t="inlineStr">
        <is>
          <t>avverkningsanmälan</t>
        </is>
      </c>
      <c r="C691" t="inlineStr">
        <is>
          <t>Föryngringsavverkning</t>
        </is>
      </c>
      <c r="D691" s="1" t="n">
        <v>46199</v>
      </c>
      <c r="E691" s="1" t="n">
        <v>46292</v>
      </c>
      <c r="F691" t="inlineStr">
        <is>
          <t>VÄSTERNORRLANDS LÄN</t>
        </is>
      </c>
      <c r="G691" t="inlineStr">
        <is>
          <t>KRAMFORS</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28709-2026</t>
        </is>
      </c>
      <c r="B692" t="inlineStr">
        <is>
          <t>avverkningsanmälan</t>
        </is>
      </c>
      <c r="C692" t="inlineStr">
        <is>
          <t>Föryngringsavverkning</t>
        </is>
      </c>
      <c r="D692" s="1" t="n">
        <v>46198</v>
      </c>
      <c r="E692" s="1" t="n">
        <v>46292</v>
      </c>
      <c r="F692" t="inlineStr">
        <is>
          <t>VÄSTERNORRLANDS LÄN</t>
        </is>
      </c>
      <c r="G692" t="inlineStr">
        <is>
          <t>KRAMFORS</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28937-2026</t>
        </is>
      </c>
      <c r="B693" t="inlineStr">
        <is>
          <t>avverkningsanmälan</t>
        </is>
      </c>
      <c r="C693" t="inlineStr">
        <is>
          <t>Föryngringsavverkning</t>
        </is>
      </c>
      <c r="D693" s="1" t="n">
        <v>46199</v>
      </c>
      <c r="E693" s="1" t="n">
        <v>46292</v>
      </c>
      <c r="F693" t="inlineStr">
        <is>
          <t>VÄSTERNORRLANDS LÄN</t>
        </is>
      </c>
      <c r="G693" t="inlineStr">
        <is>
          <t>KRAMFORS</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28674-2026</t>
        </is>
      </c>
      <c r="B694" t="inlineStr">
        <is>
          <t>avverkningsanmälan</t>
        </is>
      </c>
      <c r="C694" t="inlineStr">
        <is>
          <t>Föryngringsavverkning</t>
        </is>
      </c>
      <c r="D694" s="1" t="n">
        <v>46198</v>
      </c>
      <c r="E694" s="1" t="n">
        <v>46292</v>
      </c>
      <c r="F694" t="inlineStr">
        <is>
          <t>VÄSTERNORRLANDS LÄN</t>
        </is>
      </c>
      <c r="G694" t="inlineStr">
        <is>
          <t>KRAMFORS</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28710-2026</t>
        </is>
      </c>
      <c r="B695" t="inlineStr">
        <is>
          <t>avverkningsanmälan</t>
        </is>
      </c>
      <c r="C695" t="inlineStr">
        <is>
          <t>Föryngringsavverkning</t>
        </is>
      </c>
      <c r="D695" s="1" t="n">
        <v>46198</v>
      </c>
      <c r="E695" s="1" t="n">
        <v>46292</v>
      </c>
      <c r="F695" t="inlineStr">
        <is>
          <t>VÄSTERNORRLANDS LÄN</t>
        </is>
      </c>
      <c r="G695" t="inlineStr">
        <is>
          <t>KRAMFORS</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28905-2026</t>
        </is>
      </c>
      <c r="B696" t="inlineStr">
        <is>
          <t>avverkningsanmälan</t>
        </is>
      </c>
      <c r="C696" t="inlineStr">
        <is>
          <t>Föryngringsavverkning</t>
        </is>
      </c>
      <c r="D696" s="1" t="n">
        <v>46199</v>
      </c>
      <c r="E696" s="1" t="n">
        <v>46292</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1590-2026</t>
        </is>
      </c>
      <c r="B697" t="inlineStr">
        <is>
          <t>avverkningsanmälan</t>
        </is>
      </c>
      <c r="C697" t="inlineStr">
        <is>
          <t>Föryngringsavverkning</t>
        </is>
      </c>
      <c r="D697" s="1" t="n">
        <v>46034</v>
      </c>
      <c r="E697" s="1" t="n">
        <v>46292</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28730-2026</t>
        </is>
      </c>
      <c r="B698" t="inlineStr">
        <is>
          <t>avverkningsanmälan</t>
        </is>
      </c>
      <c r="C698" t="inlineStr">
        <is>
          <t>Föryngringsavverkning</t>
        </is>
      </c>
      <c r="D698" s="1" t="n">
        <v>46198</v>
      </c>
      <c r="E698" s="1" t="n">
        <v>46292</v>
      </c>
      <c r="F698" t="inlineStr">
        <is>
          <t>VÄSTERNORRLANDS LÄN</t>
        </is>
      </c>
      <c r="G698" t="inlineStr">
        <is>
          <t>KRAMFORS</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28662-2026</t>
        </is>
      </c>
      <c r="B699" t="inlineStr">
        <is>
          <t>avverkningsanmälan</t>
        </is>
      </c>
      <c r="C699" t="inlineStr">
        <is>
          <t>Föryngringsavverkning</t>
        </is>
      </c>
      <c r="D699" s="1" t="n">
        <v>46198</v>
      </c>
      <c r="E699" s="1" t="n">
        <v>46292</v>
      </c>
      <c r="F699" t="inlineStr">
        <is>
          <t>VÄSTERNORRLANDS LÄN</t>
        </is>
      </c>
      <c r="G699" t="inlineStr">
        <is>
          <t>KRAMFORS</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37949-2025</t>
        </is>
      </c>
      <c r="B700" t="inlineStr">
        <is>
          <t>avverkningsanmälan</t>
        </is>
      </c>
      <c r="C700" t="inlineStr">
        <is>
          <t>Föryngringsavverkning</t>
        </is>
      </c>
      <c r="D700" s="1" t="n">
        <v>45881</v>
      </c>
      <c r="E700" s="1" t="n">
        <v>46292</v>
      </c>
      <c r="F700" t="inlineStr">
        <is>
          <t>VÄSTERNORRLANDS LÄN</t>
        </is>
      </c>
      <c r="G700" t="inlineStr">
        <is>
          <t>KRAMFORS</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37953-2025</t>
        </is>
      </c>
      <c r="B701" t="inlineStr">
        <is>
          <t>avverkningsanmälan</t>
        </is>
      </c>
      <c r="C701" t="inlineStr">
        <is>
          <t>Föryngringsavverkning</t>
        </is>
      </c>
      <c r="D701" s="1" t="n">
        <v>45881</v>
      </c>
      <c r="E701" s="1" t="n">
        <v>46292</v>
      </c>
      <c r="F701" t="inlineStr">
        <is>
          <t>VÄSTERNORRLANDS LÄN</t>
        </is>
      </c>
      <c r="G701" t="inlineStr">
        <is>
          <t>KRAMFORS</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183-2022</t>
        </is>
      </c>
      <c r="B702" t="inlineStr">
        <is>
          <t>avverkningsanmälan</t>
        </is>
      </c>
      <c r="C702" t="inlineStr">
        <is>
          <t>Föryngringsavverkning</t>
        </is>
      </c>
      <c r="D702" s="1" t="n">
        <v>44564</v>
      </c>
      <c r="E702" s="1" t="n">
        <v>46292</v>
      </c>
      <c r="F702" t="inlineStr">
        <is>
          <t>VÄSTERNORRLANDS LÄN</t>
        </is>
      </c>
      <c r="G702" t="inlineStr">
        <is>
          <t>KRAMFORS</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29623-2026</t>
        </is>
      </c>
      <c r="B703" t="inlineStr">
        <is>
          <t>avverkningsanmälan</t>
        </is>
      </c>
      <c r="C703" t="inlineStr">
        <is>
          <t>Föryngringsavverkning</t>
        </is>
      </c>
      <c r="D703" s="1" t="n">
        <v>46204</v>
      </c>
      <c r="E703" s="1" t="n">
        <v>46292</v>
      </c>
      <c r="F703" t="inlineStr">
        <is>
          <t>VÄSTERNORRLANDS LÄN</t>
        </is>
      </c>
      <c r="G703" t="inlineStr">
        <is>
          <t>KRAMFORS</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38265-2025</t>
        </is>
      </c>
      <c r="B704" t="inlineStr">
        <is>
          <t>avverkningsanmälan</t>
        </is>
      </c>
      <c r="C704" t="inlineStr">
        <is>
          <t>Föryngringsavverkning</t>
        </is>
      </c>
      <c r="D704" s="1" t="n">
        <v>45883</v>
      </c>
      <c r="E704" s="1" t="n">
        <v>46292</v>
      </c>
      <c r="F704" t="inlineStr">
        <is>
          <t>VÄSTERNORRLANDS LÄN</t>
        </is>
      </c>
      <c r="G704" t="inlineStr">
        <is>
          <t>KRAMFORS</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29794-2026</t>
        </is>
      </c>
      <c r="B705" t="inlineStr">
        <is>
          <t>avverkningsanmälan</t>
        </is>
      </c>
      <c r="C705" t="inlineStr">
        <is>
          <t>Avverkning för annat ändamål</t>
        </is>
      </c>
      <c r="D705" s="1" t="n">
        <v>46205</v>
      </c>
      <c r="E705" s="1" t="n">
        <v>46292</v>
      </c>
      <c r="F705" t="inlineStr">
        <is>
          <t>VÄSTERNORRLANDS LÄN</t>
        </is>
      </c>
      <c r="G705" t="inlineStr">
        <is>
          <t>KRAMFORS</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11247-2025</t>
        </is>
      </c>
      <c r="B706" t="inlineStr">
        <is>
          <t>avverkningsanmälan</t>
        </is>
      </c>
      <c r="C706" t="inlineStr">
        <is>
          <t>Föryngringsavverkning</t>
        </is>
      </c>
      <c r="D706" s="1" t="n">
        <v>45726</v>
      </c>
      <c r="E706" s="1" t="n">
        <v>46292</v>
      </c>
      <c r="F706" t="inlineStr">
        <is>
          <t>VÄSTERNORRLANDS LÄN</t>
        </is>
      </c>
      <c r="G706" t="inlineStr">
        <is>
          <t>KRAMFORS</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33780-2026</t>
        </is>
      </c>
      <c r="B707" t="inlineStr">
        <is>
          <t>avverkningsanmälan</t>
        </is>
      </c>
      <c r="C707" t="inlineStr">
        <is>
          <t>Föryngringsavverkning</t>
        </is>
      </c>
      <c r="D707" s="1" t="n">
        <v>46251</v>
      </c>
      <c r="E707" s="1" t="n">
        <v>46292</v>
      </c>
      <c r="F707" t="inlineStr">
        <is>
          <t>VÄSTERNORRLANDS LÄN</t>
        </is>
      </c>
      <c r="G707" t="inlineStr">
        <is>
          <t>KRAMFORS</t>
        </is>
      </c>
      <c r="H707" t="inlineStr">
        <is>
          <t>Kommuner</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55787-2024</t>
        </is>
      </c>
      <c r="B708" t="inlineStr">
        <is>
          <t>avverkningsanmälan</t>
        </is>
      </c>
      <c r="C708" t="inlineStr">
        <is>
          <t>Föryngringsavverkning</t>
        </is>
      </c>
      <c r="D708" s="1" t="n">
        <v>45623</v>
      </c>
      <c r="E708" s="1" t="n">
        <v>46292</v>
      </c>
      <c r="F708" t="inlineStr">
        <is>
          <t>VÄSTERNORRLANDS LÄN</t>
        </is>
      </c>
      <c r="G708" t="inlineStr">
        <is>
          <t>KRAMFORS</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7367-2022</t>
        </is>
      </c>
      <c r="B709" t="inlineStr">
        <is>
          <t>avverkningsanmälan</t>
        </is>
      </c>
      <c r="C709" t="inlineStr">
        <is>
          <t>Föryngringsavverkning</t>
        </is>
      </c>
      <c r="D709" s="1" t="n">
        <v>44606</v>
      </c>
      <c r="E709" s="1" t="n">
        <v>46292</v>
      </c>
      <c r="F709" t="inlineStr">
        <is>
          <t>VÄSTERNORRLANDS LÄN</t>
        </is>
      </c>
      <c r="G709" t="inlineStr">
        <is>
          <t>KRAMFORS</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19021-2025</t>
        </is>
      </c>
      <c r="B710" t="inlineStr">
        <is>
          <t>avverkningsanmälan</t>
        </is>
      </c>
      <c r="C710" t="inlineStr">
        <is>
          <t>Föryngringsavverkning</t>
        </is>
      </c>
      <c r="D710" s="1" t="n">
        <v>45764</v>
      </c>
      <c r="E710" s="1" t="n">
        <v>46292</v>
      </c>
      <c r="F710" t="inlineStr">
        <is>
          <t>VÄSTERNORRLANDS LÄN</t>
        </is>
      </c>
      <c r="G710" t="inlineStr">
        <is>
          <t>KRAMFORS</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33721-2026</t>
        </is>
      </c>
      <c r="B711" t="inlineStr">
        <is>
          <t>avverkningsanmälan</t>
        </is>
      </c>
      <c r="C711" t="inlineStr">
        <is>
          <t>Föryngringsavverkning</t>
        </is>
      </c>
      <c r="D711" s="1" t="n">
        <v>46251</v>
      </c>
      <c r="E711" s="1" t="n">
        <v>46292</v>
      </c>
      <c r="F711" t="inlineStr">
        <is>
          <t>VÄSTERNORRLANDS LÄN</t>
        </is>
      </c>
      <c r="G711" t="inlineStr">
        <is>
          <t>KRAMFORS</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33735-2026</t>
        </is>
      </c>
      <c r="B712" t="inlineStr">
        <is>
          <t>avverkningsanmälan</t>
        </is>
      </c>
      <c r="C712" t="inlineStr">
        <is>
          <t>Föryngringsavverkning</t>
        </is>
      </c>
      <c r="D712" s="1" t="n">
        <v>46251</v>
      </c>
      <c r="E712" s="1" t="n">
        <v>46292</v>
      </c>
      <c r="F712" t="inlineStr">
        <is>
          <t>VÄSTERNORRLANDS LÄN</t>
        </is>
      </c>
      <c r="G712" t="inlineStr">
        <is>
          <t>KRAMFORS</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38536-2022</t>
        </is>
      </c>
      <c r="B713" t="inlineStr">
        <is>
          <t>avverkningsanmälan</t>
        </is>
      </c>
      <c r="C713" t="inlineStr">
        <is>
          <t>Avverkning för att bevara och utveckla /försöksver</t>
        </is>
      </c>
      <c r="D713" s="1" t="n">
        <v>44813</v>
      </c>
      <c r="E713" s="1" t="n">
        <v>46292</v>
      </c>
      <c r="F713" t="inlineStr">
        <is>
          <t>VÄSTERNORRLANDS LÄN</t>
        </is>
      </c>
      <c r="G713" t="inlineStr">
        <is>
          <t>KRAMFORS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30368-2026</t>
        </is>
      </c>
      <c r="B714" t="inlineStr">
        <is>
          <t>avverkningsanmälan</t>
        </is>
      </c>
      <c r="C714" t="inlineStr">
        <is>
          <t>Föryngringsavverkning</t>
        </is>
      </c>
      <c r="D714" s="1" t="n">
        <v>46209</v>
      </c>
      <c r="E714" s="1" t="n">
        <v>46292</v>
      </c>
      <c r="F714" t="inlineStr">
        <is>
          <t>VÄSTERNORRLANDS LÄN</t>
        </is>
      </c>
      <c r="G714" t="inlineStr">
        <is>
          <t>KRAMFORS</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30366-2026</t>
        </is>
      </c>
      <c r="B715" t="inlineStr">
        <is>
          <t>avverkningsanmälan</t>
        </is>
      </c>
      <c r="C715" t="inlineStr">
        <is>
          <t>Föryngringsavverkning</t>
        </is>
      </c>
      <c r="D715" s="1" t="n">
        <v>46209</v>
      </c>
      <c r="E715" s="1" t="n">
        <v>46292</v>
      </c>
      <c r="F715" t="inlineStr">
        <is>
          <t>VÄSTERNORRLANDS LÄN</t>
        </is>
      </c>
      <c r="G715" t="inlineStr">
        <is>
          <t>KRAMFORS</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30344-2026</t>
        </is>
      </c>
      <c r="B716" t="inlineStr">
        <is>
          <t>avverkningsanmälan</t>
        </is>
      </c>
      <c r="C716" t="inlineStr">
        <is>
          <t>Föryngringsavverkning</t>
        </is>
      </c>
      <c r="D716" s="1" t="n">
        <v>46209</v>
      </c>
      <c r="E716" s="1" t="n">
        <v>46292</v>
      </c>
      <c r="F716" t="inlineStr">
        <is>
          <t>VÄSTERNORRLANDS LÄN</t>
        </is>
      </c>
      <c r="G716" t="inlineStr">
        <is>
          <t>KRAMFORS</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34195-2026</t>
        </is>
      </c>
      <c r="B717" t="inlineStr">
        <is>
          <t>avverkningsanmälan</t>
        </is>
      </c>
      <c r="C717" t="inlineStr">
        <is>
          <t>Föryngringsavverkning</t>
        </is>
      </c>
      <c r="D717" s="1" t="n">
        <v>46253</v>
      </c>
      <c r="E717" s="1" t="n">
        <v>46292</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34194-2026</t>
        </is>
      </c>
      <c r="B718" t="inlineStr">
        <is>
          <t>avverkningsanmälan</t>
        </is>
      </c>
      <c r="C718" t="inlineStr">
        <is>
          <t>Föryngringsavverkning</t>
        </is>
      </c>
      <c r="D718" s="1" t="n">
        <v>46253</v>
      </c>
      <c r="E718" s="1" t="n">
        <v>46292</v>
      </c>
      <c r="F718" t="inlineStr">
        <is>
          <t>VÄSTERNORRLANDS LÄN</t>
        </is>
      </c>
      <c r="G718" t="inlineStr">
        <is>
          <t>KRAMFORS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48558-2023</t>
        </is>
      </c>
      <c r="B719" t="inlineStr">
        <is>
          <t>avverkningsanmälan</t>
        </is>
      </c>
      <c r="C719" t="inlineStr">
        <is>
          <t>Föryngringsavverkning</t>
        </is>
      </c>
      <c r="D719" s="1" t="n">
        <v>45202</v>
      </c>
      <c r="E719" s="1" t="n">
        <v>46292</v>
      </c>
      <c r="F719" t="inlineStr">
        <is>
          <t>VÄSTERNORRLANDS LÄN</t>
        </is>
      </c>
      <c r="G719" t="inlineStr">
        <is>
          <t>KRAMFORS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30543-2026</t>
        </is>
      </c>
      <c r="B720" t="inlineStr">
        <is>
          <t>avverkningsanmälan</t>
        </is>
      </c>
      <c r="C720" t="inlineStr">
        <is>
          <t>Föryngringsavverkning</t>
        </is>
      </c>
      <c r="D720" s="1" t="n">
        <v>46210</v>
      </c>
      <c r="E720" s="1" t="n">
        <v>46292</v>
      </c>
      <c r="F720" t="inlineStr">
        <is>
          <t>VÄSTERNORRLANDS LÄN</t>
        </is>
      </c>
      <c r="G720" t="inlineStr">
        <is>
          <t>KRAMFORS</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34346-2026</t>
        </is>
      </c>
      <c r="B721" t="inlineStr">
        <is>
          <t>avverkningsanmälan</t>
        </is>
      </c>
      <c r="C721" t="inlineStr">
        <is>
          <t>Föryngringsavverkning</t>
        </is>
      </c>
      <c r="D721" s="1" t="n">
        <v>46254</v>
      </c>
      <c r="E721" s="1" t="n">
        <v>46292</v>
      </c>
      <c r="F721" t="inlineStr">
        <is>
          <t>VÄSTERNORRLANDS LÄN</t>
        </is>
      </c>
      <c r="G721" t="inlineStr">
        <is>
          <t>KRAMFORS</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34313-2026</t>
        </is>
      </c>
      <c r="B722" t="inlineStr">
        <is>
          <t>avverkningsanmälan</t>
        </is>
      </c>
      <c r="C722" t="inlineStr">
        <is>
          <t>Föryngringsavverkning</t>
        </is>
      </c>
      <c r="D722" s="1" t="n">
        <v>46254</v>
      </c>
      <c r="E722" s="1" t="n">
        <v>46292</v>
      </c>
      <c r="F722" t="inlineStr">
        <is>
          <t>VÄSTERNORRLANDS LÄN</t>
        </is>
      </c>
      <c r="G722" t="inlineStr">
        <is>
          <t>KRAMFORS</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34193-2026</t>
        </is>
      </c>
      <c r="B723" t="inlineStr">
        <is>
          <t>avverkningsanmälan</t>
        </is>
      </c>
      <c r="C723" t="inlineStr">
        <is>
          <t>Föryngringsavverkning</t>
        </is>
      </c>
      <c r="D723" s="1" t="n">
        <v>46253</v>
      </c>
      <c r="E723" s="1" t="n">
        <v>46292</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30542-2026</t>
        </is>
      </c>
      <c r="B724" t="inlineStr">
        <is>
          <t>avverkningsanmälan</t>
        </is>
      </c>
      <c r="C724" t="inlineStr">
        <is>
          <t>Föryngringsavverkning</t>
        </is>
      </c>
      <c r="D724" s="1" t="n">
        <v>46210</v>
      </c>
      <c r="E724" s="1" t="n">
        <v>46292</v>
      </c>
      <c r="F724" t="inlineStr">
        <is>
          <t>VÄSTERNORRLANDS LÄN</t>
        </is>
      </c>
      <c r="G724" t="inlineStr">
        <is>
          <t>KRAMFORS</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34658-2026</t>
        </is>
      </c>
      <c r="B725" t="inlineStr">
        <is>
          <t>avverkningsanmälan</t>
        </is>
      </c>
      <c r="C725" t="inlineStr">
        <is>
          <t>Föryngringsavverkning</t>
        </is>
      </c>
      <c r="D725" s="1" t="n">
        <v>46256</v>
      </c>
      <c r="E725" s="1" t="n">
        <v>46292</v>
      </c>
      <c r="F725" t="inlineStr">
        <is>
          <t>VÄSTERNORRLANDS LÄN</t>
        </is>
      </c>
      <c r="G725" t="inlineStr">
        <is>
          <t>KRAMFORS</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12107-2025</t>
        </is>
      </c>
      <c r="B726" t="inlineStr">
        <is>
          <t>avverkningsanmälan</t>
        </is>
      </c>
      <c r="C726" t="inlineStr">
        <is>
          <t>Föryngringsavverkning</t>
        </is>
      </c>
      <c r="D726" s="1" t="n">
        <v>45729</v>
      </c>
      <c r="E726" s="1" t="n">
        <v>46292</v>
      </c>
      <c r="F726" t="inlineStr">
        <is>
          <t>VÄSTERNORRLANDS LÄN</t>
        </is>
      </c>
      <c r="G726" t="inlineStr">
        <is>
          <t>KRAMFORS</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34657-2026</t>
        </is>
      </c>
      <c r="B727" t="inlineStr">
        <is>
          <t>avverkningsanmälan</t>
        </is>
      </c>
      <c r="C727" t="inlineStr">
        <is>
          <t>Föryngringsavverkning</t>
        </is>
      </c>
      <c r="D727" s="1" t="n">
        <v>46256</v>
      </c>
      <c r="E727" s="1" t="n">
        <v>46292</v>
      </c>
      <c r="F727" t="inlineStr">
        <is>
          <t>VÄSTERNORRLANDS LÄN</t>
        </is>
      </c>
      <c r="G727" t="inlineStr">
        <is>
          <t>KRAMFORS</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54188-2023</t>
        </is>
      </c>
      <c r="B728" t="inlineStr">
        <is>
          <t>avverkningsanmälan</t>
        </is>
      </c>
      <c r="C728" t="inlineStr">
        <is>
          <t>Föryngringsavverkning</t>
        </is>
      </c>
      <c r="D728" s="1" t="n">
        <v>45232</v>
      </c>
      <c r="E728" s="1" t="n">
        <v>46292</v>
      </c>
      <c r="F728" t="inlineStr">
        <is>
          <t>VÄSTERNORRLANDS LÄN</t>
        </is>
      </c>
      <c r="G728" t="inlineStr">
        <is>
          <t>KRAMFORS</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10510-2024</t>
        </is>
      </c>
      <c r="B729" t="inlineStr">
        <is>
          <t>avverkningsanmälan</t>
        </is>
      </c>
      <c r="C729" t="inlineStr">
        <is>
          <t>Föryngringsavverkning</t>
        </is>
      </c>
      <c r="D729" s="1" t="n">
        <v>45366</v>
      </c>
      <c r="E729" s="1" t="n">
        <v>46292</v>
      </c>
      <c r="F729" t="inlineStr">
        <is>
          <t>VÄSTERNORRLANDS LÄN</t>
        </is>
      </c>
      <c r="G729" t="inlineStr">
        <is>
          <t>KRAMFORS</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1624-2022</t>
        </is>
      </c>
      <c r="B730" t="inlineStr">
        <is>
          <t>avverkningsanmälan</t>
        </is>
      </c>
      <c r="C730" t="inlineStr">
        <is>
          <t>Föryngringsavverkning</t>
        </is>
      </c>
      <c r="D730" s="1" t="n">
        <v>44573</v>
      </c>
      <c r="E730" s="1" t="n">
        <v>46292</v>
      </c>
      <c r="F730" t="inlineStr">
        <is>
          <t>VÄSTERNORRLANDS LÄN</t>
        </is>
      </c>
      <c r="G730" t="inlineStr">
        <is>
          <t>KRAMFORS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34801-2026</t>
        </is>
      </c>
      <c r="B731" t="inlineStr">
        <is>
          <t>avverkningsanmälan</t>
        </is>
      </c>
      <c r="C731" t="inlineStr">
        <is>
          <t>Föryngringsavverkning</t>
        </is>
      </c>
      <c r="D731" s="1" t="n">
        <v>46258</v>
      </c>
      <c r="E731" s="1" t="n">
        <v>46292</v>
      </c>
      <c r="F731" t="inlineStr">
        <is>
          <t>VÄSTERNORRLANDS LÄN</t>
        </is>
      </c>
      <c r="G731" t="inlineStr">
        <is>
          <t>KRAMFORS</t>
        </is>
      </c>
      <c r="H731" t="inlineStr">
        <is>
          <t>SCA</t>
        </is>
      </c>
      <c r="I731" t="n">
        <v>10.2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17774-2025</t>
        </is>
      </c>
      <c r="B732" t="inlineStr">
        <is>
          <t>avverkningsanmälan</t>
        </is>
      </c>
      <c r="C732" t="inlineStr">
        <is>
          <t>Föryngringsavverkning</t>
        </is>
      </c>
      <c r="D732" s="1" t="n">
        <v>45758</v>
      </c>
      <c r="E732" s="1" t="n">
        <v>46292</v>
      </c>
      <c r="F732" t="inlineStr">
        <is>
          <t>VÄSTERNORRLANDS LÄN</t>
        </is>
      </c>
      <c r="G732" t="inlineStr">
        <is>
          <t>KRAMFORS</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55231-2023</t>
        </is>
      </c>
      <c r="B733" t="inlineStr">
        <is>
          <t>avverkningsanmälan</t>
        </is>
      </c>
      <c r="C733" t="inlineStr">
        <is>
          <t>Föryngringsavverkning</t>
        </is>
      </c>
      <c r="D733" s="1" t="n">
        <v>45237</v>
      </c>
      <c r="E733" s="1" t="n">
        <v>46292</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7934-2025</t>
        </is>
      </c>
      <c r="B734" t="inlineStr">
        <is>
          <t>avverkningsanmälan</t>
        </is>
      </c>
      <c r="C734" t="inlineStr">
        <is>
          <t>Föryngringsavverkning</t>
        </is>
      </c>
      <c r="D734" s="1" t="n">
        <v>45707</v>
      </c>
      <c r="E734" s="1" t="n">
        <v>46292</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38997-2023</t>
        </is>
      </c>
      <c r="B735" t="inlineStr">
        <is>
          <t>avverkningsanmälan</t>
        </is>
      </c>
      <c r="C735" t="inlineStr">
        <is>
          <t>Föryngringsavverkning</t>
        </is>
      </c>
      <c r="D735" s="1" t="n">
        <v>45161</v>
      </c>
      <c r="E735" s="1" t="n">
        <v>46292</v>
      </c>
      <c r="F735" t="inlineStr">
        <is>
          <t>VÄSTERNORRLANDS LÄN</t>
        </is>
      </c>
      <c r="G735" t="inlineStr">
        <is>
          <t>KRAMFORS</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11177-2025</t>
        </is>
      </c>
      <c r="B736" t="inlineStr">
        <is>
          <t>avverkningsanmälan</t>
        </is>
      </c>
      <c r="C736" t="inlineStr">
        <is>
          <t>Föryngringsavverkning</t>
        </is>
      </c>
      <c r="D736" s="1" t="n">
        <v>45724</v>
      </c>
      <c r="E736" s="1" t="n">
        <v>46292</v>
      </c>
      <c r="F736" t="inlineStr">
        <is>
          <t>VÄSTERNORRLANDS LÄN</t>
        </is>
      </c>
      <c r="G736" t="inlineStr">
        <is>
          <t>KRAMFORS</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18653-2025</t>
        </is>
      </c>
      <c r="B737" t="inlineStr">
        <is>
          <t>avverkningsanmälan</t>
        </is>
      </c>
      <c r="C737" t="inlineStr">
        <is>
          <t>Föryngringsavverkning</t>
        </is>
      </c>
      <c r="D737" s="1" t="n">
        <v>45763</v>
      </c>
      <c r="E737" s="1" t="n">
        <v>46292</v>
      </c>
      <c r="F737" t="inlineStr">
        <is>
          <t>VÄSTERNORRLANDS LÄN</t>
        </is>
      </c>
      <c r="G737" t="inlineStr">
        <is>
          <t>KRAMFORS</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35554-2026</t>
        </is>
      </c>
      <c r="B738" t="inlineStr">
        <is>
          <t>avverkningsanmälan</t>
        </is>
      </c>
      <c r="C738" t="inlineStr">
        <is>
          <t>Föryngringsavverkning</t>
        </is>
      </c>
      <c r="D738" s="1" t="n">
        <v>46262</v>
      </c>
      <c r="E738" s="1" t="n">
        <v>46292</v>
      </c>
      <c r="F738" t="inlineStr">
        <is>
          <t>VÄSTERNORRLANDS LÄN</t>
        </is>
      </c>
      <c r="G738" t="inlineStr">
        <is>
          <t>KRAMFORS</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1077-2024</t>
        </is>
      </c>
      <c r="B739" t="inlineStr">
        <is>
          <t>avverkningsanmälan</t>
        </is>
      </c>
      <c r="C739" t="inlineStr">
        <is>
          <t>Föryngringsavverkning</t>
        </is>
      </c>
      <c r="D739" s="1" t="n">
        <v>45302</v>
      </c>
      <c r="E739" s="1" t="n">
        <v>46292</v>
      </c>
      <c r="F739" t="inlineStr">
        <is>
          <t>VÄSTERNORRLANDS LÄN</t>
        </is>
      </c>
      <c r="G739" t="inlineStr">
        <is>
          <t>KRAMFORS</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26723-2022</t>
        </is>
      </c>
      <c r="B740" t="inlineStr">
        <is>
          <t>avverkningsanmälan</t>
        </is>
      </c>
      <c r="C740" t="inlineStr">
        <is>
          <t>Föryngringsavverkning</t>
        </is>
      </c>
      <c r="D740" s="1" t="n">
        <v>44739</v>
      </c>
      <c r="E740" s="1" t="n">
        <v>46292</v>
      </c>
      <c r="F740" t="inlineStr">
        <is>
          <t>VÄSTERNORRLANDS LÄN</t>
        </is>
      </c>
      <c r="G740" t="inlineStr">
        <is>
          <t>KRAMFORS</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64482-2023</t>
        </is>
      </c>
      <c r="B741" t="inlineStr">
        <is>
          <t>avverkningsanmälan</t>
        </is>
      </c>
      <c r="C741" t="inlineStr">
        <is>
          <t>Föryngringsavverkning</t>
        </is>
      </c>
      <c r="D741" s="1" t="n">
        <v>45280</v>
      </c>
      <c r="E741" s="1" t="n">
        <v>46292</v>
      </c>
      <c r="F741" t="inlineStr">
        <is>
          <t>VÄSTERNORRLANDS LÄN</t>
        </is>
      </c>
      <c r="G741" t="inlineStr">
        <is>
          <t>KRAMFORS</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34330-2022</t>
        </is>
      </c>
      <c r="B742" t="inlineStr">
        <is>
          <t>avverkningsanmälan</t>
        </is>
      </c>
      <c r="C742" t="inlineStr">
        <is>
          <t>Föryngringsavverkning</t>
        </is>
      </c>
      <c r="D742" s="1" t="n">
        <v>44792</v>
      </c>
      <c r="E742" s="1" t="n">
        <v>46292</v>
      </c>
      <c r="F742" t="inlineStr">
        <is>
          <t>VÄSTERNORRLANDS LÄN</t>
        </is>
      </c>
      <c r="G742" t="inlineStr">
        <is>
          <t>KRAMFORS</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35791-2026</t>
        </is>
      </c>
      <c r="B743" t="inlineStr">
        <is>
          <t>avverkningsanmälan</t>
        </is>
      </c>
      <c r="C743" t="inlineStr">
        <is>
          <t>Föryngringsavverkning</t>
        </is>
      </c>
      <c r="D743" s="1" t="n">
        <v>46265</v>
      </c>
      <c r="E743" s="1" t="n">
        <v>46292</v>
      </c>
      <c r="F743" t="inlineStr">
        <is>
          <t>VÄSTERNORRLANDS LÄN</t>
        </is>
      </c>
      <c r="G743" t="inlineStr">
        <is>
          <t>KRAMFORS</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64042-2023</t>
        </is>
      </c>
      <c r="B744" t="inlineStr">
        <is>
          <t>avverkningsanmälan</t>
        </is>
      </c>
      <c r="C744" t="inlineStr">
        <is>
          <t>Föryngringsavverkning</t>
        </is>
      </c>
      <c r="D744" s="1" t="n">
        <v>45279</v>
      </c>
      <c r="E744" s="1" t="n">
        <v>46292</v>
      </c>
      <c r="F744" t="inlineStr">
        <is>
          <t>VÄSTERNORRLANDS LÄN</t>
        </is>
      </c>
      <c r="G744" t="inlineStr">
        <is>
          <t>KRAMFORS</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35636-2026</t>
        </is>
      </c>
      <c r="B745" t="inlineStr">
        <is>
          <t>avverkningsanmälan</t>
        </is>
      </c>
      <c r="C745" t="inlineStr">
        <is>
          <t>Föryngringsavverkning</t>
        </is>
      </c>
      <c r="D745" s="1" t="n">
        <v>46265</v>
      </c>
      <c r="E745" s="1" t="n">
        <v>46292</v>
      </c>
      <c r="F745" t="inlineStr">
        <is>
          <t>VÄSTERNORRLANDS LÄN</t>
        </is>
      </c>
      <c r="G745" t="inlineStr">
        <is>
          <t>KRAMFORS</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35811-2026</t>
        </is>
      </c>
      <c r="B746" t="inlineStr">
        <is>
          <t>avverkningsanmälan</t>
        </is>
      </c>
      <c r="C746" t="inlineStr">
        <is>
          <t>Föryngringsavverkning</t>
        </is>
      </c>
      <c r="D746" s="1" t="n">
        <v>46265</v>
      </c>
      <c r="E746" s="1" t="n">
        <v>46292</v>
      </c>
      <c r="F746" t="inlineStr">
        <is>
          <t>VÄSTERNORRLANDS LÄN</t>
        </is>
      </c>
      <c r="G746" t="inlineStr">
        <is>
          <t>KRAMFORS</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35735-2026</t>
        </is>
      </c>
      <c r="B747" t="inlineStr">
        <is>
          <t>avverkningsanmälan</t>
        </is>
      </c>
      <c r="C747" t="inlineStr">
        <is>
          <t>Föryngringsavverkning</t>
        </is>
      </c>
      <c r="D747" s="1" t="n">
        <v>46265</v>
      </c>
      <c r="E747" s="1" t="n">
        <v>46292</v>
      </c>
      <c r="F747" t="inlineStr">
        <is>
          <t>VÄSTERNORRLANDS LÄN</t>
        </is>
      </c>
      <c r="G747" t="inlineStr">
        <is>
          <t>KRAMFORS</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20437-2026</t>
        </is>
      </c>
      <c r="B748" t="inlineStr">
        <is>
          <t>avverkningsanmälan</t>
        </is>
      </c>
      <c r="C748" t="inlineStr">
        <is>
          <t>Föryngringsavverkning</t>
        </is>
      </c>
      <c r="D748" s="1" t="n">
        <v>46140</v>
      </c>
      <c r="E748" s="1" t="n">
        <v>46292</v>
      </c>
      <c r="F748" t="inlineStr">
        <is>
          <t>VÄSTERNORRLANDS LÄN</t>
        </is>
      </c>
      <c r="G748" t="inlineStr">
        <is>
          <t>KRAMFORS</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35797-2026</t>
        </is>
      </c>
      <c r="B749" t="inlineStr">
        <is>
          <t>avverkningsanmälan</t>
        </is>
      </c>
      <c r="C749" t="inlineStr">
        <is>
          <t>Föryngringsavverkning</t>
        </is>
      </c>
      <c r="D749" s="1" t="n">
        <v>46265</v>
      </c>
      <c r="E749" s="1" t="n">
        <v>46292</v>
      </c>
      <c r="F749" t="inlineStr">
        <is>
          <t>VÄSTERNORRLANDS LÄN</t>
        </is>
      </c>
      <c r="G749" t="inlineStr">
        <is>
          <t>KRAMFORS</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35618-2026</t>
        </is>
      </c>
      <c r="B750" t="inlineStr">
        <is>
          <t>avverkningsanmälan</t>
        </is>
      </c>
      <c r="C750" t="inlineStr">
        <is>
          <t>Föryngringsavverkning</t>
        </is>
      </c>
      <c r="D750" s="1" t="n">
        <v>46265</v>
      </c>
      <c r="E750" s="1" t="n">
        <v>46292</v>
      </c>
      <c r="F750" t="inlineStr">
        <is>
          <t>VÄSTERNORRLANDS LÄN</t>
        </is>
      </c>
      <c r="G750" t="inlineStr">
        <is>
          <t>KRAMFORS</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35736-2026</t>
        </is>
      </c>
      <c r="B751" t="inlineStr">
        <is>
          <t>avverkningsanmälan</t>
        </is>
      </c>
      <c r="C751" t="inlineStr">
        <is>
          <t>Föryngringsavverkning</t>
        </is>
      </c>
      <c r="D751" s="1" t="n">
        <v>46265</v>
      </c>
      <c r="E751" s="1" t="n">
        <v>46292</v>
      </c>
      <c r="F751" t="inlineStr">
        <is>
          <t>VÄSTERNORRLANDS LÄN</t>
        </is>
      </c>
      <c r="G751" t="inlineStr">
        <is>
          <t>KRAMFORS</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23814-2026</t>
        </is>
      </c>
      <c r="B752" t="inlineStr">
        <is>
          <t>avverkningsanmälan</t>
        </is>
      </c>
      <c r="C752" t="inlineStr">
        <is>
          <t>Föryngringsavverkning</t>
        </is>
      </c>
      <c r="D752" s="1" t="n">
        <v>46164</v>
      </c>
      <c r="E752" s="1" t="n">
        <v>46292</v>
      </c>
      <c r="F752" t="inlineStr">
        <is>
          <t>VÄSTERNORRLANDS LÄN</t>
        </is>
      </c>
      <c r="G752" t="inlineStr">
        <is>
          <t>KRAMFORS</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35980-2026</t>
        </is>
      </c>
      <c r="B753" t="inlineStr">
        <is>
          <t>avverkningsanmälan</t>
        </is>
      </c>
      <c r="C753" t="inlineStr">
        <is>
          <t>Föryngringsavverkning</t>
        </is>
      </c>
      <c r="D753" s="1" t="n">
        <v>46266</v>
      </c>
      <c r="E753" s="1" t="n">
        <v>46292</v>
      </c>
      <c r="F753" t="inlineStr">
        <is>
          <t>VÄSTERNORRLANDS LÄN</t>
        </is>
      </c>
      <c r="G753" t="inlineStr">
        <is>
          <t>KRAMFORS</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35475-2026</t>
        </is>
      </c>
      <c r="B754" t="inlineStr">
        <is>
          <t>avverkningsanmälan</t>
        </is>
      </c>
      <c r="C754" t="inlineStr">
        <is>
          <t>Föryngringsavverkning</t>
        </is>
      </c>
      <c r="D754" s="1" t="n">
        <v>46262</v>
      </c>
      <c r="E754" s="1" t="n">
        <v>46292</v>
      </c>
      <c r="F754" t="inlineStr">
        <is>
          <t>VÄSTERNORRLANDS LÄN</t>
        </is>
      </c>
      <c r="G754" t="inlineStr">
        <is>
          <t>KRAMFORS</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36023-2026</t>
        </is>
      </c>
      <c r="B755" t="inlineStr">
        <is>
          <t>avverkningsanmälan</t>
        </is>
      </c>
      <c r="C755" t="inlineStr">
        <is>
          <t>Föryngringsavverkning</t>
        </is>
      </c>
      <c r="D755" s="1" t="n">
        <v>46266</v>
      </c>
      <c r="E755" s="1" t="n">
        <v>46292</v>
      </c>
      <c r="F755" t="inlineStr">
        <is>
          <t>VÄSTERNORRLANDS LÄN</t>
        </is>
      </c>
      <c r="G755" t="inlineStr">
        <is>
          <t>KRAMFORS</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4484-2024</t>
        </is>
      </c>
      <c r="B756" t="inlineStr">
        <is>
          <t>avverkningsanmälan</t>
        </is>
      </c>
      <c r="C756" t="inlineStr">
        <is>
          <t>Avverkning för annat ändamål</t>
        </is>
      </c>
      <c r="D756" s="1" t="n">
        <v>45327</v>
      </c>
      <c r="E756" s="1" t="n">
        <v>46292</v>
      </c>
      <c r="F756" t="inlineStr">
        <is>
          <t>VÄSTERNORRLANDS LÄN</t>
        </is>
      </c>
      <c r="G756" t="inlineStr">
        <is>
          <t>KRAMFORS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34218-2026</t>
        </is>
      </c>
      <c r="B757" t="inlineStr">
        <is>
          <t>avverkningsanmälan</t>
        </is>
      </c>
      <c r="C757" t="inlineStr">
        <is>
          <t>Föryngringsavverkning</t>
        </is>
      </c>
      <c r="D757" s="1" t="n">
        <v>46253</v>
      </c>
      <c r="E757" s="1" t="n">
        <v>46292</v>
      </c>
      <c r="F757" t="inlineStr">
        <is>
          <t>VÄSTERNORRLANDS LÄN</t>
        </is>
      </c>
      <c r="G757" t="inlineStr">
        <is>
          <t>KRAMFORS</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36302-2026</t>
        </is>
      </c>
      <c r="B758" t="inlineStr">
        <is>
          <t>avverkningsanmälan</t>
        </is>
      </c>
      <c r="C758" t="inlineStr">
        <is>
          <t>Föryngringsavverkning</t>
        </is>
      </c>
      <c r="D758" s="1" t="n">
        <v>46268</v>
      </c>
      <c r="E758" s="1" t="n">
        <v>46292</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31580-2026</t>
        </is>
      </c>
      <c r="B759" t="inlineStr">
        <is>
          <t>avverkningsanmälan</t>
        </is>
      </c>
      <c r="C759" t="inlineStr">
        <is>
          <t>Föryngringsavverkning</t>
        </is>
      </c>
      <c r="D759" s="1" t="n">
        <v>46224</v>
      </c>
      <c r="E759" s="1" t="n">
        <v>46292</v>
      </c>
      <c r="F759" t="inlineStr">
        <is>
          <t>VÄSTERNORRLANDS LÄN</t>
        </is>
      </c>
      <c r="G759" t="inlineStr">
        <is>
          <t>KRAMFORS</t>
        </is>
      </c>
      <c r="H759" t="inlineStr">
        <is>
          <t>SCA</t>
        </is>
      </c>
      <c r="I759" t="n">
        <v>20.8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36078-2026</t>
        </is>
      </c>
      <c r="B760" t="inlineStr">
        <is>
          <t>avverkningsanmälan</t>
        </is>
      </c>
      <c r="C760" t="inlineStr">
        <is>
          <t>Föryngringsavverkning</t>
        </is>
      </c>
      <c r="D760" s="1" t="n">
        <v>46267</v>
      </c>
      <c r="E760" s="1" t="n">
        <v>46292</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19463-2025</t>
        </is>
      </c>
      <c r="B761" t="inlineStr">
        <is>
          <t>avverkningsanmälan</t>
        </is>
      </c>
      <c r="C761" t="inlineStr">
        <is>
          <t>Föryngringsavverkning</t>
        </is>
      </c>
      <c r="D761" s="1" t="n">
        <v>45770</v>
      </c>
      <c r="E761" s="1" t="n">
        <v>46292</v>
      </c>
      <c r="F761" t="inlineStr">
        <is>
          <t>VÄSTERNORRLANDS LÄN</t>
        </is>
      </c>
      <c r="G761" t="inlineStr">
        <is>
          <t>KRAMFORS</t>
        </is>
      </c>
      <c r="H761" t="inlineStr">
        <is>
          <t>SCA</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34342-2026</t>
        </is>
      </c>
      <c r="B762" t="inlineStr">
        <is>
          <t>avverkningsanmälan</t>
        </is>
      </c>
      <c r="C762" t="inlineStr">
        <is>
          <t>Föryngringsavverkning</t>
        </is>
      </c>
      <c r="D762" s="1" t="n">
        <v>46254</v>
      </c>
      <c r="E762" s="1" t="n">
        <v>46292</v>
      </c>
      <c r="F762" t="inlineStr">
        <is>
          <t>VÄSTERNORRLANDS LÄN</t>
        </is>
      </c>
      <c r="G762" t="inlineStr">
        <is>
          <t>KRAMFORS</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34347-2026</t>
        </is>
      </c>
      <c r="B763" t="inlineStr">
        <is>
          <t>avverkningsanmälan</t>
        </is>
      </c>
      <c r="C763" t="inlineStr">
        <is>
          <t>Föryngringsavverkning</t>
        </is>
      </c>
      <c r="D763" s="1" t="n">
        <v>46254</v>
      </c>
      <c r="E763" s="1" t="n">
        <v>46292</v>
      </c>
      <c r="F763" t="inlineStr">
        <is>
          <t>VÄSTERNORRLANDS LÄN</t>
        </is>
      </c>
      <c r="G763" t="inlineStr">
        <is>
          <t>KRAMFORS</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36594-2022</t>
        </is>
      </c>
      <c r="B764" t="inlineStr">
        <is>
          <t>avverkningsanmälan</t>
        </is>
      </c>
      <c r="C764" t="inlineStr">
        <is>
          <t>Föryngringsavverkning</t>
        </is>
      </c>
      <c r="D764" s="1" t="n">
        <v>44804</v>
      </c>
      <c r="E764" s="1" t="n">
        <v>46292</v>
      </c>
      <c r="F764" t="inlineStr">
        <is>
          <t>VÄSTERNORRLANDS LÄN</t>
        </is>
      </c>
      <c r="G764" t="inlineStr">
        <is>
          <t>KRAMFORS</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6061-2024</t>
        </is>
      </c>
      <c r="B765" t="inlineStr">
        <is>
          <t>avverkningsanmälan</t>
        </is>
      </c>
      <c r="C765" t="inlineStr">
        <is>
          <t>Föryngringsavverkning</t>
        </is>
      </c>
      <c r="D765" s="1" t="n">
        <v>45336</v>
      </c>
      <c r="E765" s="1" t="n">
        <v>46292</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4083-2025</t>
        </is>
      </c>
      <c r="B766" t="inlineStr">
        <is>
          <t>avverkningsanmälan</t>
        </is>
      </c>
      <c r="C766" t="inlineStr">
        <is>
          <t>Föryngringsavverkning</t>
        </is>
      </c>
      <c r="D766" s="1" t="n">
        <v>45684</v>
      </c>
      <c r="E766" s="1" t="n">
        <v>46292</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3448-2025</t>
        </is>
      </c>
      <c r="B767" t="inlineStr">
        <is>
          <t>avverkningsanmälan</t>
        </is>
      </c>
      <c r="C767" t="inlineStr">
        <is>
          <t>Föryngringsavverkning</t>
        </is>
      </c>
      <c r="D767" s="1" t="n">
        <v>45680</v>
      </c>
      <c r="E767" s="1" t="n">
        <v>46292</v>
      </c>
      <c r="F767" t="inlineStr">
        <is>
          <t>VÄSTERNORRLANDS LÄN</t>
        </is>
      </c>
      <c r="G767" t="inlineStr">
        <is>
          <t>KRAMFORS</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31640-2026</t>
        </is>
      </c>
      <c r="B768" t="inlineStr">
        <is>
          <t>avverkningsanmälan</t>
        </is>
      </c>
      <c r="C768" t="inlineStr">
        <is>
          <t>Föryngringsavverkning</t>
        </is>
      </c>
      <c r="D768" s="1" t="n">
        <v>46225</v>
      </c>
      <c r="E768" s="1" t="n">
        <v>46292</v>
      </c>
      <c r="F768" t="inlineStr">
        <is>
          <t>VÄSTERNORRLANDS LÄN</t>
        </is>
      </c>
      <c r="G768" t="inlineStr">
        <is>
          <t>KRAMFORS</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36363-2022</t>
        </is>
      </c>
      <c r="B769" t="inlineStr">
        <is>
          <t>avverkningsanmälan</t>
        </is>
      </c>
      <c r="C769" t="inlineStr">
        <is>
          <t>Föryngringsavverkning</t>
        </is>
      </c>
      <c r="D769" s="1" t="n">
        <v>44803</v>
      </c>
      <c r="E769" s="1" t="n">
        <v>46292</v>
      </c>
      <c r="F769" t="inlineStr">
        <is>
          <t>VÄSTERNORRLANDS LÄN</t>
        </is>
      </c>
      <c r="G769" t="inlineStr">
        <is>
          <t>KRAMFORS</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34217-2026</t>
        </is>
      </c>
      <c r="B770" t="inlineStr">
        <is>
          <t>avverkningsanmälan</t>
        </is>
      </c>
      <c r="C770" t="inlineStr">
        <is>
          <t>Föryngringsavverkning</t>
        </is>
      </c>
      <c r="D770" s="1" t="n">
        <v>46253</v>
      </c>
      <c r="E770" s="1" t="n">
        <v>46292</v>
      </c>
      <c r="F770" t="inlineStr">
        <is>
          <t>VÄSTERNORRLANDS LÄN</t>
        </is>
      </c>
      <c r="G770" t="inlineStr">
        <is>
          <t>KRAMFORS</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35989-2026</t>
        </is>
      </c>
      <c r="B771" t="inlineStr">
        <is>
          <t>avverkningsanmälan</t>
        </is>
      </c>
      <c r="C771" t="inlineStr">
        <is>
          <t>Föryngringsavverkning</t>
        </is>
      </c>
      <c r="D771" s="1" t="n">
        <v>46266</v>
      </c>
      <c r="E771" s="1" t="n">
        <v>46292</v>
      </c>
      <c r="F771" t="inlineStr">
        <is>
          <t>VÄSTERNORRLANDS LÄN</t>
        </is>
      </c>
      <c r="G771" t="inlineStr">
        <is>
          <t>KRAMFORS</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32446-2024</t>
        </is>
      </c>
      <c r="B772" t="inlineStr">
        <is>
          <t>avverkningsanmälan</t>
        </is>
      </c>
      <c r="C772" t="inlineStr">
        <is>
          <t>Föryngringsavverkning</t>
        </is>
      </c>
      <c r="D772" s="1" t="n">
        <v>45512</v>
      </c>
      <c r="E772" s="1" t="n">
        <v>46292</v>
      </c>
      <c r="F772" t="inlineStr">
        <is>
          <t>VÄSTERNORRLANDS LÄN</t>
        </is>
      </c>
      <c r="G772" t="inlineStr">
        <is>
          <t>KRAMFORS</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35976-2026</t>
        </is>
      </c>
      <c r="B773" t="inlineStr">
        <is>
          <t>avverkningsanmälan</t>
        </is>
      </c>
      <c r="C773" t="inlineStr">
        <is>
          <t>Föryngringsavverkning</t>
        </is>
      </c>
      <c r="D773" s="1" t="n">
        <v>46266</v>
      </c>
      <c r="E773" s="1" t="n">
        <v>46292</v>
      </c>
      <c r="F773" t="inlineStr">
        <is>
          <t>VÄSTERNORRLANDS LÄN</t>
        </is>
      </c>
      <c r="G773" t="inlineStr">
        <is>
          <t>KRAMFORS</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158-2024</t>
        </is>
      </c>
      <c r="B774" t="inlineStr">
        <is>
          <t>avverkningsanmälan</t>
        </is>
      </c>
      <c r="C774" t="inlineStr">
        <is>
          <t>Föryngringsavverkning</t>
        </is>
      </c>
      <c r="D774" s="1" t="n">
        <v>45294</v>
      </c>
      <c r="E774" s="1" t="n">
        <v>46292</v>
      </c>
      <c r="F774" t="inlineStr">
        <is>
          <t>VÄSTERNORRLANDS LÄN</t>
        </is>
      </c>
      <c r="G774" t="inlineStr">
        <is>
          <t>KRAMFORS</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4001-2024</t>
        </is>
      </c>
      <c r="B775" t="inlineStr">
        <is>
          <t>avverkningsanmälan</t>
        </is>
      </c>
      <c r="C775" t="inlineStr">
        <is>
          <t>Föryngringsavverkning</t>
        </is>
      </c>
      <c r="D775" s="1" t="n">
        <v>45323</v>
      </c>
      <c r="E775" s="1" t="n">
        <v>46292</v>
      </c>
      <c r="F775" t="inlineStr">
        <is>
          <t>VÄSTERNORRLANDS LÄN</t>
        </is>
      </c>
      <c r="G775" t="inlineStr">
        <is>
          <t>KRAMFORS</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18646-2025</t>
        </is>
      </c>
      <c r="B776" t="inlineStr">
        <is>
          <t>avverkningsanmälan</t>
        </is>
      </c>
      <c r="C776" t="inlineStr">
        <is>
          <t>Föryngringsavverkning</t>
        </is>
      </c>
      <c r="D776" s="1" t="n">
        <v>45763</v>
      </c>
      <c r="E776" s="1" t="n">
        <v>46292</v>
      </c>
      <c r="F776" t="inlineStr">
        <is>
          <t>VÄSTERNORRLANDS LÄN</t>
        </is>
      </c>
      <c r="G776" t="inlineStr">
        <is>
          <t>KRAMFORS</t>
        </is>
      </c>
      <c r="H776" t="inlineStr">
        <is>
          <t>SCA</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18652-2025</t>
        </is>
      </c>
      <c r="B777" t="inlineStr">
        <is>
          <t>avverkningsanmälan</t>
        </is>
      </c>
      <c r="C777" t="inlineStr">
        <is>
          <t>Föryngringsavverkning</t>
        </is>
      </c>
      <c r="D777" s="1" t="n">
        <v>45763</v>
      </c>
      <c r="E777" s="1" t="n">
        <v>46292</v>
      </c>
      <c r="F777" t="inlineStr">
        <is>
          <t>VÄSTERNORRLANDS LÄN</t>
        </is>
      </c>
      <c r="G777" t="inlineStr">
        <is>
          <t>KRAMFORS</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10312-2024</t>
        </is>
      </c>
      <c r="B778" t="inlineStr">
        <is>
          <t>avverkningsanmälan</t>
        </is>
      </c>
      <c r="C778" t="inlineStr">
        <is>
          <t>Avverkning för annat ändamål</t>
        </is>
      </c>
      <c r="D778" s="1" t="n">
        <v>45365</v>
      </c>
      <c r="E778" s="1" t="n">
        <v>46292</v>
      </c>
      <c r="F778" t="inlineStr">
        <is>
          <t>VÄSTERNORRLANDS LÄN</t>
        </is>
      </c>
      <c r="G778" t="inlineStr">
        <is>
          <t>KRAMFORS</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10413-2024</t>
        </is>
      </c>
      <c r="B779" t="inlineStr">
        <is>
          <t>avverkningsanmälan</t>
        </is>
      </c>
      <c r="C779" t="inlineStr">
        <is>
          <t>Föryngringsavverkning</t>
        </is>
      </c>
      <c r="D779" s="1" t="n">
        <v>45365</v>
      </c>
      <c r="E779" s="1" t="n">
        <v>46292</v>
      </c>
      <c r="F779" t="inlineStr">
        <is>
          <t>VÄSTERNORRLANDS LÄN</t>
        </is>
      </c>
      <c r="G779" t="inlineStr">
        <is>
          <t>KRAMFORS</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35567-2026</t>
        </is>
      </c>
      <c r="B780" t="inlineStr">
        <is>
          <t>avverkningsanmälan</t>
        </is>
      </c>
      <c r="C780" t="inlineStr">
        <is>
          <t>Föryngringsavverkning</t>
        </is>
      </c>
      <c r="D780" s="1" t="n">
        <v>46262</v>
      </c>
      <c r="E780" s="1" t="n">
        <v>46292</v>
      </c>
      <c r="F780" t="inlineStr">
        <is>
          <t>VÄSTERNORRLANDS LÄN</t>
        </is>
      </c>
      <c r="G780" t="inlineStr">
        <is>
          <t>KRAMFORS</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36975-2026</t>
        </is>
      </c>
      <c r="B781" t="inlineStr">
        <is>
          <t>avverkningsanmälan</t>
        </is>
      </c>
      <c r="C781" t="inlineStr">
        <is>
          <t>Föryngringsavverkning</t>
        </is>
      </c>
      <c r="D781" s="1" t="n">
        <v>46273</v>
      </c>
      <c r="E781" s="1" t="n">
        <v>46292</v>
      </c>
      <c r="F781" t="inlineStr">
        <is>
          <t>VÄSTERNORRLANDS LÄN</t>
        </is>
      </c>
      <c r="G781" t="inlineStr">
        <is>
          <t>KRAMFORS</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36983-2026</t>
        </is>
      </c>
      <c r="B782" t="inlineStr">
        <is>
          <t>avverkningsanmälan</t>
        </is>
      </c>
      <c r="C782" t="inlineStr">
        <is>
          <t>Föryngringsavverkning</t>
        </is>
      </c>
      <c r="D782" s="1" t="n">
        <v>46273</v>
      </c>
      <c r="E782" s="1" t="n">
        <v>46292</v>
      </c>
      <c r="F782" t="inlineStr">
        <is>
          <t>VÄSTERNORRLANDS LÄN</t>
        </is>
      </c>
      <c r="G782" t="inlineStr">
        <is>
          <t>KRAMFORS</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37264-2026</t>
        </is>
      </c>
      <c r="B783" t="inlineStr">
        <is>
          <t>avverkningsanmälan</t>
        </is>
      </c>
      <c r="C783" t="inlineStr">
        <is>
          <t>Föryngringsavverkning</t>
        </is>
      </c>
      <c r="D783" s="1" t="n">
        <v>46274</v>
      </c>
      <c r="E783" s="1" t="n">
        <v>46292</v>
      </c>
      <c r="F783" t="inlineStr">
        <is>
          <t>VÄSTERNORRLANDS LÄN</t>
        </is>
      </c>
      <c r="G783" t="inlineStr">
        <is>
          <t>KRAMFORS</t>
        </is>
      </c>
      <c r="H783" t="inlineStr">
        <is>
          <t>SCA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8711-2025</t>
        </is>
      </c>
      <c r="B784" t="inlineStr">
        <is>
          <t>avverkningsanmälan</t>
        </is>
      </c>
      <c r="C784" t="inlineStr">
        <is>
          <t>Föryngringsavverkning</t>
        </is>
      </c>
      <c r="D784" s="1" t="n">
        <v>45712</v>
      </c>
      <c r="E784" s="1" t="n">
        <v>46292</v>
      </c>
      <c r="F784" t="inlineStr">
        <is>
          <t>VÄSTERNORRLANDS LÄN</t>
        </is>
      </c>
      <c r="G784" t="inlineStr">
        <is>
          <t>KRAMFORS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32494-2022</t>
        </is>
      </c>
      <c r="B785" t="inlineStr">
        <is>
          <t>avverkningsanmälan</t>
        </is>
      </c>
      <c r="C785" t="inlineStr">
        <is>
          <t>Föryngringsavverkning</t>
        </is>
      </c>
      <c r="D785" s="1" t="n">
        <v>44782</v>
      </c>
      <c r="E785" s="1" t="n">
        <v>46292</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37265-2026</t>
        </is>
      </c>
      <c r="B786" t="inlineStr">
        <is>
          <t>avverkningsanmälan</t>
        </is>
      </c>
      <c r="C786" t="inlineStr">
        <is>
          <t>Föryngringsavverkning</t>
        </is>
      </c>
      <c r="D786" s="1" t="n">
        <v>46274</v>
      </c>
      <c r="E786" s="1" t="n">
        <v>46292</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17443-2026</t>
        </is>
      </c>
      <c r="B787" t="inlineStr">
        <is>
          <t>avverkningsanmälan</t>
        </is>
      </c>
      <c r="C787" t="inlineStr">
        <is>
          <t>Föryngringsavverkning</t>
        </is>
      </c>
      <c r="D787" s="1" t="n">
        <v>46120</v>
      </c>
      <c r="E787" s="1" t="n">
        <v>46292</v>
      </c>
      <c r="F787" t="inlineStr">
        <is>
          <t>VÄSTERNORRLANDS LÄN</t>
        </is>
      </c>
      <c r="G787" t="inlineStr">
        <is>
          <t>KRAMFORS</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31954-2026</t>
        </is>
      </c>
      <c r="B788" t="inlineStr">
        <is>
          <t>avverkningsanmälan</t>
        </is>
      </c>
      <c r="C788" t="inlineStr">
        <is>
          <t>Föryngringsavverkning</t>
        </is>
      </c>
      <c r="D788" s="1" t="n">
        <v>46232</v>
      </c>
      <c r="E788" s="1" t="n">
        <v>46292</v>
      </c>
      <c r="F788" t="inlineStr">
        <is>
          <t>VÄSTERNORRLANDS LÄN</t>
        </is>
      </c>
      <c r="G788" t="inlineStr">
        <is>
          <t>KRAMFORS</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2161-2026</t>
        </is>
      </c>
      <c r="B789" t="inlineStr">
        <is>
          <t>avverkningsanmälan</t>
        </is>
      </c>
      <c r="C789" t="inlineStr">
        <is>
          <t>Föryngringsavverkning</t>
        </is>
      </c>
      <c r="D789" s="1" t="n">
        <v>46036</v>
      </c>
      <c r="E789" s="1" t="n">
        <v>46292</v>
      </c>
      <c r="F789" t="inlineStr">
        <is>
          <t>VÄSTERNORRLANDS LÄN</t>
        </is>
      </c>
      <c r="G789" t="inlineStr">
        <is>
          <t>KRAMFORS</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37674-2024</t>
        </is>
      </c>
      <c r="B790" t="inlineStr">
        <is>
          <t>avverkningsanmälan</t>
        </is>
      </c>
      <c r="C790" t="inlineStr">
        <is>
          <t>Föryngringsavverkning</t>
        </is>
      </c>
      <c r="D790" s="1" t="n">
        <v>45541</v>
      </c>
      <c r="E790" s="1" t="n">
        <v>46292</v>
      </c>
      <c r="F790" t="inlineStr">
        <is>
          <t>VÄSTERNORRLANDS LÄN</t>
        </is>
      </c>
      <c r="G790" t="inlineStr">
        <is>
          <t>KRAMFORS</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38985-2023</t>
        </is>
      </c>
      <c r="B791" t="inlineStr">
        <is>
          <t>avverkningsanmälan</t>
        </is>
      </c>
      <c r="C791" t="inlineStr">
        <is>
          <t>Föryngringsavverkning</t>
        </is>
      </c>
      <c r="D791" s="1" t="n">
        <v>45163</v>
      </c>
      <c r="E791" s="1" t="n">
        <v>46292</v>
      </c>
      <c r="F791" t="inlineStr">
        <is>
          <t>VÄSTERNORRLANDS LÄN</t>
        </is>
      </c>
      <c r="G791" t="inlineStr">
        <is>
          <t>KRAMFORS</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32269-2026</t>
        </is>
      </c>
      <c r="B792" t="inlineStr">
        <is>
          <t>avverkningsanmälan</t>
        </is>
      </c>
      <c r="C792" t="inlineStr">
        <is>
          <t>Föryngringsavverkning</t>
        </is>
      </c>
      <c r="D792" s="1" t="n">
        <v>46237</v>
      </c>
      <c r="E792" s="1" t="n">
        <v>46292</v>
      </c>
      <c r="F792" t="inlineStr">
        <is>
          <t>VÄSTERNORRLANDS LÄN</t>
        </is>
      </c>
      <c r="G792" t="inlineStr">
        <is>
          <t>KRAMFORS</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37956-2026</t>
        </is>
      </c>
      <c r="B793" t="inlineStr">
        <is>
          <t>avverkningsanmälan</t>
        </is>
      </c>
      <c r="C793" t="inlineStr">
        <is>
          <t>Föryngringsavverkning</t>
        </is>
      </c>
      <c r="D793" s="1" t="n">
        <v>46280</v>
      </c>
      <c r="E793" s="1" t="n">
        <v>46292</v>
      </c>
      <c r="F793" t="inlineStr">
        <is>
          <t>VÄSTERNORRLANDS LÄN</t>
        </is>
      </c>
      <c r="G793" t="inlineStr">
        <is>
          <t>KRAMFORS</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48360-2022</t>
        </is>
      </c>
      <c r="B794" t="inlineStr">
        <is>
          <t>avverkningsanmälan</t>
        </is>
      </c>
      <c r="C794" t="inlineStr">
        <is>
          <t>Föryngringsavverkning</t>
        </is>
      </c>
      <c r="D794" s="1" t="n">
        <v>44854</v>
      </c>
      <c r="E794" s="1" t="n">
        <v>46292</v>
      </c>
      <c r="F794" t="inlineStr">
        <is>
          <t>VÄSTERNORRLANDS LÄN</t>
        </is>
      </c>
      <c r="G794" t="inlineStr">
        <is>
          <t>KRAMFORS</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32209-2026</t>
        </is>
      </c>
      <c r="B795" t="inlineStr">
        <is>
          <t>avverkningsanmälan</t>
        </is>
      </c>
      <c r="C795" t="inlineStr">
        <is>
          <t>Föryngringsavverkning</t>
        </is>
      </c>
      <c r="D795" s="1" t="n">
        <v>46237</v>
      </c>
      <c r="E795" s="1" t="n">
        <v>46292</v>
      </c>
      <c r="F795" t="inlineStr">
        <is>
          <t>VÄSTERNORRLANDS LÄN</t>
        </is>
      </c>
      <c r="G795" t="inlineStr">
        <is>
          <t>KRAMFORS</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72008-2021</t>
        </is>
      </c>
      <c r="B796" t="inlineStr">
        <is>
          <t>avverkningsanmälan</t>
        </is>
      </c>
      <c r="C796" t="inlineStr">
        <is>
          <t>Föryngringsavverkning</t>
        </is>
      </c>
      <c r="D796" s="1" t="n">
        <v>44540</v>
      </c>
      <c r="E796" s="1" t="n">
        <v>46292</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38015-2026</t>
        </is>
      </c>
      <c r="B797" t="inlineStr">
        <is>
          <t>avverkningsanmälan</t>
        </is>
      </c>
      <c r="C797" t="inlineStr">
        <is>
          <t>Föryngringsavverkning</t>
        </is>
      </c>
      <c r="D797" s="1" t="n">
        <v>46280</v>
      </c>
      <c r="E797" s="1" t="n">
        <v>46292</v>
      </c>
      <c r="F797" t="inlineStr">
        <is>
          <t>VÄSTERNORRLANDS LÄN</t>
        </is>
      </c>
      <c r="G797" t="inlineStr">
        <is>
          <t>KRAMFORS</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4775-2024</t>
        </is>
      </c>
      <c r="B798" t="inlineStr">
        <is>
          <t>avverkningsanmälan</t>
        </is>
      </c>
      <c r="C798" t="inlineStr">
        <is>
          <t>Avverkning för annat ändamål</t>
        </is>
      </c>
      <c r="D798" s="1" t="n">
        <v>45328</v>
      </c>
      <c r="E798" s="1" t="n">
        <v>46292</v>
      </c>
      <c r="F798" t="inlineStr">
        <is>
          <t>VÄSTERNORRLANDS LÄN</t>
        </is>
      </c>
      <c r="G798" t="inlineStr">
        <is>
          <t>KRAMFORS</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32330-2026</t>
        </is>
      </c>
      <c r="B799" t="inlineStr">
        <is>
          <t>avverkningsanmälan</t>
        </is>
      </c>
      <c r="C799" t="inlineStr">
        <is>
          <t>Föryngringsavverkning</t>
        </is>
      </c>
      <c r="D799" s="1" t="n">
        <v>46238</v>
      </c>
      <c r="E799" s="1" t="n">
        <v>46292</v>
      </c>
      <c r="F799" t="inlineStr">
        <is>
          <t>VÄSTERNORRLANDS LÄN</t>
        </is>
      </c>
      <c r="G799" t="inlineStr">
        <is>
          <t>KRAMFORS</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32334-2026</t>
        </is>
      </c>
      <c r="B800" t="inlineStr">
        <is>
          <t>avverkningsanmälan</t>
        </is>
      </c>
      <c r="C800" t="inlineStr">
        <is>
          <t>Föryngringsavverkning</t>
        </is>
      </c>
      <c r="D800" s="1" t="n">
        <v>46238</v>
      </c>
      <c r="E800" s="1" t="n">
        <v>46292</v>
      </c>
      <c r="F800" t="inlineStr">
        <is>
          <t>VÄSTERNORRLANDS LÄN</t>
        </is>
      </c>
      <c r="G800" t="inlineStr">
        <is>
          <t>KRAMFORS</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38240-2026</t>
        </is>
      </c>
      <c r="B801" t="inlineStr">
        <is>
          <t>avverkningsanmälan</t>
        </is>
      </c>
      <c r="C801" t="inlineStr">
        <is>
          <t>Föryngringsavverkning</t>
        </is>
      </c>
      <c r="D801" s="1" t="n">
        <v>46281</v>
      </c>
      <c r="E801" s="1" t="n">
        <v>46292</v>
      </c>
      <c r="F801" t="inlineStr">
        <is>
          <t>VÄSTERNORRLANDS LÄN</t>
        </is>
      </c>
      <c r="G801" t="inlineStr">
        <is>
          <t>KRAMFORS</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32667-2026</t>
        </is>
      </c>
      <c r="B802" t="inlineStr">
        <is>
          <t>avverkningsanmälan</t>
        </is>
      </c>
      <c r="C802" t="inlineStr">
        <is>
          <t>Föryngringsavverkning</t>
        </is>
      </c>
      <c r="D802" s="1" t="n">
        <v>46240</v>
      </c>
      <c r="E802" s="1" t="n">
        <v>46292</v>
      </c>
      <c r="F802" t="inlineStr">
        <is>
          <t>VÄSTERNORRLANDS LÄN</t>
        </is>
      </c>
      <c r="G802" t="inlineStr">
        <is>
          <t>KRAMFORS</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32440-2026</t>
        </is>
      </c>
      <c r="B803" t="inlineStr">
        <is>
          <t>avverkningsanmälan</t>
        </is>
      </c>
      <c r="C803" t="inlineStr">
        <is>
          <t>Föryngringsavverkning</t>
        </is>
      </c>
      <c r="D803" s="1" t="n">
        <v>46239</v>
      </c>
      <c r="E803" s="1" t="n">
        <v>46292</v>
      </c>
      <c r="F803" t="inlineStr">
        <is>
          <t>VÄSTERNORRLANDS LÄN</t>
        </is>
      </c>
      <c r="G803" t="inlineStr">
        <is>
          <t>KRAMFORS</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32434-2026</t>
        </is>
      </c>
      <c r="B804" t="inlineStr">
        <is>
          <t>avverkningsanmälan</t>
        </is>
      </c>
      <c r="C804" t="inlineStr">
        <is>
          <t>Föryngringsavverkning</t>
        </is>
      </c>
      <c r="D804" s="1" t="n">
        <v>46239</v>
      </c>
      <c r="E804" s="1" t="n">
        <v>46292</v>
      </c>
      <c r="F804" t="inlineStr">
        <is>
          <t>VÄSTERNORRLANDS LÄN</t>
        </is>
      </c>
      <c r="G804" t="inlineStr">
        <is>
          <t>KRAMFORS</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63492-2023</t>
        </is>
      </c>
      <c r="B805" t="inlineStr">
        <is>
          <t>avverkningsanmälan</t>
        </is>
      </c>
      <c r="C805" t="inlineStr">
        <is>
          <t>Föryngringsavverkning</t>
        </is>
      </c>
      <c r="D805" s="1" t="n">
        <v>45273</v>
      </c>
      <c r="E805" s="1" t="n">
        <v>46292</v>
      </c>
      <c r="F805" t="inlineStr">
        <is>
          <t>VÄSTERNORRLANDS LÄN</t>
        </is>
      </c>
      <c r="G805" t="inlineStr">
        <is>
          <t>KRAMFORS</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38148-2026</t>
        </is>
      </c>
      <c r="B806" t="inlineStr">
        <is>
          <t>avverkningsanmälan</t>
        </is>
      </c>
      <c r="C806" t="inlineStr">
        <is>
          <t>Föryngringsavverkning</t>
        </is>
      </c>
      <c r="D806" s="1" t="n">
        <v>46281</v>
      </c>
      <c r="E806" s="1" t="n">
        <v>46292</v>
      </c>
      <c r="F806" t="inlineStr">
        <is>
          <t>VÄSTERNORRLANDS LÄN</t>
        </is>
      </c>
      <c r="G806" t="inlineStr">
        <is>
          <t>KRAMFORS</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32324-2026</t>
        </is>
      </c>
      <c r="B807" t="inlineStr">
        <is>
          <t>avverkningsanmälan</t>
        </is>
      </c>
      <c r="C807" t="inlineStr">
        <is>
          <t>Föryngringsavverkning</t>
        </is>
      </c>
      <c r="D807" s="1" t="n">
        <v>46238</v>
      </c>
      <c r="E807" s="1" t="n">
        <v>46292</v>
      </c>
      <c r="F807" t="inlineStr">
        <is>
          <t>VÄSTERNORRLANDS LÄN</t>
        </is>
      </c>
      <c r="G807" t="inlineStr">
        <is>
          <t>KRAMFORS</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32446-2026</t>
        </is>
      </c>
      <c r="B808" t="inlineStr">
        <is>
          <t>avverkningsanmälan</t>
        </is>
      </c>
      <c r="C808" t="inlineStr">
        <is>
          <t>Föryngringsavverkning</t>
        </is>
      </c>
      <c r="D808" s="1" t="n">
        <v>46239</v>
      </c>
      <c r="E808" s="1" t="n">
        <v>46292</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17729-2024</t>
        </is>
      </c>
      <c r="B809" t="inlineStr">
        <is>
          <t>avverkningsanmälan</t>
        </is>
      </c>
      <c r="C809" t="inlineStr">
        <is>
          <t>Föryngringsavverkning</t>
        </is>
      </c>
      <c r="D809" s="1" t="n">
        <v>45418</v>
      </c>
      <c r="E809" s="1" t="n">
        <v>46292</v>
      </c>
      <c r="F809" t="inlineStr">
        <is>
          <t>VÄSTERNORRLANDS LÄN</t>
        </is>
      </c>
      <c r="G809" t="inlineStr">
        <is>
          <t>KRAMFORS</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815-2024</t>
        </is>
      </c>
      <c r="B810" t="inlineStr">
        <is>
          <t>avverkningsanmälan</t>
        </is>
      </c>
      <c r="C810" t="inlineStr">
        <is>
          <t>Föryngringsavverkning</t>
        </is>
      </c>
      <c r="D810" s="1" t="n">
        <v>45300</v>
      </c>
      <c r="E810" s="1" t="n">
        <v>46292</v>
      </c>
      <c r="F810" t="inlineStr">
        <is>
          <t>VÄSTERNORRLANDS LÄN</t>
        </is>
      </c>
      <c r="G810" t="inlineStr">
        <is>
          <t>KRAMFORS</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38712-2026</t>
        </is>
      </c>
      <c r="B811" t="inlineStr">
        <is>
          <t>avverkningsanmälan</t>
        </is>
      </c>
      <c r="C811" t="inlineStr">
        <is>
          <t>Föryngringsavverkning</t>
        </is>
      </c>
      <c r="D811" s="1" t="n">
        <v>46284</v>
      </c>
      <c r="E811" s="1" t="n">
        <v>46292</v>
      </c>
      <c r="F811" t="inlineStr">
        <is>
          <t>VÄSTERNORRLANDS LÄN</t>
        </is>
      </c>
      <c r="G811" t="inlineStr">
        <is>
          <t>KRAMFORS</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38713-2026</t>
        </is>
      </c>
      <c r="B812" t="inlineStr">
        <is>
          <t>avverkningsanmälan</t>
        </is>
      </c>
      <c r="C812" t="inlineStr">
        <is>
          <t>Föryngringsavverkning</t>
        </is>
      </c>
      <c r="D812" s="1" t="n">
        <v>46284</v>
      </c>
      <c r="E812" s="1" t="n">
        <v>46292</v>
      </c>
      <c r="F812" t="inlineStr">
        <is>
          <t>VÄSTERNORRLANDS LÄN</t>
        </is>
      </c>
      <c r="G812" t="inlineStr">
        <is>
          <t>KRAMFORS</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1385-2022</t>
        </is>
      </c>
      <c r="B813" t="inlineStr">
        <is>
          <t>avverkningsanmälan</t>
        </is>
      </c>
      <c r="C813" t="inlineStr">
        <is>
          <t>Föryngringsavverkning</t>
        </is>
      </c>
      <c r="D813" s="1" t="n">
        <v>44573</v>
      </c>
      <c r="E813" s="1" t="n">
        <v>46292</v>
      </c>
      <c r="F813" t="inlineStr">
        <is>
          <t>VÄSTERNORRLANDS LÄN</t>
        </is>
      </c>
      <c r="G813" t="inlineStr">
        <is>
          <t>KRAMFORS</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12957-2025</t>
        </is>
      </c>
      <c r="B814" t="inlineStr">
        <is>
          <t>avverkningsanmälan</t>
        </is>
      </c>
      <c r="C814" t="inlineStr">
        <is>
          <t>Föryngringsavverkning</t>
        </is>
      </c>
      <c r="D814" s="1" t="n">
        <v>45734</v>
      </c>
      <c r="E814" s="1" t="n">
        <v>46292</v>
      </c>
      <c r="F814" t="inlineStr">
        <is>
          <t>VÄSTERNORRLANDS LÄN</t>
        </is>
      </c>
      <c r="G814" t="inlineStr">
        <is>
          <t>KRAMFORS</t>
        </is>
      </c>
      <c r="I814" t="n">
        <v>10.4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15314-2024</t>
        </is>
      </c>
      <c r="B815" t="inlineStr">
        <is>
          <t>avverkningsanmälan</t>
        </is>
      </c>
      <c r="C815" t="inlineStr">
        <is>
          <t>Föryngringsavverkning</t>
        </is>
      </c>
      <c r="D815" s="1" t="n">
        <v>45400</v>
      </c>
      <c r="E815" s="1" t="n">
        <v>46292</v>
      </c>
      <c r="F815" t="inlineStr">
        <is>
          <t>VÄSTERNORRLANDS LÄN</t>
        </is>
      </c>
      <c r="G815" t="inlineStr">
        <is>
          <t>KRAMFORS</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53385-2022</t>
        </is>
      </c>
      <c r="B816" t="inlineStr">
        <is>
          <t>avverkningsanmälan</t>
        </is>
      </c>
      <c r="C816" t="inlineStr">
        <is>
          <t>Föryngringsavverkning</t>
        </is>
      </c>
      <c r="D816" s="1" t="n">
        <v>44879</v>
      </c>
      <c r="E816" s="1" t="n">
        <v>46292</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38520-2026</t>
        </is>
      </c>
      <c r="B817" t="inlineStr">
        <is>
          <t>avverkningsanmälan</t>
        </is>
      </c>
      <c r="C817" t="inlineStr">
        <is>
          <t>Föryngringsavverkning</t>
        </is>
      </c>
      <c r="D817" s="1" t="n">
        <v>46283</v>
      </c>
      <c r="E817" s="1" t="n">
        <v>46292</v>
      </c>
      <c r="F817" t="inlineStr">
        <is>
          <t>VÄSTERNORRLANDS LÄN</t>
        </is>
      </c>
      <c r="G817" t="inlineStr">
        <is>
          <t>KRAMFORS</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32785-2026</t>
        </is>
      </c>
      <c r="B818" t="inlineStr">
        <is>
          <t>avverkningsanmälan</t>
        </is>
      </c>
      <c r="C818" t="inlineStr">
        <is>
          <t>Föryngringsavverkning</t>
        </is>
      </c>
      <c r="D818" s="1" t="n">
        <v>46241</v>
      </c>
      <c r="E818" s="1" t="n">
        <v>46292</v>
      </c>
      <c r="F818" t="inlineStr">
        <is>
          <t>VÄSTERNORRLANDS LÄN</t>
        </is>
      </c>
      <c r="G818" t="inlineStr">
        <is>
          <t>KRAMFORS</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39084-2026</t>
        </is>
      </c>
      <c r="B819" t="inlineStr">
        <is>
          <t>avverkningsanmälan</t>
        </is>
      </c>
      <c r="C819" t="inlineStr">
        <is>
          <t>Föryngringsavverkning</t>
        </is>
      </c>
      <c r="D819" s="1" t="n">
        <v>46287</v>
      </c>
      <c r="E819" s="1" t="n">
        <v>46292</v>
      </c>
      <c r="F819" t="inlineStr">
        <is>
          <t>VÄSTERNORRLANDS LÄN</t>
        </is>
      </c>
      <c r="G819" t="inlineStr">
        <is>
          <t>KRAMFORS</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39433-2026</t>
        </is>
      </c>
      <c r="B820" t="inlineStr">
        <is>
          <t>avverkningsanmälan</t>
        </is>
      </c>
      <c r="C820" t="inlineStr">
        <is>
          <t>Föryngringsavverkning</t>
        </is>
      </c>
      <c r="D820" s="1" t="n">
        <v>46288</v>
      </c>
      <c r="E820" s="1" t="n">
        <v>46292</v>
      </c>
      <c r="F820" t="inlineStr">
        <is>
          <t>VÄSTERNORRLANDS LÄN</t>
        </is>
      </c>
      <c r="G820" t="inlineStr">
        <is>
          <t>KRAMFORS</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35861-2026</t>
        </is>
      </c>
      <c r="B821" t="inlineStr">
        <is>
          <t>avverkningsanmälan</t>
        </is>
      </c>
      <c r="C821" t="inlineStr">
        <is>
          <t>Föryngringsavverkning</t>
        </is>
      </c>
      <c r="D821" s="1" t="n">
        <v>46266</v>
      </c>
      <c r="E821" s="1" t="n">
        <v>46292</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3887-2023</t>
        </is>
      </c>
      <c r="B822" t="inlineStr">
        <is>
          <t>avverkningsanmälan</t>
        </is>
      </c>
      <c r="C822" t="inlineStr">
        <is>
          <t>Föryngringsavverkning</t>
        </is>
      </c>
      <c r="D822" s="1" t="n">
        <v>44951</v>
      </c>
      <c r="E822" s="1" t="n">
        <v>46292</v>
      </c>
      <c r="F822" t="inlineStr">
        <is>
          <t>VÄSTERNORRLANDS LÄN</t>
        </is>
      </c>
      <c r="G822" t="inlineStr">
        <is>
          <t>KRAMFORS</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57203-2021</t>
        </is>
      </c>
      <c r="B823" t="inlineStr">
        <is>
          <t>avverkningsanmälan</t>
        </is>
      </c>
      <c r="C823" t="inlineStr">
        <is>
          <t>Föryngringsavverkning</t>
        </is>
      </c>
      <c r="D823" s="1" t="n">
        <v>44482</v>
      </c>
      <c r="E823" s="1" t="n">
        <v>46292</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32871-2026</t>
        </is>
      </c>
      <c r="B824" t="inlineStr">
        <is>
          <t>avverkningsanmälan</t>
        </is>
      </c>
      <c r="C824" t="inlineStr">
        <is>
          <t>Föryngringsavverkning</t>
        </is>
      </c>
      <c r="D824" s="1" t="n">
        <v>46244</v>
      </c>
      <c r="E824" s="1" t="n">
        <v>46292</v>
      </c>
      <c r="F824" t="inlineStr">
        <is>
          <t>VÄSTERNORRLANDS LÄN</t>
        </is>
      </c>
      <c r="G824" t="inlineStr">
        <is>
          <t>KRAMFORS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41813-2024</t>
        </is>
      </c>
      <c r="B825" t="inlineStr">
        <is>
          <t>avverkningsanmälan</t>
        </is>
      </c>
      <c r="C825" t="inlineStr">
        <is>
          <t>Föryngringsavverkning</t>
        </is>
      </c>
      <c r="D825" s="1" t="n">
        <v>45561</v>
      </c>
      <c r="E825" s="1" t="n">
        <v>46292</v>
      </c>
      <c r="F825" t="inlineStr">
        <is>
          <t>VÄSTERNORRLANDS LÄN</t>
        </is>
      </c>
      <c r="G825" t="inlineStr">
        <is>
          <t>KRAMFORS</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24653-2022</t>
        </is>
      </c>
      <c r="B826" t="inlineStr">
        <is>
          <t>avverkningsanmälan</t>
        </is>
      </c>
      <c r="C826" t="inlineStr">
        <is>
          <t>Föryngringsavverkning</t>
        </is>
      </c>
      <c r="D826" s="1" t="n">
        <v>44727</v>
      </c>
      <c r="E826" s="1" t="n">
        <v>46292</v>
      </c>
      <c r="F826" t="inlineStr">
        <is>
          <t>VÄSTERNORRLANDS LÄN</t>
        </is>
      </c>
      <c r="G826" t="inlineStr">
        <is>
          <t>KRAMFORS</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39074-2026</t>
        </is>
      </c>
      <c r="B827" t="inlineStr">
        <is>
          <t>avverkningsanmälan</t>
        </is>
      </c>
      <c r="C827" t="inlineStr">
        <is>
          <t>Föryngringsavverkning</t>
        </is>
      </c>
      <c r="D827" s="1" t="n">
        <v>46287</v>
      </c>
      <c r="E827" s="1" t="n">
        <v>46292</v>
      </c>
      <c r="F827" t="inlineStr">
        <is>
          <t>VÄSTERNORRLANDS LÄN</t>
        </is>
      </c>
      <c r="G827" t="inlineStr">
        <is>
          <t>KRAMFORS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38993-2026</t>
        </is>
      </c>
      <c r="B828" t="inlineStr">
        <is>
          <t>avverkningsanmälan</t>
        </is>
      </c>
      <c r="C828" t="inlineStr">
        <is>
          <t>Föryngringsavverkning</t>
        </is>
      </c>
      <c r="D828" s="1" t="n">
        <v>46287</v>
      </c>
      <c r="E828" s="1" t="n">
        <v>46292</v>
      </c>
      <c r="F828" t="inlineStr">
        <is>
          <t>VÄSTERNORRLANDS LÄN</t>
        </is>
      </c>
      <c r="G828" t="inlineStr">
        <is>
          <t>KRAMFORS</t>
        </is>
      </c>
      <c r="I828" t="n">
        <v>15.9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32954-2026</t>
        </is>
      </c>
      <c r="B829" t="inlineStr">
        <is>
          <t>avverkningsanmälan</t>
        </is>
      </c>
      <c r="C829" t="inlineStr">
        <is>
          <t>Föryngringsavverkning</t>
        </is>
      </c>
      <c r="D829" s="1" t="n">
        <v>46244</v>
      </c>
      <c r="E829" s="1" t="n">
        <v>46292</v>
      </c>
      <c r="F829" t="inlineStr">
        <is>
          <t>VÄSTERNORRLANDS LÄN</t>
        </is>
      </c>
      <c r="G829" t="inlineStr">
        <is>
          <t>KRAMFORS</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33376-2026</t>
        </is>
      </c>
      <c r="B830" t="inlineStr">
        <is>
          <t>avverkningsanmälan</t>
        </is>
      </c>
      <c r="C830" t="inlineStr">
        <is>
          <t>Föryngringsavverkning</t>
        </is>
      </c>
      <c r="D830" s="1" t="n">
        <v>46247</v>
      </c>
      <c r="E830" s="1" t="n">
        <v>46292</v>
      </c>
      <c r="F830" t="inlineStr">
        <is>
          <t>VÄSTERNORRLANDS LÄN</t>
        </is>
      </c>
      <c r="G830" t="inlineStr">
        <is>
          <t>KRAMFORS</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33440-2022</t>
        </is>
      </c>
      <c r="B831" t="inlineStr">
        <is>
          <t>avverkningsanmälan</t>
        </is>
      </c>
      <c r="C831" t="inlineStr">
        <is>
          <t>Föryngringsavverkning</t>
        </is>
      </c>
      <c r="D831" s="1" t="n">
        <v>44788</v>
      </c>
      <c r="E831" s="1" t="n">
        <v>46292</v>
      </c>
      <c r="F831" t="inlineStr">
        <is>
          <t>VÄSTERNORRLANDS LÄN</t>
        </is>
      </c>
      <c r="G831" t="inlineStr">
        <is>
          <t>KRAMFORS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49095-2022</t>
        </is>
      </c>
      <c r="B832" t="inlineStr">
        <is>
          <t>avverkningsanmälan</t>
        </is>
      </c>
      <c r="C832" t="inlineStr">
        <is>
          <t>Föryngringsavverkning</t>
        </is>
      </c>
      <c r="D832" s="1" t="n">
        <v>44860</v>
      </c>
      <c r="E832" s="1" t="n">
        <v>46292</v>
      </c>
      <c r="F832" t="inlineStr">
        <is>
          <t>VÄSTERNORRLANDS LÄN</t>
        </is>
      </c>
      <c r="G832" t="inlineStr">
        <is>
          <t>KRAMFORS</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39689-2026</t>
        </is>
      </c>
      <c r="B833" t="inlineStr">
        <is>
          <t>avverkningsanmälan</t>
        </is>
      </c>
      <c r="C833" t="inlineStr">
        <is>
          <t>Föryngringsavverkning</t>
        </is>
      </c>
      <c r="D833" s="1" t="n">
        <v>46289</v>
      </c>
      <c r="E833" s="1" t="n">
        <v>46292</v>
      </c>
      <c r="F833" t="inlineStr">
        <is>
          <t>VÄSTERNORRLANDS LÄN</t>
        </is>
      </c>
      <c r="G833" t="inlineStr">
        <is>
          <t>KRAMFORS</t>
        </is>
      </c>
      <c r="I833" t="n">
        <v>10.1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33639-2026</t>
        </is>
      </c>
      <c r="B834" t="inlineStr">
        <is>
          <t>avverkningsanmälan</t>
        </is>
      </c>
      <c r="C834" t="inlineStr">
        <is>
          <t>Föryngringsavverkning</t>
        </is>
      </c>
      <c r="D834" s="1" t="n">
        <v>46248</v>
      </c>
      <c r="E834" s="1" t="n">
        <v>46292</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17876-2024</t>
        </is>
      </c>
      <c r="B835" t="inlineStr">
        <is>
          <t>avverkningsanmälan</t>
        </is>
      </c>
      <c r="C835" t="inlineStr">
        <is>
          <t>Föryngringsavverkning</t>
        </is>
      </c>
      <c r="D835" s="1" t="n">
        <v>45419</v>
      </c>
      <c r="E835" s="1" t="n">
        <v>46292</v>
      </c>
      <c r="F835" t="inlineStr">
        <is>
          <t>VÄSTERNORRLANDS LÄN</t>
        </is>
      </c>
      <c r="G835" t="inlineStr">
        <is>
          <t>KRAMFORS</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33644-2026</t>
        </is>
      </c>
      <c r="B836" t="inlineStr">
        <is>
          <t>avverkningsanmälan</t>
        </is>
      </c>
      <c r="C836" t="inlineStr">
        <is>
          <t>Föryngringsavverkning</t>
        </is>
      </c>
      <c r="D836" s="1" t="n">
        <v>46248</v>
      </c>
      <c r="E836" s="1" t="n">
        <v>46292</v>
      </c>
      <c r="F836" t="inlineStr">
        <is>
          <t>VÄSTERNORRLANDS LÄN</t>
        </is>
      </c>
      <c r="G836" t="inlineStr">
        <is>
          <t>KRAMFORS</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36303-2026</t>
        </is>
      </c>
      <c r="B837" t="inlineStr">
        <is>
          <t>avverkningsanmälan</t>
        </is>
      </c>
      <c r="C837" t="inlineStr">
        <is>
          <t>Föryngringsavverkning</t>
        </is>
      </c>
      <c r="D837" s="1" t="n">
        <v>46268</v>
      </c>
      <c r="E837" s="1" t="n">
        <v>46292</v>
      </c>
      <c r="F837" t="inlineStr">
        <is>
          <t>VÄSTERNORRLANDS LÄN</t>
        </is>
      </c>
      <c r="G837" t="inlineStr">
        <is>
          <t>KRAMFORS</t>
        </is>
      </c>
      <c r="I837" t="n">
        <v>14.7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56863-2023</t>
        </is>
      </c>
      <c r="B838" t="inlineStr">
        <is>
          <t>avverkningsanmälan</t>
        </is>
      </c>
      <c r="C838" t="inlineStr">
        <is>
          <t>Föryngringsavverkning</t>
        </is>
      </c>
      <c r="D838" s="1" t="n">
        <v>45239</v>
      </c>
      <c r="E838" s="1" t="n">
        <v>46292</v>
      </c>
      <c r="F838" t="inlineStr">
        <is>
          <t>VÄSTERNORRLANDS LÄN</t>
        </is>
      </c>
      <c r="G838" t="inlineStr">
        <is>
          <t>KRAMFORS</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39198-2026</t>
        </is>
      </c>
      <c r="B839" t="inlineStr">
        <is>
          <t>avverkningsanmälan</t>
        </is>
      </c>
      <c r="C839" t="inlineStr">
        <is>
          <t>Föryngringsavverkning</t>
        </is>
      </c>
      <c r="D839" s="1" t="n">
        <v>46287</v>
      </c>
      <c r="E839" s="1" t="n">
        <v>46292</v>
      </c>
      <c r="F839" t="inlineStr">
        <is>
          <t>VÄSTERNORRLANDS LÄN</t>
        </is>
      </c>
      <c r="G839" t="inlineStr">
        <is>
          <t>KRAMFORS</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59084-2022</t>
        </is>
      </c>
      <c r="B840" t="inlineStr">
        <is>
          <t>avverkningsanmälan</t>
        </is>
      </c>
      <c r="C840" t="inlineStr">
        <is>
          <t>Föryngringsavverkning</t>
        </is>
      </c>
      <c r="D840" s="1" t="n">
        <v>44897</v>
      </c>
      <c r="E840" s="1" t="n">
        <v>46292</v>
      </c>
      <c r="F840" t="inlineStr">
        <is>
          <t>VÄSTERNORRLANDS LÄN</t>
        </is>
      </c>
      <c r="G840" t="inlineStr">
        <is>
          <t>KRAMFORS</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54318-2023</t>
        </is>
      </c>
      <c r="B841" t="inlineStr">
        <is>
          <t>avverkningsanmälan</t>
        </is>
      </c>
      <c r="C841" t="inlineStr">
        <is>
          <t>Föryngringsavverkning</t>
        </is>
      </c>
      <c r="D841" s="1" t="n">
        <v>45232</v>
      </c>
      <c r="E841" s="1" t="n">
        <v>46292</v>
      </c>
      <c r="F841" t="inlineStr">
        <is>
          <t>VÄSTERNORRLANDS LÄN</t>
        </is>
      </c>
      <c r="G841" t="inlineStr">
        <is>
          <t>KRAMFORS</t>
        </is>
      </c>
      <c r="H841" t="inlineStr">
        <is>
          <t>Kyrkan</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54638-2022</t>
        </is>
      </c>
      <c r="B842" t="inlineStr">
        <is>
          <t>avverkningsanmälan</t>
        </is>
      </c>
      <c r="C842" t="inlineStr">
        <is>
          <t>Föryngringsavverkning</t>
        </is>
      </c>
      <c r="D842" s="1" t="n">
        <v>44883</v>
      </c>
      <c r="E842" s="1" t="n">
        <v>46292</v>
      </c>
      <c r="F842" t="inlineStr">
        <is>
          <t>VÄSTERNORRLANDS LÄN</t>
        </is>
      </c>
      <c r="G842" t="inlineStr">
        <is>
          <t>KRAMFORS</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64901-2023</t>
        </is>
      </c>
      <c r="B843" t="inlineStr">
        <is>
          <t>avverkningsanmälan</t>
        </is>
      </c>
      <c r="C843" t="inlineStr">
        <is>
          <t>Föryngringsavverkning</t>
        </is>
      </c>
      <c r="D843" s="1" t="n">
        <v>45282</v>
      </c>
      <c r="E843" s="1" t="n">
        <v>46292</v>
      </c>
      <c r="F843" t="inlineStr">
        <is>
          <t>VÄSTERNORRLANDS LÄN</t>
        </is>
      </c>
      <c r="G843" t="inlineStr">
        <is>
          <t>KRAMFORS</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29255-2022</t>
        </is>
      </c>
      <c r="B844" t="inlineStr">
        <is>
          <t>avverkningsanmälan</t>
        </is>
      </c>
      <c r="C844" t="inlineStr">
        <is>
          <t>Föryngringsavverkning</t>
        </is>
      </c>
      <c r="D844" s="1" t="n">
        <v>44750</v>
      </c>
      <c r="E844" s="1" t="n">
        <v>46292</v>
      </c>
      <c r="F844" t="inlineStr">
        <is>
          <t>VÄSTERNORRLANDS LÄN</t>
        </is>
      </c>
      <c r="G844" t="inlineStr">
        <is>
          <t>KRAMFORS</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3144-2025</t>
        </is>
      </c>
      <c r="B845" t="inlineStr">
        <is>
          <t>avverkningsanmälan</t>
        </is>
      </c>
      <c r="C845" t="inlineStr">
        <is>
          <t>Föryngringsavverkning</t>
        </is>
      </c>
      <c r="D845" s="1" t="n">
        <v>45678</v>
      </c>
      <c r="E845" s="1" t="n">
        <v>46292</v>
      </c>
      <c r="F845" t="inlineStr">
        <is>
          <t>VÄSTERNORRLANDS LÄN</t>
        </is>
      </c>
      <c r="G845" t="inlineStr">
        <is>
          <t>KRAMFORS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1683-2022</t>
        </is>
      </c>
      <c r="B846" t="inlineStr">
        <is>
          <t>avverkningsanmälan</t>
        </is>
      </c>
      <c r="C846" t="inlineStr">
        <is>
          <t>Föryngringsavverkning</t>
        </is>
      </c>
      <c r="D846" s="1" t="n">
        <v>44574</v>
      </c>
      <c r="E846" s="1" t="n">
        <v>46292</v>
      </c>
      <c r="F846" t="inlineStr">
        <is>
          <t>VÄSTERNORRLANDS LÄN</t>
        </is>
      </c>
      <c r="G846" t="inlineStr">
        <is>
          <t>KRAMFORS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17580-2025</t>
        </is>
      </c>
      <c r="B847" t="inlineStr">
        <is>
          <t>avverkningsanmälan</t>
        </is>
      </c>
      <c r="C847" t="inlineStr">
        <is>
          <t>Föryngringsavverkning</t>
        </is>
      </c>
      <c r="D847" s="1" t="n">
        <v>45757</v>
      </c>
      <c r="E847" s="1" t="n">
        <v>46292</v>
      </c>
      <c r="F847" t="inlineStr">
        <is>
          <t>VÄSTERNORRLANDS LÄN</t>
        </is>
      </c>
      <c r="G847" t="inlineStr">
        <is>
          <t>KRAMFORS</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17041-2023</t>
        </is>
      </c>
      <c r="B848" t="inlineStr">
        <is>
          <t>avverkningsanmälan</t>
        </is>
      </c>
      <c r="C848" t="inlineStr">
        <is>
          <t>Föryngringsavverkning</t>
        </is>
      </c>
      <c r="D848" s="1" t="n">
        <v>45034</v>
      </c>
      <c r="E848" s="1" t="n">
        <v>46292</v>
      </c>
      <c r="F848" t="inlineStr">
        <is>
          <t>VÄSTERNORRLANDS LÄN</t>
        </is>
      </c>
      <c r="G848" t="inlineStr">
        <is>
          <t>KRAMFORS</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12744-2023</t>
        </is>
      </c>
      <c r="B849" t="inlineStr">
        <is>
          <t>avverkningsanmälan</t>
        </is>
      </c>
      <c r="C849" t="inlineStr">
        <is>
          <t>Föryngringsavverkning</t>
        </is>
      </c>
      <c r="D849" s="1" t="n">
        <v>45000</v>
      </c>
      <c r="E849" s="1" t="n">
        <v>46292</v>
      </c>
      <c r="F849" t="inlineStr">
        <is>
          <t>VÄSTERNORRLANDS LÄN</t>
        </is>
      </c>
      <c r="G849" t="inlineStr">
        <is>
          <t>KRAMFORS</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31339-2022</t>
        </is>
      </c>
      <c r="B850" t="inlineStr">
        <is>
          <t>avverkningsanmälan</t>
        </is>
      </c>
      <c r="C850" t="inlineStr">
        <is>
          <t>Föryngringsavverkning</t>
        </is>
      </c>
      <c r="D850" s="1" t="n">
        <v>44774</v>
      </c>
      <c r="E850" s="1" t="n">
        <v>46292</v>
      </c>
      <c r="F850" t="inlineStr">
        <is>
          <t>VÄSTERNORRLANDS LÄN</t>
        </is>
      </c>
      <c r="G850" t="inlineStr">
        <is>
          <t>KRAMFORS</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25781-2023</t>
        </is>
      </c>
      <c r="B851" t="inlineStr">
        <is>
          <t>avverkningsanmälan</t>
        </is>
      </c>
      <c r="C851" t="inlineStr">
        <is>
          <t>Föryngringsavverkning</t>
        </is>
      </c>
      <c r="D851" s="1" t="n">
        <v>45085</v>
      </c>
      <c r="E851" s="1" t="n">
        <v>46292</v>
      </c>
      <c r="F851" t="inlineStr">
        <is>
          <t>VÄSTERNORRLANDS LÄN</t>
        </is>
      </c>
      <c r="G851" t="inlineStr">
        <is>
          <t>KRAMFORS</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40698-2022</t>
        </is>
      </c>
      <c r="B852" t="inlineStr">
        <is>
          <t>avverkningsanmälan</t>
        </is>
      </c>
      <c r="C852" t="inlineStr">
        <is>
          <t>Föryngringsavverkning</t>
        </is>
      </c>
      <c r="D852" s="1" t="n">
        <v>44824</v>
      </c>
      <c r="E852" s="1" t="n">
        <v>46292</v>
      </c>
      <c r="F852" t="inlineStr">
        <is>
          <t>VÄSTERNORRLANDS LÄN</t>
        </is>
      </c>
      <c r="G852" t="inlineStr">
        <is>
          <t>KRAMFORS</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47189-2022</t>
        </is>
      </c>
      <c r="B853" t="inlineStr">
        <is>
          <t>avverkningsanmälan</t>
        </is>
      </c>
      <c r="C853" t="inlineStr">
        <is>
          <t>Föryngringsavverkning</t>
        </is>
      </c>
      <c r="D853" s="1" t="n">
        <v>44852</v>
      </c>
      <c r="E853" s="1" t="n">
        <v>46292</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43554-2022</t>
        </is>
      </c>
      <c r="B854" t="inlineStr">
        <is>
          <t>avverkningsanmälan</t>
        </is>
      </c>
      <c r="C854" t="inlineStr">
        <is>
          <t>Föryngringsavverkning</t>
        </is>
      </c>
      <c r="D854" s="1" t="n">
        <v>44834</v>
      </c>
      <c r="E854" s="1" t="n">
        <v>46292</v>
      </c>
      <c r="F854" t="inlineStr">
        <is>
          <t>VÄSTERNORRLANDS LÄN</t>
        </is>
      </c>
      <c r="G854" t="inlineStr">
        <is>
          <t>KRAMFORS</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2385-2025</t>
        </is>
      </c>
      <c r="B855" t="inlineStr">
        <is>
          <t>avverkningsanmälan</t>
        </is>
      </c>
      <c r="C855" t="inlineStr">
        <is>
          <t>Föryngringsavverkning</t>
        </is>
      </c>
      <c r="D855" s="1" t="n">
        <v>45674</v>
      </c>
      <c r="E855" s="1" t="n">
        <v>46292</v>
      </c>
      <c r="F855" t="inlineStr">
        <is>
          <t>VÄSTERNORRLANDS LÄN</t>
        </is>
      </c>
      <c r="G855" t="inlineStr">
        <is>
          <t>KRAMFORS</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28318-2022</t>
        </is>
      </c>
      <c r="B856" t="inlineStr">
        <is>
          <t>avverkningsanmälan</t>
        </is>
      </c>
      <c r="C856" t="inlineStr">
        <is>
          <t>Avverkning för annat ändamål</t>
        </is>
      </c>
      <c r="D856" s="1" t="n">
        <v>44747</v>
      </c>
      <c r="E856" s="1" t="n">
        <v>46292</v>
      </c>
      <c r="F856" t="inlineStr">
        <is>
          <t>VÄSTERNORRLANDS LÄN</t>
        </is>
      </c>
      <c r="G856" t="inlineStr">
        <is>
          <t>KRAMFORS</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13844-2024</t>
        </is>
      </c>
      <c r="B857" t="inlineStr">
        <is>
          <t>avverkningsanmälan</t>
        </is>
      </c>
      <c r="C857" t="inlineStr">
        <is>
          <t>Föryngringsavverkning</t>
        </is>
      </c>
      <c r="D857" s="1" t="n">
        <v>45390</v>
      </c>
      <c r="E857" s="1" t="n">
        <v>46292</v>
      </c>
      <c r="F857" t="inlineStr">
        <is>
          <t>VÄSTERNORRLANDS LÄN</t>
        </is>
      </c>
      <c r="G857" t="inlineStr">
        <is>
          <t>KRAMFORS</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518-2025</t>
        </is>
      </c>
      <c r="B858" t="inlineStr">
        <is>
          <t>avverkningsanmälan</t>
        </is>
      </c>
      <c r="C858" t="inlineStr">
        <is>
          <t>Föryngringsavverkning</t>
        </is>
      </c>
      <c r="D858" s="1" t="n">
        <v>45664</v>
      </c>
      <c r="E858" s="1" t="n">
        <v>46292</v>
      </c>
      <c r="F858" t="inlineStr">
        <is>
          <t>VÄSTERNORRLANDS LÄN</t>
        </is>
      </c>
      <c r="G858" t="inlineStr">
        <is>
          <t>KRAMFORS</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2607-2025</t>
        </is>
      </c>
      <c r="B859" t="inlineStr">
        <is>
          <t>avverkningsanmälan</t>
        </is>
      </c>
      <c r="C859" t="inlineStr">
        <is>
          <t>Föryngringsavverkning</t>
        </is>
      </c>
      <c r="D859" s="1" t="n">
        <v>45674</v>
      </c>
      <c r="E859" s="1" t="n">
        <v>46292</v>
      </c>
      <c r="F859" t="inlineStr">
        <is>
          <t>VÄSTERNORRLANDS LÄN</t>
        </is>
      </c>
      <c r="G859" t="inlineStr">
        <is>
          <t>KRAMFORS</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17113-2023</t>
        </is>
      </c>
      <c r="B860" t="inlineStr">
        <is>
          <t>avverkningsanmälan</t>
        </is>
      </c>
      <c r="C860" t="inlineStr">
        <is>
          <t>Föryngringsavverkning</t>
        </is>
      </c>
      <c r="D860" s="1" t="n">
        <v>45034</v>
      </c>
      <c r="E860" s="1" t="n">
        <v>46292</v>
      </c>
      <c r="F860" t="inlineStr">
        <is>
          <t>VÄSTERNORRLANDS LÄN</t>
        </is>
      </c>
      <c r="G860" t="inlineStr">
        <is>
          <t>KRAMFORS</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33782-2024</t>
        </is>
      </c>
      <c r="B861" t="inlineStr">
        <is>
          <t>avverkningsanmälan</t>
        </is>
      </c>
      <c r="C861" t="inlineStr">
        <is>
          <t>Föryngringsavverkning</t>
        </is>
      </c>
      <c r="D861" s="1" t="n">
        <v>45520</v>
      </c>
      <c r="E861" s="1" t="n">
        <v>46292</v>
      </c>
      <c r="F861" t="inlineStr">
        <is>
          <t>VÄSTERNORRLANDS LÄN</t>
        </is>
      </c>
      <c r="G861" t="inlineStr">
        <is>
          <t>KRAMFORS</t>
        </is>
      </c>
      <c r="I861" t="n">
        <v>13.9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6200-2025</t>
        </is>
      </c>
      <c r="B862" t="inlineStr">
        <is>
          <t>avverkningsanmälan</t>
        </is>
      </c>
      <c r="C862" t="inlineStr">
        <is>
          <t>Föryngringsavverkning</t>
        </is>
      </c>
      <c r="D862" s="1" t="n">
        <v>45698</v>
      </c>
      <c r="E862" s="1" t="n">
        <v>46292</v>
      </c>
      <c r="F862" t="inlineStr">
        <is>
          <t>VÄSTERNORRLANDS LÄN</t>
        </is>
      </c>
      <c r="G862" t="inlineStr">
        <is>
          <t>KRAMFORS</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1783-2024</t>
        </is>
      </c>
      <c r="B863" t="inlineStr">
        <is>
          <t>avverkningsanmälan</t>
        </is>
      </c>
      <c r="C863" t="inlineStr">
        <is>
          <t>Föryngringsavverkning</t>
        </is>
      </c>
      <c r="D863" s="1" t="n">
        <v>45307</v>
      </c>
      <c r="E863" s="1" t="n">
        <v>46292</v>
      </c>
      <c r="F863" t="inlineStr">
        <is>
          <t>VÄSTERNORRLANDS LÄN</t>
        </is>
      </c>
      <c r="G863" t="inlineStr">
        <is>
          <t>KRAMFORS</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5150-2023</t>
        </is>
      </c>
      <c r="B864" t="inlineStr">
        <is>
          <t>avverkningsanmälan</t>
        </is>
      </c>
      <c r="C864" t="inlineStr">
        <is>
          <t>Föryngringsavverkning</t>
        </is>
      </c>
      <c r="D864" s="1" t="n">
        <v>44958</v>
      </c>
      <c r="E864" s="1" t="n">
        <v>46292</v>
      </c>
      <c r="F864" t="inlineStr">
        <is>
          <t>VÄSTERNORRLANDS LÄN</t>
        </is>
      </c>
      <c r="G864" t="inlineStr">
        <is>
          <t>KRAMFORS</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36178-2024</t>
        </is>
      </c>
      <c r="B865" t="inlineStr">
        <is>
          <t>avverkningsanmälan</t>
        </is>
      </c>
      <c r="C865" t="inlineStr">
        <is>
          <t>Föryngringsavverkning</t>
        </is>
      </c>
      <c r="D865" s="1" t="n">
        <v>45534</v>
      </c>
      <c r="E865" s="1" t="n">
        <v>46292</v>
      </c>
      <c r="F865" t="inlineStr">
        <is>
          <t>VÄSTERNORRLANDS LÄN</t>
        </is>
      </c>
      <c r="G865" t="inlineStr">
        <is>
          <t>KRAMFORS</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32791-2023</t>
        </is>
      </c>
      <c r="B866" t="inlineStr">
        <is>
          <t>avverkningsanmälan</t>
        </is>
      </c>
      <c r="C866" t="inlineStr">
        <is>
          <t>Avverkning för annat ändamål</t>
        </is>
      </c>
      <c r="D866" s="1" t="n">
        <v>45124</v>
      </c>
      <c r="E866" s="1" t="n">
        <v>46292</v>
      </c>
      <c r="F866" t="inlineStr">
        <is>
          <t>VÄSTERNORRLANDS LÄN</t>
        </is>
      </c>
      <c r="G866" t="inlineStr">
        <is>
          <t>KRAMFORS</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34200-2024</t>
        </is>
      </c>
      <c r="B867" t="inlineStr">
        <is>
          <t>avverkningsanmälan</t>
        </is>
      </c>
      <c r="C867" t="inlineStr">
        <is>
          <t>Föryngringsavverkning</t>
        </is>
      </c>
      <c r="D867" s="1" t="n">
        <v>45524</v>
      </c>
      <c r="E867" s="1" t="n">
        <v>46292</v>
      </c>
      <c r="F867" t="inlineStr">
        <is>
          <t>VÄSTERNORRLANDS LÄN</t>
        </is>
      </c>
      <c r="G867" t="inlineStr">
        <is>
          <t>KRAMFORS</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28355-2023</t>
        </is>
      </c>
      <c r="B868" t="inlineStr">
        <is>
          <t>avverkningsanmälan</t>
        </is>
      </c>
      <c r="C868" t="inlineStr">
        <is>
          <t>Föryngringsavverkning</t>
        </is>
      </c>
      <c r="D868" s="1" t="n">
        <v>45099</v>
      </c>
      <c r="E868" s="1" t="n">
        <v>46292</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63222-2023</t>
        </is>
      </c>
      <c r="B869" t="inlineStr">
        <is>
          <t>avverkningsanmälan</t>
        </is>
      </c>
      <c r="C869" t="inlineStr">
        <is>
          <t>Föryngringsavverkning</t>
        </is>
      </c>
      <c r="D869" s="1" t="n">
        <v>45273</v>
      </c>
      <c r="E869" s="1" t="n">
        <v>46292</v>
      </c>
      <c r="F869" t="inlineStr">
        <is>
          <t>VÄSTERNORRLANDS LÄN</t>
        </is>
      </c>
      <c r="G869" t="inlineStr">
        <is>
          <t>KRAMFORS</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4189-2024</t>
        </is>
      </c>
      <c r="B870" t="inlineStr">
        <is>
          <t>avverkningsanmälan</t>
        </is>
      </c>
      <c r="C870" t="inlineStr">
        <is>
          <t>Föryngringsavverkning</t>
        </is>
      </c>
      <c r="D870" s="1" t="n">
        <v>45324</v>
      </c>
      <c r="E870" s="1" t="n">
        <v>46292</v>
      </c>
      <c r="F870" t="inlineStr">
        <is>
          <t>VÄSTERNORRLANDS LÄN</t>
        </is>
      </c>
      <c r="G870" t="inlineStr">
        <is>
          <t>KRAMFORS</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45628-2024</t>
        </is>
      </c>
      <c r="B871" t="inlineStr">
        <is>
          <t>avverkningsanmälan</t>
        </is>
      </c>
      <c r="C871" t="inlineStr">
        <is>
          <t>Avverkning för att bevara och utveckla /försöksver</t>
        </is>
      </c>
      <c r="D871" s="1" t="n">
        <v>45579</v>
      </c>
      <c r="E871" s="1" t="n">
        <v>46292</v>
      </c>
      <c r="F871" t="inlineStr">
        <is>
          <t>VÄSTERNORRLANDS LÄN</t>
        </is>
      </c>
      <c r="G871" t="inlineStr">
        <is>
          <t>KRAMFORS</t>
        </is>
      </c>
      <c r="H871" t="inlineStr">
        <is>
          <t>SCA</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3447-2025</t>
        </is>
      </c>
      <c r="B872" t="inlineStr">
        <is>
          <t>avverkningsanmälan</t>
        </is>
      </c>
      <c r="C872" t="inlineStr">
        <is>
          <t>Föryngringsavverkning</t>
        </is>
      </c>
      <c r="D872" s="1" t="n">
        <v>45680</v>
      </c>
      <c r="E872" s="1" t="n">
        <v>46292</v>
      </c>
      <c r="F872" t="inlineStr">
        <is>
          <t>VÄSTERNORRLANDS LÄN</t>
        </is>
      </c>
      <c r="G872" t="inlineStr">
        <is>
          <t>KRAMFORS</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54972-2023</t>
        </is>
      </c>
      <c r="B873" t="inlineStr">
        <is>
          <t>avverkningsanmälan</t>
        </is>
      </c>
      <c r="C873" t="inlineStr">
        <is>
          <t>Föryngringsavverkning</t>
        </is>
      </c>
      <c r="D873" s="1" t="n">
        <v>45236</v>
      </c>
      <c r="E873" s="1" t="n">
        <v>46292</v>
      </c>
      <c r="F873" t="inlineStr">
        <is>
          <t>VÄSTERNORRLANDS LÄN</t>
        </is>
      </c>
      <c r="G873" t="inlineStr">
        <is>
          <t>KRAMFORS</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1745-2022</t>
        </is>
      </c>
      <c r="B874" t="inlineStr">
        <is>
          <t>avverkningsanmälan</t>
        </is>
      </c>
      <c r="C874" t="inlineStr">
        <is>
          <t>Föryngringsavverkning</t>
        </is>
      </c>
      <c r="D874" s="1" t="n">
        <v>44574</v>
      </c>
      <c r="E874" s="1" t="n">
        <v>46292</v>
      </c>
      <c r="F874" t="inlineStr">
        <is>
          <t>VÄSTERNORRLANDS LÄN</t>
        </is>
      </c>
      <c r="G874" t="inlineStr">
        <is>
          <t>KRAMFORS</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12754-2023</t>
        </is>
      </c>
      <c r="B875" t="inlineStr">
        <is>
          <t>avverkningsanmälan</t>
        </is>
      </c>
      <c r="C875" t="inlineStr">
        <is>
          <t>Föryngringsavverkning</t>
        </is>
      </c>
      <c r="D875" s="1" t="n">
        <v>45000</v>
      </c>
      <c r="E875" s="1" t="n">
        <v>46292</v>
      </c>
      <c r="F875" t="inlineStr">
        <is>
          <t>VÄSTERNORRLANDS LÄN</t>
        </is>
      </c>
      <c r="G875" t="inlineStr">
        <is>
          <t>KRAMFORS</t>
        </is>
      </c>
      <c r="H875" t="inlineStr">
        <is>
          <t>SCA</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36546-2023</t>
        </is>
      </c>
      <c r="B876" t="inlineStr">
        <is>
          <t>avverkningsanmälan</t>
        </is>
      </c>
      <c r="C876" t="inlineStr">
        <is>
          <t>Föryngringsavverkning</t>
        </is>
      </c>
      <c r="D876" s="1" t="n">
        <v>45153</v>
      </c>
      <c r="E876" s="1" t="n">
        <v>46292</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21342-2024</t>
        </is>
      </c>
      <c r="B877" t="inlineStr">
        <is>
          <t>avverkningsanmälan</t>
        </is>
      </c>
      <c r="C877" t="inlineStr">
        <is>
          <t>Föryngringsavverkning</t>
        </is>
      </c>
      <c r="D877" s="1" t="n">
        <v>45440</v>
      </c>
      <c r="E877" s="1" t="n">
        <v>46292</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62821-2023</t>
        </is>
      </c>
      <c r="B878" t="inlineStr">
        <is>
          <t>avverkningsanmälan</t>
        </is>
      </c>
      <c r="C878" t="inlineStr">
        <is>
          <t>Föryngringsavverkning</t>
        </is>
      </c>
      <c r="D878" s="1" t="n">
        <v>45271</v>
      </c>
      <c r="E878" s="1" t="n">
        <v>46292</v>
      </c>
      <c r="F878" t="inlineStr">
        <is>
          <t>VÄSTERNORRLANDS LÄN</t>
        </is>
      </c>
      <c r="G878" t="inlineStr">
        <is>
          <t>KRAMFORS</t>
        </is>
      </c>
      <c r="I878" t="n">
        <v>10.6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8706-2024</t>
        </is>
      </c>
      <c r="B879" t="inlineStr">
        <is>
          <t>avverkningsanmälan</t>
        </is>
      </c>
      <c r="C879" t="inlineStr">
        <is>
          <t>Föryngringsavverkning</t>
        </is>
      </c>
      <c r="D879" s="1" t="n">
        <v>45355</v>
      </c>
      <c r="E879" s="1" t="n">
        <v>46292</v>
      </c>
      <c r="F879" t="inlineStr">
        <is>
          <t>VÄSTERNORRLANDS LÄN</t>
        </is>
      </c>
      <c r="G879" t="inlineStr">
        <is>
          <t>KRAMFORS</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27836-2024</t>
        </is>
      </c>
      <c r="B880" t="inlineStr">
        <is>
          <t>avverkningsanmälan</t>
        </is>
      </c>
      <c r="C880" t="inlineStr">
        <is>
          <t>Föryngringsavverkning</t>
        </is>
      </c>
      <c r="D880" s="1" t="n">
        <v>45475</v>
      </c>
      <c r="E880" s="1" t="n">
        <v>46292</v>
      </c>
      <c r="F880" t="inlineStr">
        <is>
          <t>VÄSTERNORRLANDS LÄN</t>
        </is>
      </c>
      <c r="G880" t="inlineStr">
        <is>
          <t>KRAMFORS</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63992-2023</t>
        </is>
      </c>
      <c r="B881" t="inlineStr">
        <is>
          <t>avverkningsanmälan</t>
        </is>
      </c>
      <c r="C881" t="inlineStr">
        <is>
          <t>Föryngringsavverkning</t>
        </is>
      </c>
      <c r="D881" s="1" t="n">
        <v>45278</v>
      </c>
      <c r="E881" s="1" t="n">
        <v>46292</v>
      </c>
      <c r="F881" t="inlineStr">
        <is>
          <t>VÄSTERNORRLANDS LÄN</t>
        </is>
      </c>
      <c r="G881" t="inlineStr">
        <is>
          <t>KRAMFORS</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60829-2024</t>
        </is>
      </c>
      <c r="B882" t="inlineStr">
        <is>
          <t>avverkningsanmälan</t>
        </is>
      </c>
      <c r="C882" t="inlineStr">
        <is>
          <t>Föryngringsavverkning</t>
        </is>
      </c>
      <c r="D882" s="1" t="n">
        <v>45644</v>
      </c>
      <c r="E882" s="1" t="n">
        <v>46292</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61914-2023</t>
        </is>
      </c>
      <c r="B883" t="inlineStr">
        <is>
          <t>avverkningsanmälan</t>
        </is>
      </c>
      <c r="C883" t="inlineStr">
        <is>
          <t>Föryngringsavverkning</t>
        </is>
      </c>
      <c r="D883" s="1" t="n">
        <v>45265</v>
      </c>
      <c r="E883" s="1" t="n">
        <v>46292</v>
      </c>
      <c r="F883" t="inlineStr">
        <is>
          <t>VÄSTERNORRLANDS LÄN</t>
        </is>
      </c>
      <c r="G883" t="inlineStr">
        <is>
          <t>KRAMFORS</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59378-2024</t>
        </is>
      </c>
      <c r="B884" t="inlineStr">
        <is>
          <t>avverkningsanmälan</t>
        </is>
      </c>
      <c r="C884" t="inlineStr">
        <is>
          <t>Föryngringsavverkning</t>
        </is>
      </c>
      <c r="D884" s="1" t="n">
        <v>45638</v>
      </c>
      <c r="E884" s="1" t="n">
        <v>46292</v>
      </c>
      <c r="F884" t="inlineStr">
        <is>
          <t>VÄSTERNORRLANDS LÄN</t>
        </is>
      </c>
      <c r="G884" t="inlineStr">
        <is>
          <t>KRAMFORS</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16809-2025</t>
        </is>
      </c>
      <c r="B885" t="inlineStr">
        <is>
          <t>avverkningsanmälan</t>
        </is>
      </c>
      <c r="C885" t="inlineStr">
        <is>
          <t>Avverkning för annat ändamål</t>
        </is>
      </c>
      <c r="D885" s="1" t="n">
        <v>45754</v>
      </c>
      <c r="E885" s="1" t="n">
        <v>46292</v>
      </c>
      <c r="F885" t="inlineStr">
        <is>
          <t>VÄSTERNORRLANDS LÄN</t>
        </is>
      </c>
      <c r="G885" t="inlineStr">
        <is>
          <t>KRAMFORS</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19835-2024</t>
        </is>
      </c>
      <c r="B886" t="inlineStr">
        <is>
          <t>avverkningsanmälan</t>
        </is>
      </c>
      <c r="C886" t="inlineStr">
        <is>
          <t>Föryngringsavverkning</t>
        </is>
      </c>
      <c r="D886" s="1" t="n">
        <v>45433</v>
      </c>
      <c r="E886" s="1" t="n">
        <v>46292</v>
      </c>
      <c r="F886" t="inlineStr">
        <is>
          <t>VÄSTERNORRLANDS LÄN</t>
        </is>
      </c>
      <c r="G886" t="inlineStr">
        <is>
          <t>KRAMFORS</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20693-2025</t>
        </is>
      </c>
      <c r="B887" t="inlineStr">
        <is>
          <t>avverkningsanmälan</t>
        </is>
      </c>
      <c r="C887" t="inlineStr">
        <is>
          <t>Föryngringsavverkning</t>
        </is>
      </c>
      <c r="D887" s="1" t="n">
        <v>45776</v>
      </c>
      <c r="E887" s="1" t="n">
        <v>46292</v>
      </c>
      <c r="F887" t="inlineStr">
        <is>
          <t>VÄSTERNORRLANDS LÄN</t>
        </is>
      </c>
      <c r="G887" t="inlineStr">
        <is>
          <t>KRAMFORS</t>
        </is>
      </c>
      <c r="H887" t="inlineStr">
        <is>
          <t>SCA</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21533-2025</t>
        </is>
      </c>
      <c r="B888" t="inlineStr">
        <is>
          <t>avverkningsanmälan</t>
        </is>
      </c>
      <c r="C888" t="inlineStr">
        <is>
          <t>Föryngringsavverkning</t>
        </is>
      </c>
      <c r="D888" s="1" t="n">
        <v>45782</v>
      </c>
      <c r="E888" s="1" t="n">
        <v>46292</v>
      </c>
      <c r="F888" t="inlineStr">
        <is>
          <t>VÄSTERNORRLANDS LÄN</t>
        </is>
      </c>
      <c r="G888" t="inlineStr">
        <is>
          <t>KRAMFORS</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64608-2023</t>
        </is>
      </c>
      <c r="B889" t="inlineStr">
        <is>
          <t>avverkningsanmälan</t>
        </is>
      </c>
      <c r="C889" t="inlineStr">
        <is>
          <t>Föryngringsavverkning</t>
        </is>
      </c>
      <c r="D889" s="1" t="n">
        <v>45281</v>
      </c>
      <c r="E889" s="1" t="n">
        <v>46292</v>
      </c>
      <c r="F889" t="inlineStr">
        <is>
          <t>VÄSTERNORRLANDS LÄN</t>
        </is>
      </c>
      <c r="G889" t="inlineStr">
        <is>
          <t>KRAMFORS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43435-2022</t>
        </is>
      </c>
      <c r="B890" t="inlineStr">
        <is>
          <t>avverkningsanmälan</t>
        </is>
      </c>
      <c r="C890" t="inlineStr">
        <is>
          <t>Föryngringsavverkning</t>
        </is>
      </c>
      <c r="D890" s="1" t="n">
        <v>44834</v>
      </c>
      <c r="E890" s="1" t="n">
        <v>46292</v>
      </c>
      <c r="F890" t="inlineStr">
        <is>
          <t>VÄSTERNORRLANDS LÄN</t>
        </is>
      </c>
      <c r="G890" t="inlineStr">
        <is>
          <t>KRAMFORS</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1585-2024</t>
        </is>
      </c>
      <c r="B891" t="inlineStr">
        <is>
          <t>avverkningsanmälan</t>
        </is>
      </c>
      <c r="C891" t="inlineStr">
        <is>
          <t>Föryngringsavverkning</t>
        </is>
      </c>
      <c r="D891" s="1" t="n">
        <v>45306</v>
      </c>
      <c r="E891" s="1" t="n">
        <v>46292</v>
      </c>
      <c r="F891" t="inlineStr">
        <is>
          <t>VÄSTERNORRLANDS LÄN</t>
        </is>
      </c>
      <c r="G891" t="inlineStr">
        <is>
          <t>KRAMFORS</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16504-2024</t>
        </is>
      </c>
      <c r="B892" t="inlineStr">
        <is>
          <t>avverkningsanmälan</t>
        </is>
      </c>
      <c r="C892" t="inlineStr">
        <is>
          <t>Föryngringsavverkning</t>
        </is>
      </c>
      <c r="D892" s="1" t="n">
        <v>45408</v>
      </c>
      <c r="E892" s="1" t="n">
        <v>46292</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28121-2024</t>
        </is>
      </c>
      <c r="B893" t="inlineStr">
        <is>
          <t>avverkningsanmälan</t>
        </is>
      </c>
      <c r="C893" t="inlineStr">
        <is>
          <t>Föryngringsavverkning</t>
        </is>
      </c>
      <c r="D893" s="1" t="n">
        <v>45476</v>
      </c>
      <c r="E893" s="1" t="n">
        <v>46292</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30770-2024</t>
        </is>
      </c>
      <c r="B894" t="inlineStr">
        <is>
          <t>avverkningsanmälan</t>
        </is>
      </c>
      <c r="C894" t="inlineStr">
        <is>
          <t>Föryngringsavverkning</t>
        </is>
      </c>
      <c r="D894" s="1" t="n">
        <v>45496</v>
      </c>
      <c r="E894" s="1" t="n">
        <v>46292</v>
      </c>
      <c r="F894" t="inlineStr">
        <is>
          <t>VÄSTERNORRLANDS LÄN</t>
        </is>
      </c>
      <c r="G894" t="inlineStr">
        <is>
          <t>KRAMFORS</t>
        </is>
      </c>
      <c r="H894" t="inlineStr">
        <is>
          <t>Kyrkan</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40187-2023</t>
        </is>
      </c>
      <c r="B895" t="inlineStr">
        <is>
          <t>avverkningsanmälan</t>
        </is>
      </c>
      <c r="C895" t="inlineStr">
        <is>
          <t>Föryngringsavverkning</t>
        </is>
      </c>
      <c r="D895" s="1" t="n">
        <v>45169</v>
      </c>
      <c r="E895" s="1" t="n">
        <v>46292</v>
      </c>
      <c r="F895" t="inlineStr">
        <is>
          <t>VÄSTERNORRLANDS LÄN</t>
        </is>
      </c>
      <c r="G895" t="inlineStr">
        <is>
          <t>KRAMFORS</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22942-2025</t>
        </is>
      </c>
      <c r="B896" t="inlineStr">
        <is>
          <t>avverkningsanmälan</t>
        </is>
      </c>
      <c r="C896" t="inlineStr">
        <is>
          <t>Föryngringsavverkning</t>
        </is>
      </c>
      <c r="D896" s="1" t="n">
        <v>45790</v>
      </c>
      <c r="E896" s="1" t="n">
        <v>46292</v>
      </c>
      <c r="F896" t="inlineStr">
        <is>
          <t>VÄSTERNORRLANDS LÄN</t>
        </is>
      </c>
      <c r="G896" t="inlineStr">
        <is>
          <t>KRAMFORS</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30769-2024</t>
        </is>
      </c>
      <c r="B897" t="inlineStr">
        <is>
          <t>avverkningsanmälan</t>
        </is>
      </c>
      <c r="C897" t="inlineStr">
        <is>
          <t>Föryngringsavverkning</t>
        </is>
      </c>
      <c r="D897" s="1" t="n">
        <v>45496</v>
      </c>
      <c r="E897" s="1" t="n">
        <v>46292</v>
      </c>
      <c r="F897" t="inlineStr">
        <is>
          <t>VÄSTERNORRLANDS LÄN</t>
        </is>
      </c>
      <c r="G897" t="inlineStr">
        <is>
          <t>KRAMFORS</t>
        </is>
      </c>
      <c r="H897" t="inlineStr">
        <is>
          <t>Kyrkan</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23577-2025</t>
        </is>
      </c>
      <c r="B898" t="inlineStr">
        <is>
          <t>avverkningsanmälan</t>
        </is>
      </c>
      <c r="C898" t="inlineStr">
        <is>
          <t>Föryngringsavverkning</t>
        </is>
      </c>
      <c r="D898" s="1" t="n">
        <v>45792</v>
      </c>
      <c r="E898" s="1" t="n">
        <v>46292</v>
      </c>
      <c r="F898" t="inlineStr">
        <is>
          <t>VÄSTERNORRLANDS LÄN</t>
        </is>
      </c>
      <c r="G898" t="inlineStr">
        <is>
          <t>KRAMFORS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43010-2024</t>
        </is>
      </c>
      <c r="B899" t="inlineStr">
        <is>
          <t>avverkningsanmälan</t>
        </is>
      </c>
      <c r="C899" t="inlineStr">
        <is>
          <t>Föryngringsavverkning</t>
        </is>
      </c>
      <c r="D899" s="1" t="n">
        <v>45567</v>
      </c>
      <c r="E899" s="1" t="n">
        <v>46292</v>
      </c>
      <c r="F899" t="inlineStr">
        <is>
          <t>VÄSTERNORRLANDS LÄN</t>
        </is>
      </c>
      <c r="G899" t="inlineStr">
        <is>
          <t>KRAMFORS</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54672-2024</t>
        </is>
      </c>
      <c r="B900" t="inlineStr">
        <is>
          <t>avverkningsanmälan</t>
        </is>
      </c>
      <c r="C900" t="inlineStr">
        <is>
          <t>Föryngringsavverkning</t>
        </is>
      </c>
      <c r="D900" s="1" t="n">
        <v>45618</v>
      </c>
      <c r="E900" s="1" t="n">
        <v>46292</v>
      </c>
      <c r="F900" t="inlineStr">
        <is>
          <t>VÄSTERNORRLANDS LÄN</t>
        </is>
      </c>
      <c r="G900" t="inlineStr">
        <is>
          <t>KRAMFORS</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55241-2023</t>
        </is>
      </c>
      <c r="B901" t="inlineStr">
        <is>
          <t>avverkningsanmälan</t>
        </is>
      </c>
      <c r="C901" t="inlineStr">
        <is>
          <t>Föryngringsavverkning</t>
        </is>
      </c>
      <c r="D901" s="1" t="n">
        <v>45231</v>
      </c>
      <c r="E901" s="1" t="n">
        <v>46292</v>
      </c>
      <c r="F901" t="inlineStr">
        <is>
          <t>VÄSTERNORRLANDS LÄN</t>
        </is>
      </c>
      <c r="G901" t="inlineStr">
        <is>
          <t>KRAMFORS</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23256-2025</t>
        </is>
      </c>
      <c r="B902" t="inlineStr">
        <is>
          <t>avverkningsanmälan</t>
        </is>
      </c>
      <c r="C902" t="inlineStr">
        <is>
          <t>Föryngringsavverkning</t>
        </is>
      </c>
      <c r="D902" s="1" t="n">
        <v>45791</v>
      </c>
      <c r="E902" s="1" t="n">
        <v>46292</v>
      </c>
      <c r="F902" t="inlineStr">
        <is>
          <t>VÄSTERNORRLANDS LÄN</t>
        </is>
      </c>
      <c r="G902" t="inlineStr">
        <is>
          <t>KRAMFORS</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6472-2022</t>
        </is>
      </c>
      <c r="B903" t="inlineStr">
        <is>
          <t>samrådsanmälan</t>
        </is>
      </c>
      <c r="C903" t="inlineStr">
        <is>
          <t>Annan skogsbruksåtgärd</t>
        </is>
      </c>
      <c r="D903" s="1" t="n">
        <v>44880</v>
      </c>
      <c r="E903" s="1" t="n">
        <v>46292</v>
      </c>
      <c r="F903" t="inlineStr">
        <is>
          <t>VÄSTERNORRLANDS LÄN</t>
        </is>
      </c>
      <c r="G903" t="inlineStr">
        <is>
          <t>KRAMFORS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580-2023</t>
        </is>
      </c>
      <c r="B904" t="inlineStr">
        <is>
          <t>samrådsanmälan</t>
        </is>
      </c>
      <c r="C904" t="inlineStr">
        <is>
          <t>Annan skogsbruksåtgärd</t>
        </is>
      </c>
      <c r="D904" s="1" t="n">
        <v>44971</v>
      </c>
      <c r="E904" s="1" t="n">
        <v>46292</v>
      </c>
      <c r="F904" t="inlineStr">
        <is>
          <t>VÄSTERNORRLANDS LÄN</t>
        </is>
      </c>
      <c r="G904" t="inlineStr">
        <is>
          <t>KRAMFORS</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7195-2021</t>
        </is>
      </c>
      <c r="B905" t="inlineStr">
        <is>
          <t>samrådsanmälan</t>
        </is>
      </c>
      <c r="C905" t="inlineStr">
        <is>
          <t>Skogsbilväg</t>
        </is>
      </c>
      <c r="D905" s="1" t="n">
        <v>44467</v>
      </c>
      <c r="E905" s="1" t="n">
        <v>46292</v>
      </c>
      <c r="F905" t="inlineStr">
        <is>
          <t>VÄSTERNORRLANDS LÄN</t>
        </is>
      </c>
      <c r="G905" t="inlineStr">
        <is>
          <t>KRAMFORS</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1107-2025</t>
        </is>
      </c>
      <c r="B906" t="inlineStr">
        <is>
          <t>samrådsanmälan</t>
        </is>
      </c>
      <c r="C906" t="inlineStr">
        <is>
          <t>Skogsgödsling</t>
        </is>
      </c>
      <c r="D906" s="1" t="n">
        <v>45751</v>
      </c>
      <c r="E906" s="1" t="n">
        <v>46292</v>
      </c>
      <c r="F906" t="inlineStr">
        <is>
          <t>VÄSTERNORRLANDS LÄN</t>
        </is>
      </c>
      <c r="G906" t="inlineStr">
        <is>
          <t>KRAMFORS</t>
        </is>
      </c>
      <c r="I906" t="n">
        <v>189.4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1102-2025</t>
        </is>
      </c>
      <c r="B907" t="inlineStr">
        <is>
          <t>samrådsanmälan</t>
        </is>
      </c>
      <c r="C907" t="inlineStr">
        <is>
          <t>Skogsgödsling</t>
        </is>
      </c>
      <c r="D907" s="1" t="n">
        <v>45751</v>
      </c>
      <c r="E907" s="1" t="n">
        <v>46292</v>
      </c>
      <c r="F907" t="inlineStr">
        <is>
          <t>VÄSTERNORRLANDS LÄN</t>
        </is>
      </c>
      <c r="G907" t="inlineStr">
        <is>
          <t>KRAMFORS</t>
        </is>
      </c>
      <c r="H907" t="inlineStr">
        <is>
          <t>SCA</t>
        </is>
      </c>
      <c r="I907" t="n">
        <v>62.2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1509-2025</t>
        </is>
      </c>
      <c r="B908" t="inlineStr">
        <is>
          <t>samrådsanmälan</t>
        </is>
      </c>
      <c r="C908" t="inlineStr">
        <is>
          <t>Skogsgödsling</t>
        </is>
      </c>
      <c r="D908" s="1" t="n">
        <v>45790</v>
      </c>
      <c r="E908" s="1" t="n">
        <v>46292</v>
      </c>
      <c r="F908" t="inlineStr">
        <is>
          <t>VÄSTERNORRLANDS LÄN</t>
        </is>
      </c>
      <c r="G908" t="inlineStr">
        <is>
          <t>KRAMFORS</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123-2026</t>
        </is>
      </c>
      <c r="B909" t="inlineStr">
        <is>
          <t>samrådsanmälan</t>
        </is>
      </c>
      <c r="C909" t="inlineStr">
        <is>
          <t>Traktorväg</t>
        </is>
      </c>
      <c r="D909" s="1" t="n">
        <v>46041</v>
      </c>
      <c r="E909" s="1" t="n">
        <v>46292</v>
      </c>
      <c r="F909" t="inlineStr">
        <is>
          <t>VÄSTERNORRLANDS LÄN</t>
        </is>
      </c>
      <c r="G909" t="inlineStr">
        <is>
          <t>KRAMFORS</t>
        </is>
      </c>
      <c r="I909" t="n">
        <v>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531-2026</t>
        </is>
      </c>
      <c r="B910" t="inlineStr">
        <is>
          <t>samrådsanmälan</t>
        </is>
      </c>
      <c r="C910" t="inlineStr">
        <is>
          <t>Skogsgödsling</t>
        </is>
      </c>
      <c r="D910" s="1" t="n">
        <v>46078</v>
      </c>
      <c r="E910" s="1" t="n">
        <v>46292</v>
      </c>
      <c r="F910" t="inlineStr">
        <is>
          <t>VÄSTERNORRLANDS LÄN</t>
        </is>
      </c>
      <c r="G910" t="inlineStr">
        <is>
          <t>KRAMFORS</t>
        </is>
      </c>
      <c r="I910" t="n">
        <v>133.3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483-2026</t>
        </is>
      </c>
      <c r="B911" t="inlineStr">
        <is>
          <t>samrådsanmälan</t>
        </is>
      </c>
      <c r="C911" t="inlineStr">
        <is>
          <t>Skogsgödsling</t>
        </is>
      </c>
      <c r="D911" s="1" t="n">
        <v>46073</v>
      </c>
      <c r="E911" s="1" t="n">
        <v>46292</v>
      </c>
      <c r="F911" t="inlineStr">
        <is>
          <t>VÄSTERNORRLANDS LÄN</t>
        </is>
      </c>
      <c r="G911" t="inlineStr">
        <is>
          <t>KRAMFORS</t>
        </is>
      </c>
      <c r="I911" t="n">
        <v>26.8</v>
      </c>
      <c r="J911" t="n">
        <v>0</v>
      </c>
      <c r="K911" t="n">
        <v>0</v>
      </c>
      <c r="L911" t="n">
        <v>0</v>
      </c>
      <c r="M911" t="n">
        <v>0</v>
      </c>
      <c r="N911" t="n">
        <v>0</v>
      </c>
      <c r="O911" t="n">
        <v>0</v>
      </c>
      <c r="P911" t="n">
        <v>0</v>
      </c>
      <c r="Q911" t="n">
        <v>0</v>
      </c>
      <c r="R911" t="n">
        <v>0</v>
      </c>
      <c r="S911" t="n">
        <v>0</v>
      </c>
      <c r="T911" t="n">
        <v>0</v>
      </c>
      <c r="U911" t="n">
        <v>0</v>
      </c>
      <c r="V911" s="2" t="inlineStr"/>
    </row>
    <row r="912">
      <c r="A912" t="inlineStr">
        <is>
          <t>S 1224-2026</t>
        </is>
      </c>
      <c r="B912" t="inlineStr">
        <is>
          <t>samrådsanmälan</t>
        </is>
      </c>
      <c r="C912" t="inlineStr">
        <is>
          <t>Traktorväg</t>
        </is>
      </c>
      <c r="D912" s="1" t="n">
        <v>46142</v>
      </c>
      <c r="E912" s="1" t="n">
        <v>46292</v>
      </c>
      <c r="F912" t="inlineStr">
        <is>
          <t>VÄSTERNORRLANDS LÄN</t>
        </is>
      </c>
      <c r="G912" t="inlineStr">
        <is>
          <t>KRAMFORS</t>
        </is>
      </c>
      <c r="I912" t="n">
        <v>2</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2026-09-27T02:02:00Z</dcterms:created>
  <dcterms:modified xmlns:dcterms="http://purl.org/dc/terms/" xmlns:xsi="http://www.w3.org/2001/XMLSchema-instance" xsi:type="dcterms:W3CDTF">2026-09-27T02:02:01Z</dcterms:modified>
</cp:coreProperties>
</file>