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45513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45513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45513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45513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45513</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45513</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45513</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45513</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45513</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45513</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45513</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45513</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45513</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45513</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45513</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45513</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45513</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45513</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45513</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45513</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45513</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45513</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45513</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45513</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45513</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45513</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45513</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45513</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45513</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45513</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45513</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45513</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45513</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45513</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45513</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45513</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45513</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45513</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45513</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45513</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45513</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24655-2020</t>
        </is>
      </c>
      <c r="B43" s="1" t="n">
        <v>43977</v>
      </c>
      <c r="C43" s="1" t="n">
        <v>45513</v>
      </c>
      <c r="D43" t="inlineStr">
        <is>
          <t>VÄSTERNORRLANDS LÄN</t>
        </is>
      </c>
      <c r="E43" t="inlineStr">
        <is>
          <t>KRAMFORS</t>
        </is>
      </c>
      <c r="F43" t="inlineStr">
        <is>
          <t>SCA</t>
        </is>
      </c>
      <c r="G43" t="n">
        <v>3.3</v>
      </c>
      <c r="H43" t="n">
        <v>1</v>
      </c>
      <c r="I43" t="n">
        <v>0</v>
      </c>
      <c r="J43" t="n">
        <v>1</v>
      </c>
      <c r="K43" t="n">
        <v>1</v>
      </c>
      <c r="L43" t="n">
        <v>0</v>
      </c>
      <c r="M43" t="n">
        <v>0</v>
      </c>
      <c r="N43" t="n">
        <v>0</v>
      </c>
      <c r="O43" t="n">
        <v>2</v>
      </c>
      <c r="P43" t="n">
        <v>1</v>
      </c>
      <c r="Q43" t="n">
        <v>2</v>
      </c>
      <c r="R43" s="2" t="inlineStr">
        <is>
          <t>Knärot
Garnlav</t>
        </is>
      </c>
      <c r="S43">
        <f>HYPERLINK("https://klasma.github.io/Logging_2282/artfynd/A 24655-2020 artfynd.xlsx", "A 24655-2020")</f>
        <v/>
      </c>
      <c r="T43">
        <f>HYPERLINK("https://klasma.github.io/Logging_2282/kartor/A 24655-2020 karta.png", "A 24655-2020")</f>
        <v/>
      </c>
      <c r="U43">
        <f>HYPERLINK("https://klasma.github.io/Logging_2282/knärot/A 24655-2020 karta knärot.png", "A 24655-2020")</f>
        <v/>
      </c>
      <c r="V43">
        <f>HYPERLINK("https://klasma.github.io/Logging_2282/klagomål/A 24655-2020 FSC-klagomål.docx", "A 24655-2020")</f>
        <v/>
      </c>
      <c r="W43">
        <f>HYPERLINK("https://klasma.github.io/Logging_2282/klagomålsmail/A 24655-2020 FSC-klagomål mail.docx", "A 24655-2020")</f>
        <v/>
      </c>
      <c r="X43">
        <f>HYPERLINK("https://klasma.github.io/Logging_2282/tillsyn/A 24655-2020 tillsynsbegäran.docx", "A 24655-2020")</f>
        <v/>
      </c>
      <c r="Y43">
        <f>HYPERLINK("https://klasma.github.io/Logging_2282/tillsynsmail/A 24655-2020 tillsynsbegäran mail.docx", "A 24655-2020")</f>
        <v/>
      </c>
    </row>
    <row r="44" ht="15" customHeight="1">
      <c r="A44" t="inlineStr">
        <is>
          <t>A 716-2021</t>
        </is>
      </c>
      <c r="B44" s="1" t="n">
        <v>44204</v>
      </c>
      <c r="C44" s="1" t="n">
        <v>45513</v>
      </c>
      <c r="D44" t="inlineStr">
        <is>
          <t>VÄSTERNORRLANDS LÄN</t>
        </is>
      </c>
      <c r="E44" t="inlineStr">
        <is>
          <t>KRAMFORS</t>
        </is>
      </c>
      <c r="G44" t="n">
        <v>1.2</v>
      </c>
      <c r="H44" t="n">
        <v>1</v>
      </c>
      <c r="I44" t="n">
        <v>2</v>
      </c>
      <c r="J44" t="n">
        <v>0</v>
      </c>
      <c r="K44" t="n">
        <v>0</v>
      </c>
      <c r="L44" t="n">
        <v>0</v>
      </c>
      <c r="M44" t="n">
        <v>0</v>
      </c>
      <c r="N44" t="n">
        <v>0</v>
      </c>
      <c r="O44" t="n">
        <v>0</v>
      </c>
      <c r="P44" t="n">
        <v>0</v>
      </c>
      <c r="Q44" t="n">
        <v>2</v>
      </c>
      <c r="R44" s="2" t="inlineStr">
        <is>
          <t>Grön sköldmossa
Stubbspretmossa</t>
        </is>
      </c>
      <c r="S44">
        <f>HYPERLINK("https://klasma.github.io/Logging_2282/artfynd/A 716-2021 artfynd.xlsx", "A 716-2021")</f>
        <v/>
      </c>
      <c r="T44">
        <f>HYPERLINK("https://klasma.github.io/Logging_2282/kartor/A 716-2021 karta.png", "A 716-2021")</f>
        <v/>
      </c>
      <c r="V44">
        <f>HYPERLINK("https://klasma.github.io/Logging_2282/klagomål/A 716-2021 FSC-klagomål.docx", "A 716-2021")</f>
        <v/>
      </c>
      <c r="W44">
        <f>HYPERLINK("https://klasma.github.io/Logging_2282/klagomålsmail/A 716-2021 FSC-klagomål mail.docx", "A 716-2021")</f>
        <v/>
      </c>
      <c r="X44">
        <f>HYPERLINK("https://klasma.github.io/Logging_2282/tillsyn/A 716-2021 tillsynsbegäran.docx", "A 716-2021")</f>
        <v/>
      </c>
      <c r="Y44">
        <f>HYPERLINK("https://klasma.github.io/Logging_2282/tillsynsmail/A 716-2021 tillsynsbegäran mail.docx", "A 716-2021")</f>
        <v/>
      </c>
    </row>
    <row r="45" ht="15" customHeight="1">
      <c r="A45" t="inlineStr">
        <is>
          <t>A 17601-2021</t>
        </is>
      </c>
      <c r="B45" s="1" t="n">
        <v>44299</v>
      </c>
      <c r="C45" s="1" t="n">
        <v>45513</v>
      </c>
      <c r="D45" t="inlineStr">
        <is>
          <t>VÄSTERNORRLANDS LÄN</t>
        </is>
      </c>
      <c r="E45" t="inlineStr">
        <is>
          <t>KRAMFORS</t>
        </is>
      </c>
      <c r="G45" t="n">
        <v>4.8</v>
      </c>
      <c r="H45" t="n">
        <v>0</v>
      </c>
      <c r="I45" t="n">
        <v>0</v>
      </c>
      <c r="J45" t="n">
        <v>2</v>
      </c>
      <c r="K45" t="n">
        <v>0</v>
      </c>
      <c r="L45" t="n">
        <v>0</v>
      </c>
      <c r="M45" t="n">
        <v>0</v>
      </c>
      <c r="N45" t="n">
        <v>0</v>
      </c>
      <c r="O45" t="n">
        <v>2</v>
      </c>
      <c r="P45" t="n">
        <v>0</v>
      </c>
      <c r="Q45" t="n">
        <v>2</v>
      </c>
      <c r="R45" s="2" t="inlineStr">
        <is>
          <t>Rosenticka
Ullticka</t>
        </is>
      </c>
      <c r="S45">
        <f>HYPERLINK("https://klasma.github.io/Logging_2282/artfynd/A 17601-2021 artfynd.xlsx", "A 17601-2021")</f>
        <v/>
      </c>
      <c r="T45">
        <f>HYPERLINK("https://klasma.github.io/Logging_2282/kartor/A 17601-2021 karta.png", "A 17601-2021")</f>
        <v/>
      </c>
      <c r="V45">
        <f>HYPERLINK("https://klasma.github.io/Logging_2282/klagomål/A 17601-2021 FSC-klagomål.docx", "A 17601-2021")</f>
        <v/>
      </c>
      <c r="W45">
        <f>HYPERLINK("https://klasma.github.io/Logging_2282/klagomålsmail/A 17601-2021 FSC-klagomål mail.docx", "A 17601-2021")</f>
        <v/>
      </c>
      <c r="X45">
        <f>HYPERLINK("https://klasma.github.io/Logging_2282/tillsyn/A 17601-2021 tillsynsbegäran.docx", "A 17601-2021")</f>
        <v/>
      </c>
      <c r="Y45">
        <f>HYPERLINK("https://klasma.github.io/Logging_2282/tillsynsmail/A 17601-2021 tillsynsbegäran mail.docx", "A 17601-2021")</f>
        <v/>
      </c>
    </row>
    <row r="46" ht="15" customHeight="1">
      <c r="A46" t="inlineStr">
        <is>
          <t>A 24299-2022</t>
        </is>
      </c>
      <c r="B46" s="1" t="n">
        <v>44726</v>
      </c>
      <c r="C46" s="1" t="n">
        <v>45513</v>
      </c>
      <c r="D46" t="inlineStr">
        <is>
          <t>VÄSTERNORRLANDS LÄN</t>
        </is>
      </c>
      <c r="E46" t="inlineStr">
        <is>
          <t>KRAMFORS</t>
        </is>
      </c>
      <c r="G46" t="n">
        <v>16.3</v>
      </c>
      <c r="H46" t="n">
        <v>0</v>
      </c>
      <c r="I46" t="n">
        <v>0</v>
      </c>
      <c r="J46" t="n">
        <v>2</v>
      </c>
      <c r="K46" t="n">
        <v>0</v>
      </c>
      <c r="L46" t="n">
        <v>0</v>
      </c>
      <c r="M46" t="n">
        <v>0</v>
      </c>
      <c r="N46" t="n">
        <v>0</v>
      </c>
      <c r="O46" t="n">
        <v>2</v>
      </c>
      <c r="P46" t="n">
        <v>0</v>
      </c>
      <c r="Q46" t="n">
        <v>2</v>
      </c>
      <c r="R46" s="2" t="inlineStr">
        <is>
          <t>Rosenticka
Ullticka</t>
        </is>
      </c>
      <c r="S46">
        <f>HYPERLINK("https://klasma.github.io/Logging_2282/artfynd/A 24299-2022 artfynd.xlsx", "A 24299-2022")</f>
        <v/>
      </c>
      <c r="T46">
        <f>HYPERLINK("https://klasma.github.io/Logging_2282/kartor/A 24299-2022 karta.png", "A 24299-2022")</f>
        <v/>
      </c>
      <c r="V46">
        <f>HYPERLINK("https://klasma.github.io/Logging_2282/klagomål/A 24299-2022 FSC-klagomål.docx", "A 24299-2022")</f>
        <v/>
      </c>
      <c r="W46">
        <f>HYPERLINK("https://klasma.github.io/Logging_2282/klagomålsmail/A 24299-2022 FSC-klagomål mail.docx", "A 24299-2022")</f>
        <v/>
      </c>
      <c r="X46">
        <f>HYPERLINK("https://klasma.github.io/Logging_2282/tillsyn/A 24299-2022 tillsynsbegäran.docx", "A 24299-2022")</f>
        <v/>
      </c>
      <c r="Y46">
        <f>HYPERLINK("https://klasma.github.io/Logging_2282/tillsynsmail/A 24299-2022 tillsynsbegäran mail.docx", "A 24299-2022")</f>
        <v/>
      </c>
    </row>
    <row r="47" ht="15" customHeight="1">
      <c r="A47" t="inlineStr">
        <is>
          <t>A 33210-2023</t>
        </is>
      </c>
      <c r="B47" s="1" t="n">
        <v>45114</v>
      </c>
      <c r="C47" s="1" t="n">
        <v>45513</v>
      </c>
      <c r="D47" t="inlineStr">
        <is>
          <t>VÄSTERNORRLANDS LÄN</t>
        </is>
      </c>
      <c r="E47" t="inlineStr">
        <is>
          <t>KRAMFORS</t>
        </is>
      </c>
      <c r="G47" t="n">
        <v>20.1</v>
      </c>
      <c r="H47" t="n">
        <v>1</v>
      </c>
      <c r="I47" t="n">
        <v>1</v>
      </c>
      <c r="J47" t="n">
        <v>0</v>
      </c>
      <c r="K47" t="n">
        <v>0</v>
      </c>
      <c r="L47" t="n">
        <v>0</v>
      </c>
      <c r="M47" t="n">
        <v>0</v>
      </c>
      <c r="N47" t="n">
        <v>0</v>
      </c>
      <c r="O47" t="n">
        <v>0</v>
      </c>
      <c r="P47" t="n">
        <v>0</v>
      </c>
      <c r="Q47" t="n">
        <v>2</v>
      </c>
      <c r="R47" s="2" t="inlineStr">
        <is>
          <t>Svart trolldruva
Blåsippa</t>
        </is>
      </c>
      <c r="S47">
        <f>HYPERLINK("https://klasma.github.io/Logging_2282/artfynd/A 33210-2023 artfynd.xlsx", "A 33210-2023")</f>
        <v/>
      </c>
      <c r="T47">
        <f>HYPERLINK("https://klasma.github.io/Logging_2282/kartor/A 33210-2023 karta.png", "A 33210-2023")</f>
        <v/>
      </c>
      <c r="V47">
        <f>HYPERLINK("https://klasma.github.io/Logging_2282/klagomål/A 33210-2023 FSC-klagomål.docx", "A 33210-2023")</f>
        <v/>
      </c>
      <c r="W47">
        <f>HYPERLINK("https://klasma.github.io/Logging_2282/klagomålsmail/A 33210-2023 FSC-klagomål mail.docx", "A 33210-2023")</f>
        <v/>
      </c>
      <c r="X47">
        <f>HYPERLINK("https://klasma.github.io/Logging_2282/tillsyn/A 33210-2023 tillsynsbegäran.docx", "A 33210-2023")</f>
        <v/>
      </c>
      <c r="Y47">
        <f>HYPERLINK("https://klasma.github.io/Logging_2282/tillsynsmail/A 33210-2023 tillsynsbegäran mail.docx", "A 33210-2023")</f>
        <v/>
      </c>
    </row>
    <row r="48" ht="15" customHeight="1">
      <c r="A48" t="inlineStr">
        <is>
          <t>A 31417-2023</t>
        </is>
      </c>
      <c r="B48" s="1" t="n">
        <v>45114</v>
      </c>
      <c r="C48" s="1" t="n">
        <v>45513</v>
      </c>
      <c r="D48" t="inlineStr">
        <is>
          <t>VÄSTERNORRLANDS LÄN</t>
        </is>
      </c>
      <c r="E48" t="inlineStr">
        <is>
          <t>KRAMFORS</t>
        </is>
      </c>
      <c r="G48" t="n">
        <v>5.3</v>
      </c>
      <c r="H48" t="n">
        <v>0</v>
      </c>
      <c r="I48" t="n">
        <v>1</v>
      </c>
      <c r="J48" t="n">
        <v>1</v>
      </c>
      <c r="K48" t="n">
        <v>0</v>
      </c>
      <c r="L48" t="n">
        <v>0</v>
      </c>
      <c r="M48" t="n">
        <v>0</v>
      </c>
      <c r="N48" t="n">
        <v>0</v>
      </c>
      <c r="O48" t="n">
        <v>1</v>
      </c>
      <c r="P48" t="n">
        <v>0</v>
      </c>
      <c r="Q48" t="n">
        <v>2</v>
      </c>
      <c r="R48" s="2" t="inlineStr">
        <is>
          <t>Stiftgelélav
Gytterlav</t>
        </is>
      </c>
      <c r="S48">
        <f>HYPERLINK("https://klasma.github.io/Logging_2282/artfynd/A 31417-2023 artfynd.xlsx", "A 31417-2023")</f>
        <v/>
      </c>
      <c r="T48">
        <f>HYPERLINK("https://klasma.github.io/Logging_2282/kartor/A 31417-2023 karta.png", "A 31417-2023")</f>
        <v/>
      </c>
      <c r="V48">
        <f>HYPERLINK("https://klasma.github.io/Logging_2282/klagomål/A 31417-2023 FSC-klagomål.docx", "A 31417-2023")</f>
        <v/>
      </c>
      <c r="W48">
        <f>HYPERLINK("https://klasma.github.io/Logging_2282/klagomålsmail/A 31417-2023 FSC-klagomål mail.docx", "A 31417-2023")</f>
        <v/>
      </c>
      <c r="X48">
        <f>HYPERLINK("https://klasma.github.io/Logging_2282/tillsyn/A 31417-2023 tillsynsbegäran.docx", "A 31417-2023")</f>
        <v/>
      </c>
      <c r="Y48">
        <f>HYPERLINK("https://klasma.github.io/Logging_2282/tillsynsmail/A 31417-2023 tillsynsbegäran mail.docx", "A 31417-2023")</f>
        <v/>
      </c>
    </row>
    <row r="49" ht="15" customHeight="1">
      <c r="A49" t="inlineStr">
        <is>
          <t>A 38977-2023</t>
        </is>
      </c>
      <c r="B49" s="1" t="n">
        <v>45161</v>
      </c>
      <c r="C49" s="1" t="n">
        <v>45513</v>
      </c>
      <c r="D49" t="inlineStr">
        <is>
          <t>VÄSTERNORRLANDS LÄN</t>
        </is>
      </c>
      <c r="E49" t="inlineStr">
        <is>
          <t>KRAMFORS</t>
        </is>
      </c>
      <c r="G49" t="n">
        <v>1</v>
      </c>
      <c r="H49" t="n">
        <v>0</v>
      </c>
      <c r="I49" t="n">
        <v>0</v>
      </c>
      <c r="J49" t="n">
        <v>2</v>
      </c>
      <c r="K49" t="n">
        <v>0</v>
      </c>
      <c r="L49" t="n">
        <v>0</v>
      </c>
      <c r="M49" t="n">
        <v>0</v>
      </c>
      <c r="N49" t="n">
        <v>0</v>
      </c>
      <c r="O49" t="n">
        <v>2</v>
      </c>
      <c r="P49" t="n">
        <v>0</v>
      </c>
      <c r="Q49" t="n">
        <v>2</v>
      </c>
      <c r="R49" s="2" t="inlineStr">
        <is>
          <t>Kolflarnlav
Violettgrå tagellav</t>
        </is>
      </c>
      <c r="S49">
        <f>HYPERLINK("https://klasma.github.io/Logging_2282/artfynd/A 38977-2023 artfynd.xlsx", "A 38977-2023")</f>
        <v/>
      </c>
      <c r="T49">
        <f>HYPERLINK("https://klasma.github.io/Logging_2282/kartor/A 38977-2023 karta.png", "A 38977-2023")</f>
        <v/>
      </c>
      <c r="V49">
        <f>HYPERLINK("https://klasma.github.io/Logging_2282/klagomål/A 38977-2023 FSC-klagomål.docx", "A 38977-2023")</f>
        <v/>
      </c>
      <c r="W49">
        <f>HYPERLINK("https://klasma.github.io/Logging_2282/klagomålsmail/A 38977-2023 FSC-klagomål mail.docx", "A 38977-2023")</f>
        <v/>
      </c>
      <c r="X49">
        <f>HYPERLINK("https://klasma.github.io/Logging_2282/tillsyn/A 38977-2023 tillsynsbegäran.docx", "A 38977-2023")</f>
        <v/>
      </c>
      <c r="Y49">
        <f>HYPERLINK("https://klasma.github.io/Logging_2282/tillsynsmail/A 38977-2023 tillsynsbegäran mail.docx", "A 38977-2023")</f>
        <v/>
      </c>
    </row>
    <row r="50" ht="15" customHeight="1">
      <c r="A50" t="inlineStr">
        <is>
          <t>A 43006-2023</t>
        </is>
      </c>
      <c r="B50" s="1" t="n">
        <v>45182</v>
      </c>
      <c r="C50" s="1" t="n">
        <v>45513</v>
      </c>
      <c r="D50" t="inlineStr">
        <is>
          <t>VÄSTERNORRLANDS LÄN</t>
        </is>
      </c>
      <c r="E50" t="inlineStr">
        <is>
          <t>KRAMFORS</t>
        </is>
      </c>
      <c r="G50" t="n">
        <v>2.5</v>
      </c>
      <c r="H50" t="n">
        <v>1</v>
      </c>
      <c r="I50" t="n">
        <v>0</v>
      </c>
      <c r="J50" t="n">
        <v>1</v>
      </c>
      <c r="K50" t="n">
        <v>0</v>
      </c>
      <c r="L50" t="n">
        <v>0</v>
      </c>
      <c r="M50" t="n">
        <v>0</v>
      </c>
      <c r="N50" t="n">
        <v>0</v>
      </c>
      <c r="O50" t="n">
        <v>1</v>
      </c>
      <c r="P50" t="n">
        <v>0</v>
      </c>
      <c r="Q50" t="n">
        <v>2</v>
      </c>
      <c r="R50" s="2" t="inlineStr">
        <is>
          <t>Violettgrå tagellav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45946-2023</t>
        </is>
      </c>
      <c r="B51" s="1" t="n">
        <v>45195</v>
      </c>
      <c r="C51" s="1" t="n">
        <v>45513</v>
      </c>
      <c r="D51" t="inlineStr">
        <is>
          <t>VÄSTERNORRLANDS LÄN</t>
        </is>
      </c>
      <c r="E51" t="inlineStr">
        <is>
          <t>KRAMFORS</t>
        </is>
      </c>
      <c r="F51" t="inlineStr">
        <is>
          <t>SCA</t>
        </is>
      </c>
      <c r="G51" t="n">
        <v>6.1</v>
      </c>
      <c r="H51" t="n">
        <v>0</v>
      </c>
      <c r="I51" t="n">
        <v>1</v>
      </c>
      <c r="J51" t="n">
        <v>1</v>
      </c>
      <c r="K51" t="n">
        <v>0</v>
      </c>
      <c r="L51" t="n">
        <v>0</v>
      </c>
      <c r="M51" t="n">
        <v>0</v>
      </c>
      <c r="N51" t="n">
        <v>0</v>
      </c>
      <c r="O51" t="n">
        <v>1</v>
      </c>
      <c r="P51" t="n">
        <v>0</v>
      </c>
      <c r="Q51" t="n">
        <v>2</v>
      </c>
      <c r="R51" s="2" t="inlineStr">
        <is>
          <t>Gränsticka
Stor aspticka</t>
        </is>
      </c>
      <c r="S51">
        <f>HYPERLINK("https://klasma.github.io/Logging_2282/artfynd/A 45946-2023 artfynd.xlsx", "A 45946-2023")</f>
        <v/>
      </c>
      <c r="T51">
        <f>HYPERLINK("https://klasma.github.io/Logging_2282/kartor/A 45946-2023 karta.png", "A 45946-2023")</f>
        <v/>
      </c>
      <c r="V51">
        <f>HYPERLINK("https://klasma.github.io/Logging_2282/klagomål/A 45946-2023 FSC-klagomål.docx", "A 45946-2023")</f>
        <v/>
      </c>
      <c r="W51">
        <f>HYPERLINK("https://klasma.github.io/Logging_2282/klagomålsmail/A 45946-2023 FSC-klagomål mail.docx", "A 45946-2023")</f>
        <v/>
      </c>
      <c r="X51">
        <f>HYPERLINK("https://klasma.github.io/Logging_2282/tillsyn/A 45946-2023 tillsynsbegäran.docx", "A 45946-2023")</f>
        <v/>
      </c>
      <c r="Y51">
        <f>HYPERLINK("https://klasma.github.io/Logging_2282/tillsynsmail/A 45946-2023 tillsynsbegäran mail.docx", "A 45946-2023")</f>
        <v/>
      </c>
    </row>
    <row r="52" ht="15" customHeight="1">
      <c r="A52" t="inlineStr">
        <is>
          <t>A 12577-2024</t>
        </is>
      </c>
      <c r="B52" s="1" t="n">
        <v>45379</v>
      </c>
      <c r="C52" s="1" t="n">
        <v>45513</v>
      </c>
      <c r="D52" t="inlineStr">
        <is>
          <t>VÄSTERNORRLANDS LÄN</t>
        </is>
      </c>
      <c r="E52" t="inlineStr">
        <is>
          <t>KRAMFORS</t>
        </is>
      </c>
      <c r="G52" t="n">
        <v>5.6</v>
      </c>
      <c r="H52" t="n">
        <v>1</v>
      </c>
      <c r="I52" t="n">
        <v>0</v>
      </c>
      <c r="J52" t="n">
        <v>1</v>
      </c>
      <c r="K52" t="n">
        <v>0</v>
      </c>
      <c r="L52" t="n">
        <v>0</v>
      </c>
      <c r="M52" t="n">
        <v>0</v>
      </c>
      <c r="N52" t="n">
        <v>0</v>
      </c>
      <c r="O52" t="n">
        <v>1</v>
      </c>
      <c r="P52" t="n">
        <v>0</v>
      </c>
      <c r="Q52" t="n">
        <v>2</v>
      </c>
      <c r="R52" s="2" t="inlineStr">
        <is>
          <t>Garnlav
Revlummer</t>
        </is>
      </c>
      <c r="S52">
        <f>HYPERLINK("https://klasma.github.io/Logging_2282/artfynd/A 12577-2024 artfynd.xlsx", "A 12577-2024")</f>
        <v/>
      </c>
      <c r="T52">
        <f>HYPERLINK("https://klasma.github.io/Logging_2282/kartor/A 12577-2024 karta.png", "A 12577-2024")</f>
        <v/>
      </c>
      <c r="V52">
        <f>HYPERLINK("https://klasma.github.io/Logging_2282/klagomål/A 12577-2024 FSC-klagomål.docx", "A 12577-2024")</f>
        <v/>
      </c>
      <c r="W52">
        <f>HYPERLINK("https://klasma.github.io/Logging_2282/klagomålsmail/A 12577-2024 FSC-klagomål mail.docx", "A 12577-2024")</f>
        <v/>
      </c>
      <c r="X52">
        <f>HYPERLINK("https://klasma.github.io/Logging_2282/tillsyn/A 12577-2024 tillsynsbegäran.docx", "A 12577-2024")</f>
        <v/>
      </c>
      <c r="Y52">
        <f>HYPERLINK("https://klasma.github.io/Logging_2282/tillsynsmail/A 12577-2024 tillsynsbegäran mail.docx", "A 12577-2024")</f>
        <v/>
      </c>
    </row>
    <row r="53" ht="15" customHeight="1">
      <c r="A53" t="inlineStr">
        <is>
          <t>A 22660-2024</t>
        </is>
      </c>
      <c r="B53" s="1" t="n">
        <v>45447</v>
      </c>
      <c r="C53" s="1" t="n">
        <v>45513</v>
      </c>
      <c r="D53" t="inlineStr">
        <is>
          <t>VÄSTERNORRLANDS LÄN</t>
        </is>
      </c>
      <c r="E53" t="inlineStr">
        <is>
          <t>KRAMFORS</t>
        </is>
      </c>
      <c r="F53" t="inlineStr">
        <is>
          <t>SCA</t>
        </is>
      </c>
      <c r="G53" t="n">
        <v>9.800000000000001</v>
      </c>
      <c r="H53" t="n">
        <v>0</v>
      </c>
      <c r="I53" t="n">
        <v>2</v>
      </c>
      <c r="J53" t="n">
        <v>0</v>
      </c>
      <c r="K53" t="n">
        <v>0</v>
      </c>
      <c r="L53" t="n">
        <v>0</v>
      </c>
      <c r="M53" t="n">
        <v>0</v>
      </c>
      <c r="N53" t="n">
        <v>0</v>
      </c>
      <c r="O53" t="n">
        <v>0</v>
      </c>
      <c r="P53" t="n">
        <v>0</v>
      </c>
      <c r="Q53" t="n">
        <v>2</v>
      </c>
      <c r="R53" s="2" t="inlineStr">
        <is>
          <t>Luddlav
Stor aspticka</t>
        </is>
      </c>
      <c r="S53">
        <f>HYPERLINK("https://klasma.github.io/Logging_2282/artfynd/A 22660-2024 artfynd.xlsx", "A 22660-2024")</f>
        <v/>
      </c>
      <c r="T53">
        <f>HYPERLINK("https://klasma.github.io/Logging_2282/kartor/A 22660-2024 karta.png", "A 22660-2024")</f>
        <v/>
      </c>
      <c r="V53">
        <f>HYPERLINK("https://klasma.github.io/Logging_2282/klagomål/A 22660-2024 FSC-klagomål.docx", "A 22660-2024")</f>
        <v/>
      </c>
      <c r="W53">
        <f>HYPERLINK("https://klasma.github.io/Logging_2282/klagomålsmail/A 22660-2024 FSC-klagomål mail.docx", "A 22660-2024")</f>
        <v/>
      </c>
      <c r="X53">
        <f>HYPERLINK("https://klasma.github.io/Logging_2282/tillsyn/A 22660-2024 tillsynsbegäran.docx", "A 22660-2024")</f>
        <v/>
      </c>
      <c r="Y53">
        <f>HYPERLINK("https://klasma.github.io/Logging_2282/tillsynsmail/A 22660-2024 tillsynsbegäran mail.docx", "A 22660-2024")</f>
        <v/>
      </c>
    </row>
    <row r="54" ht="15" customHeight="1">
      <c r="A54" t="inlineStr">
        <is>
          <t>A 16648-2020</t>
        </is>
      </c>
      <c r="B54" s="1" t="n">
        <v>43920</v>
      </c>
      <c r="C54" s="1" t="n">
        <v>45513</v>
      </c>
      <c r="D54" t="inlineStr">
        <is>
          <t>VÄSTERNORRLANDS LÄN</t>
        </is>
      </c>
      <c r="E54" t="inlineStr">
        <is>
          <t>KRAMFORS</t>
        </is>
      </c>
      <c r="G54" t="n">
        <v>25.2</v>
      </c>
      <c r="H54" t="n">
        <v>1</v>
      </c>
      <c r="I54" t="n">
        <v>0</v>
      </c>
      <c r="J54" t="n">
        <v>0</v>
      </c>
      <c r="K54" t="n">
        <v>0</v>
      </c>
      <c r="L54" t="n">
        <v>0</v>
      </c>
      <c r="M54" t="n">
        <v>0</v>
      </c>
      <c r="N54" t="n">
        <v>0</v>
      </c>
      <c r="O54" t="n">
        <v>0</v>
      </c>
      <c r="P54" t="n">
        <v>0</v>
      </c>
      <c r="Q54" t="n">
        <v>1</v>
      </c>
      <c r="R54" s="2" t="inlineStr">
        <is>
          <t>Fläcknycklar</t>
        </is>
      </c>
      <c r="S54">
        <f>HYPERLINK("https://klasma.github.io/Logging_2282/artfynd/A 16648-2020 artfynd.xlsx", "A 16648-2020")</f>
        <v/>
      </c>
      <c r="T54">
        <f>HYPERLINK("https://klasma.github.io/Logging_2282/kartor/A 16648-2020 karta.png", "A 16648-2020")</f>
        <v/>
      </c>
      <c r="V54">
        <f>HYPERLINK("https://klasma.github.io/Logging_2282/klagomål/A 16648-2020 FSC-klagomål.docx", "A 16648-2020")</f>
        <v/>
      </c>
      <c r="W54">
        <f>HYPERLINK("https://klasma.github.io/Logging_2282/klagomålsmail/A 16648-2020 FSC-klagomål mail.docx", "A 16648-2020")</f>
        <v/>
      </c>
      <c r="X54">
        <f>HYPERLINK("https://klasma.github.io/Logging_2282/tillsyn/A 16648-2020 tillsynsbegäran.docx", "A 16648-2020")</f>
        <v/>
      </c>
      <c r="Y54">
        <f>HYPERLINK("https://klasma.github.io/Logging_2282/tillsynsmail/A 16648-2020 tillsynsbegäran mail.docx", "A 16648-2020")</f>
        <v/>
      </c>
    </row>
    <row r="55" ht="15" customHeight="1">
      <c r="A55" t="inlineStr">
        <is>
          <t>A 21885-2023</t>
        </is>
      </c>
      <c r="B55" s="1" t="n">
        <v>45065</v>
      </c>
      <c r="C55" s="1" t="n">
        <v>45513</v>
      </c>
      <c r="D55" t="inlineStr">
        <is>
          <t>VÄSTERNORRLANDS LÄN</t>
        </is>
      </c>
      <c r="E55" t="inlineStr">
        <is>
          <t>KRAMFORS</t>
        </is>
      </c>
      <c r="G55" t="n">
        <v>1.9</v>
      </c>
      <c r="H55" t="n">
        <v>0</v>
      </c>
      <c r="I55" t="n">
        <v>1</v>
      </c>
      <c r="J55" t="n">
        <v>0</v>
      </c>
      <c r="K55" t="n">
        <v>0</v>
      </c>
      <c r="L55" t="n">
        <v>0</v>
      </c>
      <c r="M55" t="n">
        <v>0</v>
      </c>
      <c r="N55" t="n">
        <v>0</v>
      </c>
      <c r="O55" t="n">
        <v>0</v>
      </c>
      <c r="P55" t="n">
        <v>0</v>
      </c>
      <c r="Q55" t="n">
        <v>1</v>
      </c>
      <c r="R55" s="2" t="inlineStr">
        <is>
          <t>Svart trolldruva</t>
        </is>
      </c>
      <c r="S55">
        <f>HYPERLINK("https://klasma.github.io/Logging_2282/artfynd/A 21885-2023 artfynd.xlsx", "A 21885-2023")</f>
        <v/>
      </c>
      <c r="T55">
        <f>HYPERLINK("https://klasma.github.io/Logging_2282/kartor/A 21885-2023 karta.png", "A 21885-2023")</f>
        <v/>
      </c>
      <c r="V55">
        <f>HYPERLINK("https://klasma.github.io/Logging_2282/klagomål/A 21885-2023 FSC-klagomål.docx", "A 21885-2023")</f>
        <v/>
      </c>
      <c r="W55">
        <f>HYPERLINK("https://klasma.github.io/Logging_2282/klagomålsmail/A 21885-2023 FSC-klagomål mail.docx", "A 21885-2023")</f>
        <v/>
      </c>
      <c r="X55">
        <f>HYPERLINK("https://klasma.github.io/Logging_2282/tillsyn/A 21885-2023 tillsynsbegäran.docx", "A 21885-2023")</f>
        <v/>
      </c>
      <c r="Y55">
        <f>HYPERLINK("https://klasma.github.io/Logging_2282/tillsynsmail/A 21885-2023 tillsynsbegäran mail.docx", "A 21885-2023")</f>
        <v/>
      </c>
    </row>
    <row r="56" ht="15" customHeight="1">
      <c r="A56" t="inlineStr">
        <is>
          <t>A 29073-2023</t>
        </is>
      </c>
      <c r="B56" s="1" t="n">
        <v>45105</v>
      </c>
      <c r="C56" s="1" t="n">
        <v>45513</v>
      </c>
      <c r="D56" t="inlineStr">
        <is>
          <t>VÄSTERNORRLANDS LÄN</t>
        </is>
      </c>
      <c r="E56" t="inlineStr">
        <is>
          <t>KRAMFORS</t>
        </is>
      </c>
      <c r="F56" t="inlineStr">
        <is>
          <t>SCA</t>
        </is>
      </c>
      <c r="G56" t="n">
        <v>5.5</v>
      </c>
      <c r="H56" t="n">
        <v>1</v>
      </c>
      <c r="I56" t="n">
        <v>0</v>
      </c>
      <c r="J56" t="n">
        <v>1</v>
      </c>
      <c r="K56" t="n">
        <v>0</v>
      </c>
      <c r="L56" t="n">
        <v>0</v>
      </c>
      <c r="M56" t="n">
        <v>0</v>
      </c>
      <c r="N56" t="n">
        <v>0</v>
      </c>
      <c r="O56" t="n">
        <v>1</v>
      </c>
      <c r="P56" t="n">
        <v>0</v>
      </c>
      <c r="Q56" t="n">
        <v>1</v>
      </c>
      <c r="R56" s="2" t="inlineStr">
        <is>
          <t>Tretåig hackspett</t>
        </is>
      </c>
      <c r="S56">
        <f>HYPERLINK("https://klasma.github.io/Logging_2282/artfynd/A 29073-2023 artfynd.xlsx", "A 29073-2023")</f>
        <v/>
      </c>
      <c r="T56">
        <f>HYPERLINK("https://klasma.github.io/Logging_2282/kartor/A 29073-2023 karta.png", "A 29073-2023")</f>
        <v/>
      </c>
      <c r="U56">
        <f>HYPERLINK("https://klasma.github.io/Logging_2282/knärot/A 29073-2023 karta knärot.png", "A 29073-2023")</f>
        <v/>
      </c>
      <c r="V56">
        <f>HYPERLINK("https://klasma.github.io/Logging_2282/klagomål/A 29073-2023 FSC-klagomål.docx", "A 29073-2023")</f>
        <v/>
      </c>
      <c r="W56">
        <f>HYPERLINK("https://klasma.github.io/Logging_2282/klagomålsmail/A 29073-2023 FSC-klagomål mail.docx", "A 29073-2023")</f>
        <v/>
      </c>
      <c r="X56">
        <f>HYPERLINK("https://klasma.github.io/Logging_2282/tillsyn/A 29073-2023 tillsynsbegäran.docx", "A 29073-2023")</f>
        <v/>
      </c>
      <c r="Y56">
        <f>HYPERLINK("https://klasma.github.io/Logging_2282/tillsynsmail/A 29073-2023 tillsynsbegäran mail.docx", "A 29073-2023")</f>
        <v/>
      </c>
      <c r="Z56">
        <f>HYPERLINK("https://klasma.github.io/Logging_2282/fåglar/A 29073-2023 prioriterade fågelarter.docx", "A 29073-2023")</f>
        <v/>
      </c>
    </row>
    <row r="57" ht="15" customHeight="1">
      <c r="A57" t="inlineStr">
        <is>
          <t>A 45947-2023</t>
        </is>
      </c>
      <c r="B57" s="1" t="n">
        <v>45195</v>
      </c>
      <c r="C57" s="1" t="n">
        <v>45513</v>
      </c>
      <c r="D57" t="inlineStr">
        <is>
          <t>VÄSTERNORRLANDS LÄN</t>
        </is>
      </c>
      <c r="E57" t="inlineStr">
        <is>
          <t>KRAMFORS</t>
        </is>
      </c>
      <c r="F57" t="inlineStr">
        <is>
          <t>SCA</t>
        </is>
      </c>
      <c r="G57" t="n">
        <v>1.7</v>
      </c>
      <c r="H57" t="n">
        <v>0</v>
      </c>
      <c r="I57" t="n">
        <v>1</v>
      </c>
      <c r="J57" t="n">
        <v>0</v>
      </c>
      <c r="K57" t="n">
        <v>0</v>
      </c>
      <c r="L57" t="n">
        <v>0</v>
      </c>
      <c r="M57" t="n">
        <v>0</v>
      </c>
      <c r="N57" t="n">
        <v>0</v>
      </c>
      <c r="O57" t="n">
        <v>0</v>
      </c>
      <c r="P57" t="n">
        <v>0</v>
      </c>
      <c r="Q57" t="n">
        <v>1</v>
      </c>
      <c r="R57" s="2" t="inlineStr">
        <is>
          <t>Kattfotslav</t>
        </is>
      </c>
      <c r="S57">
        <f>HYPERLINK("https://klasma.github.io/Logging_2282/artfynd/A 45947-2023 artfynd.xlsx", "A 45947-2023")</f>
        <v/>
      </c>
      <c r="T57">
        <f>HYPERLINK("https://klasma.github.io/Logging_2282/kartor/A 45947-2023 karta.png", "A 45947-2023")</f>
        <v/>
      </c>
      <c r="V57">
        <f>HYPERLINK("https://klasma.github.io/Logging_2282/klagomål/A 45947-2023 FSC-klagomål.docx", "A 45947-2023")</f>
        <v/>
      </c>
      <c r="W57">
        <f>HYPERLINK("https://klasma.github.io/Logging_2282/klagomålsmail/A 45947-2023 FSC-klagomål mail.docx", "A 45947-2023")</f>
        <v/>
      </c>
      <c r="X57">
        <f>HYPERLINK("https://klasma.github.io/Logging_2282/tillsyn/A 45947-2023 tillsynsbegäran.docx", "A 45947-2023")</f>
        <v/>
      </c>
      <c r="Y57">
        <f>HYPERLINK("https://klasma.github.io/Logging_2282/tillsynsmail/A 45947-2023 tillsynsbegäran mail.docx", "A 45947-2023")</f>
        <v/>
      </c>
    </row>
    <row r="58" ht="15" customHeight="1">
      <c r="A58" t="inlineStr">
        <is>
          <t>A 48970-2023</t>
        </is>
      </c>
      <c r="B58" s="1" t="n">
        <v>45204</v>
      </c>
      <c r="C58" s="1" t="n">
        <v>45513</v>
      </c>
      <c r="D58" t="inlineStr">
        <is>
          <t>VÄSTERNORRLANDS LÄN</t>
        </is>
      </c>
      <c r="E58" t="inlineStr">
        <is>
          <t>KRAMFORS</t>
        </is>
      </c>
      <c r="G58" t="n">
        <v>3.9</v>
      </c>
      <c r="H58" t="n">
        <v>1</v>
      </c>
      <c r="I58" t="n">
        <v>0</v>
      </c>
      <c r="J58" t="n">
        <v>1</v>
      </c>
      <c r="K58" t="n">
        <v>0</v>
      </c>
      <c r="L58" t="n">
        <v>0</v>
      </c>
      <c r="M58" t="n">
        <v>0</v>
      </c>
      <c r="N58" t="n">
        <v>0</v>
      </c>
      <c r="O58" t="n">
        <v>1</v>
      </c>
      <c r="P58" t="n">
        <v>0</v>
      </c>
      <c r="Q58" t="n">
        <v>1</v>
      </c>
      <c r="R58" s="2" t="inlineStr">
        <is>
          <t>Tretåig hackspett</t>
        </is>
      </c>
      <c r="S58">
        <f>HYPERLINK("https://klasma.github.io/Logging_2282/artfynd/A 48970-2023 artfynd.xlsx", "A 48970-2023")</f>
        <v/>
      </c>
      <c r="T58">
        <f>HYPERLINK("https://klasma.github.io/Logging_2282/kartor/A 48970-2023 karta.png", "A 48970-2023")</f>
        <v/>
      </c>
      <c r="V58">
        <f>HYPERLINK("https://klasma.github.io/Logging_2282/klagomål/A 48970-2023 FSC-klagomål.docx", "A 48970-2023")</f>
        <v/>
      </c>
      <c r="W58">
        <f>HYPERLINK("https://klasma.github.io/Logging_2282/klagomålsmail/A 48970-2023 FSC-klagomål mail.docx", "A 48970-2023")</f>
        <v/>
      </c>
      <c r="X58">
        <f>HYPERLINK("https://klasma.github.io/Logging_2282/tillsyn/A 48970-2023 tillsynsbegäran.docx", "A 48970-2023")</f>
        <v/>
      </c>
      <c r="Y58">
        <f>HYPERLINK("https://klasma.github.io/Logging_2282/tillsynsmail/A 48970-2023 tillsynsbegäran mail.docx", "A 48970-2023")</f>
        <v/>
      </c>
      <c r="Z58">
        <f>HYPERLINK("https://klasma.github.io/Logging_2282/fåglar/A 48970-2023 prioriterade fågelarter.docx", "A 48970-2023")</f>
        <v/>
      </c>
    </row>
    <row r="59" ht="15" customHeight="1">
      <c r="A59" t="inlineStr">
        <is>
          <t>A 49656-2023</t>
        </is>
      </c>
      <c r="B59" s="1" t="n">
        <v>45211</v>
      </c>
      <c r="C59" s="1" t="n">
        <v>45513</v>
      </c>
      <c r="D59" t="inlineStr">
        <is>
          <t>VÄSTERNORRLANDS LÄN</t>
        </is>
      </c>
      <c r="E59" t="inlineStr">
        <is>
          <t>KRAMFORS</t>
        </is>
      </c>
      <c r="F59" t="inlineStr">
        <is>
          <t>SCA</t>
        </is>
      </c>
      <c r="G59" t="n">
        <v>2.9</v>
      </c>
      <c r="H59" t="n">
        <v>0</v>
      </c>
      <c r="I59" t="n">
        <v>0</v>
      </c>
      <c r="J59" t="n">
        <v>1</v>
      </c>
      <c r="K59" t="n">
        <v>0</v>
      </c>
      <c r="L59" t="n">
        <v>0</v>
      </c>
      <c r="M59" t="n">
        <v>0</v>
      </c>
      <c r="N59" t="n">
        <v>0</v>
      </c>
      <c r="O59" t="n">
        <v>1</v>
      </c>
      <c r="P59" t="n">
        <v>0</v>
      </c>
      <c r="Q59" t="n">
        <v>1</v>
      </c>
      <c r="R59" s="2" t="inlineStr">
        <is>
          <t>Rosenticka</t>
        </is>
      </c>
      <c r="S59">
        <f>HYPERLINK("https://klasma.github.io/Logging_2282/artfynd/A 49656-2023 artfynd.xlsx", "A 49656-2023")</f>
        <v/>
      </c>
      <c r="T59">
        <f>HYPERLINK("https://klasma.github.io/Logging_2282/kartor/A 49656-2023 karta.png", "A 49656-2023")</f>
        <v/>
      </c>
      <c r="V59">
        <f>HYPERLINK("https://klasma.github.io/Logging_2282/klagomål/A 49656-2023 FSC-klagomål.docx", "A 49656-2023")</f>
        <v/>
      </c>
      <c r="W59">
        <f>HYPERLINK("https://klasma.github.io/Logging_2282/klagomålsmail/A 49656-2023 FSC-klagomål mail.docx", "A 49656-2023")</f>
        <v/>
      </c>
      <c r="X59">
        <f>HYPERLINK("https://klasma.github.io/Logging_2282/tillsyn/A 49656-2023 tillsynsbegäran.docx", "A 49656-2023")</f>
        <v/>
      </c>
      <c r="Y59">
        <f>HYPERLINK("https://klasma.github.io/Logging_2282/tillsynsmail/A 49656-2023 tillsynsbegäran mail.docx", "A 49656-2023")</f>
        <v/>
      </c>
    </row>
    <row r="60" ht="15" customHeight="1">
      <c r="A60" t="inlineStr">
        <is>
          <t>A 55626-2023</t>
        </is>
      </c>
      <c r="B60" s="1" t="n">
        <v>45238</v>
      </c>
      <c r="C60" s="1" t="n">
        <v>45513</v>
      </c>
      <c r="D60" t="inlineStr">
        <is>
          <t>VÄSTERNORRLANDS LÄN</t>
        </is>
      </c>
      <c r="E60" t="inlineStr">
        <is>
          <t>KRAMFORS</t>
        </is>
      </c>
      <c r="G60" t="n">
        <v>8</v>
      </c>
      <c r="H60" t="n">
        <v>0</v>
      </c>
      <c r="I60" t="n">
        <v>0</v>
      </c>
      <c r="J60" t="n">
        <v>1</v>
      </c>
      <c r="K60" t="n">
        <v>0</v>
      </c>
      <c r="L60" t="n">
        <v>0</v>
      </c>
      <c r="M60" t="n">
        <v>0</v>
      </c>
      <c r="N60" t="n">
        <v>0</v>
      </c>
      <c r="O60" t="n">
        <v>1</v>
      </c>
      <c r="P60" t="n">
        <v>0</v>
      </c>
      <c r="Q60" t="n">
        <v>1</v>
      </c>
      <c r="R60" s="2" t="inlineStr">
        <is>
          <t>Gränsticka</t>
        </is>
      </c>
      <c r="S60">
        <f>HYPERLINK("https://klasma.github.io/Logging_2282/artfynd/A 55626-2023 artfynd.xlsx", "A 55626-2023")</f>
        <v/>
      </c>
      <c r="T60">
        <f>HYPERLINK("https://klasma.github.io/Logging_2282/kartor/A 55626-2023 karta.png", "A 55626-2023")</f>
        <v/>
      </c>
      <c r="V60">
        <f>HYPERLINK("https://klasma.github.io/Logging_2282/klagomål/A 55626-2023 FSC-klagomål.docx", "A 55626-2023")</f>
        <v/>
      </c>
      <c r="W60">
        <f>HYPERLINK("https://klasma.github.io/Logging_2282/klagomålsmail/A 55626-2023 FSC-klagomål mail.docx", "A 55626-2023")</f>
        <v/>
      </c>
      <c r="X60">
        <f>HYPERLINK("https://klasma.github.io/Logging_2282/tillsyn/A 55626-2023 tillsynsbegäran.docx", "A 55626-2023")</f>
        <v/>
      </c>
      <c r="Y60">
        <f>HYPERLINK("https://klasma.github.io/Logging_2282/tillsynsmail/A 55626-2023 tillsynsbegäran mail.docx", "A 55626-2023")</f>
        <v/>
      </c>
    </row>
    <row r="61" ht="15" customHeight="1">
      <c r="A61" t="inlineStr">
        <is>
          <t>A 57056-2023</t>
        </is>
      </c>
      <c r="B61" s="1" t="n">
        <v>45244</v>
      </c>
      <c r="C61" s="1" t="n">
        <v>45513</v>
      </c>
      <c r="D61" t="inlineStr">
        <is>
          <t>VÄSTERNORRLANDS LÄN</t>
        </is>
      </c>
      <c r="E61" t="inlineStr">
        <is>
          <t>KRAMFORS</t>
        </is>
      </c>
      <c r="G61" t="n">
        <v>15.9</v>
      </c>
      <c r="H61" t="n">
        <v>0</v>
      </c>
      <c r="I61" t="n">
        <v>0</v>
      </c>
      <c r="J61" t="n">
        <v>1</v>
      </c>
      <c r="K61" t="n">
        <v>0</v>
      </c>
      <c r="L61" t="n">
        <v>0</v>
      </c>
      <c r="M61" t="n">
        <v>0</v>
      </c>
      <c r="N61" t="n">
        <v>0</v>
      </c>
      <c r="O61" t="n">
        <v>1</v>
      </c>
      <c r="P61" t="n">
        <v>0</v>
      </c>
      <c r="Q61" t="n">
        <v>1</v>
      </c>
      <c r="R61" s="2" t="inlineStr">
        <is>
          <t>Garnlav</t>
        </is>
      </c>
      <c r="S61">
        <f>HYPERLINK("https://klasma.github.io/Logging_2282/artfynd/A 57056-2023 artfynd.xlsx", "A 57056-2023")</f>
        <v/>
      </c>
      <c r="T61">
        <f>HYPERLINK("https://klasma.github.io/Logging_2282/kartor/A 57056-2023 karta.png", "A 57056-2023")</f>
        <v/>
      </c>
      <c r="V61">
        <f>HYPERLINK("https://klasma.github.io/Logging_2282/klagomål/A 57056-2023 FSC-klagomål.docx", "A 57056-2023")</f>
        <v/>
      </c>
      <c r="W61">
        <f>HYPERLINK("https://klasma.github.io/Logging_2282/klagomålsmail/A 57056-2023 FSC-klagomål mail.docx", "A 57056-2023")</f>
        <v/>
      </c>
      <c r="X61">
        <f>HYPERLINK("https://klasma.github.io/Logging_2282/tillsyn/A 57056-2023 tillsynsbegäran.docx", "A 57056-2023")</f>
        <v/>
      </c>
      <c r="Y61">
        <f>HYPERLINK("https://klasma.github.io/Logging_2282/tillsynsmail/A 57056-2023 tillsynsbegäran mail.docx", "A 57056-2023")</f>
        <v/>
      </c>
    </row>
    <row r="62" ht="15" customHeight="1">
      <c r="A62" t="inlineStr">
        <is>
          <t>A 7153-2024</t>
        </is>
      </c>
      <c r="B62" s="1" t="n">
        <v>45344</v>
      </c>
      <c r="C62" s="1" t="n">
        <v>45513</v>
      </c>
      <c r="D62" t="inlineStr">
        <is>
          <t>VÄSTERNORRLANDS LÄN</t>
        </is>
      </c>
      <c r="E62" t="inlineStr">
        <is>
          <t>KRAMFORS</t>
        </is>
      </c>
      <c r="G62" t="n">
        <v>7.6</v>
      </c>
      <c r="H62" t="n">
        <v>0</v>
      </c>
      <c r="I62" t="n">
        <v>0</v>
      </c>
      <c r="J62" t="n">
        <v>1</v>
      </c>
      <c r="K62" t="n">
        <v>0</v>
      </c>
      <c r="L62" t="n">
        <v>0</v>
      </c>
      <c r="M62" t="n">
        <v>0</v>
      </c>
      <c r="N62" t="n">
        <v>0</v>
      </c>
      <c r="O62" t="n">
        <v>1</v>
      </c>
      <c r="P62" t="n">
        <v>0</v>
      </c>
      <c r="Q62" t="n">
        <v>1</v>
      </c>
      <c r="R62" s="2" t="inlineStr">
        <is>
          <t>Luddfingersvamp</t>
        </is>
      </c>
      <c r="S62">
        <f>HYPERLINK("https://klasma.github.io/Logging_2282/artfynd/A 7153-2024 artfynd.xlsx", "A 7153-2024")</f>
        <v/>
      </c>
      <c r="T62">
        <f>HYPERLINK("https://klasma.github.io/Logging_2282/kartor/A 7153-2024 karta.png", "A 7153-2024")</f>
        <v/>
      </c>
      <c r="V62">
        <f>HYPERLINK("https://klasma.github.io/Logging_2282/klagomål/A 7153-2024 FSC-klagomål.docx", "A 7153-2024")</f>
        <v/>
      </c>
      <c r="W62">
        <f>HYPERLINK("https://klasma.github.io/Logging_2282/klagomålsmail/A 7153-2024 FSC-klagomål mail.docx", "A 7153-2024")</f>
        <v/>
      </c>
      <c r="X62">
        <f>HYPERLINK("https://klasma.github.io/Logging_2282/tillsyn/A 7153-2024 tillsynsbegäran.docx", "A 7153-2024")</f>
        <v/>
      </c>
      <c r="Y62">
        <f>HYPERLINK("https://klasma.github.io/Logging_2282/tillsynsmail/A 7153-2024 tillsynsbegäran mail.docx", "A 7153-2024")</f>
        <v/>
      </c>
    </row>
    <row r="63" ht="15" customHeight="1">
      <c r="A63" t="inlineStr">
        <is>
          <t>A 11086-2024</t>
        </is>
      </c>
      <c r="B63" s="1" t="n">
        <v>45370</v>
      </c>
      <c r="C63" s="1" t="n">
        <v>45513</v>
      </c>
      <c r="D63" t="inlineStr">
        <is>
          <t>VÄSTERNORRLANDS LÄN</t>
        </is>
      </c>
      <c r="E63" t="inlineStr">
        <is>
          <t>KRAMFORS</t>
        </is>
      </c>
      <c r="F63" t="inlineStr">
        <is>
          <t>SCA</t>
        </is>
      </c>
      <c r="G63" t="n">
        <v>10.1</v>
      </c>
      <c r="H63" t="n">
        <v>1</v>
      </c>
      <c r="I63" t="n">
        <v>0</v>
      </c>
      <c r="J63" t="n">
        <v>1</v>
      </c>
      <c r="K63" t="n">
        <v>0</v>
      </c>
      <c r="L63" t="n">
        <v>0</v>
      </c>
      <c r="M63" t="n">
        <v>0</v>
      </c>
      <c r="N63" t="n">
        <v>0</v>
      </c>
      <c r="O63" t="n">
        <v>1</v>
      </c>
      <c r="P63" t="n">
        <v>0</v>
      </c>
      <c r="Q63" t="n">
        <v>1</v>
      </c>
      <c r="R63" s="2" t="inlineStr">
        <is>
          <t>Utter</t>
        </is>
      </c>
      <c r="S63">
        <f>HYPERLINK("https://klasma.github.io/Logging_2282/artfynd/A 11086-2024 artfynd.xlsx", "A 11086-2024")</f>
        <v/>
      </c>
      <c r="T63">
        <f>HYPERLINK("https://klasma.github.io/Logging_2282/kartor/A 11086-2024 karta.png", "A 11086-2024")</f>
        <v/>
      </c>
      <c r="V63">
        <f>HYPERLINK("https://klasma.github.io/Logging_2282/klagomål/A 11086-2024 FSC-klagomål.docx", "A 11086-2024")</f>
        <v/>
      </c>
      <c r="W63">
        <f>HYPERLINK("https://klasma.github.io/Logging_2282/klagomålsmail/A 11086-2024 FSC-klagomål mail.docx", "A 11086-2024")</f>
        <v/>
      </c>
      <c r="X63">
        <f>HYPERLINK("https://klasma.github.io/Logging_2282/tillsyn/A 11086-2024 tillsynsbegäran.docx", "A 11086-2024")</f>
        <v/>
      </c>
      <c r="Y63">
        <f>HYPERLINK("https://klasma.github.io/Logging_2282/tillsynsmail/A 11086-2024 tillsynsbegäran mail.docx", "A 11086-2024")</f>
        <v/>
      </c>
    </row>
    <row r="64" ht="15" customHeight="1">
      <c r="A64" t="inlineStr">
        <is>
          <t>A 18842-2019</t>
        </is>
      </c>
      <c r="B64" s="1" t="n">
        <v>43563</v>
      </c>
      <c r="C64" s="1" t="n">
        <v>45513</v>
      </c>
      <c r="D64" t="inlineStr">
        <is>
          <t>VÄSTERNORRLANDS LÄN</t>
        </is>
      </c>
      <c r="E64" t="inlineStr">
        <is>
          <t>KRAMFORS</t>
        </is>
      </c>
      <c r="G64" t="n">
        <v>1.2</v>
      </c>
      <c r="H64" t="n">
        <v>0</v>
      </c>
      <c r="I64" t="n">
        <v>0</v>
      </c>
      <c r="J64" t="n">
        <v>0</v>
      </c>
      <c r="K64" t="n">
        <v>0</v>
      </c>
      <c r="L64" t="n">
        <v>0</v>
      </c>
      <c r="M64" t="n">
        <v>0</v>
      </c>
      <c r="N64" t="n">
        <v>0</v>
      </c>
      <c r="O64" t="n">
        <v>0</v>
      </c>
      <c r="P64" t="n">
        <v>0</v>
      </c>
      <c r="Q64" t="n">
        <v>0</v>
      </c>
      <c r="R64" s="2" t="inlineStr"/>
    </row>
    <row r="65" ht="15" customHeight="1">
      <c r="A65" t="inlineStr">
        <is>
          <t>A 19254-2019</t>
        </is>
      </c>
      <c r="B65" s="1" t="n">
        <v>43564</v>
      </c>
      <c r="C65" s="1" t="n">
        <v>45513</v>
      </c>
      <c r="D65" t="inlineStr">
        <is>
          <t>VÄSTERNORRLANDS LÄN</t>
        </is>
      </c>
      <c r="E65" t="inlineStr">
        <is>
          <t>KRAMFORS</t>
        </is>
      </c>
      <c r="G65" t="n">
        <v>4.8</v>
      </c>
      <c r="H65" t="n">
        <v>0</v>
      </c>
      <c r="I65" t="n">
        <v>0</v>
      </c>
      <c r="J65" t="n">
        <v>0</v>
      </c>
      <c r="K65" t="n">
        <v>0</v>
      </c>
      <c r="L65" t="n">
        <v>0</v>
      </c>
      <c r="M65" t="n">
        <v>0</v>
      </c>
      <c r="N65" t="n">
        <v>0</v>
      </c>
      <c r="O65" t="n">
        <v>0</v>
      </c>
      <c r="P65" t="n">
        <v>0</v>
      </c>
      <c r="Q65" t="n">
        <v>0</v>
      </c>
      <c r="R65" s="2" t="inlineStr"/>
    </row>
    <row r="66" ht="15" customHeight="1">
      <c r="A66" t="inlineStr">
        <is>
          <t>A 19341-2019</t>
        </is>
      </c>
      <c r="B66" s="1" t="n">
        <v>43564</v>
      </c>
      <c r="C66" s="1" t="n">
        <v>45513</v>
      </c>
      <c r="D66" t="inlineStr">
        <is>
          <t>VÄSTERNORRLANDS LÄN</t>
        </is>
      </c>
      <c r="E66" t="inlineStr">
        <is>
          <t>KRAMFORS</t>
        </is>
      </c>
      <c r="G66" t="n">
        <v>1.8</v>
      </c>
      <c r="H66" t="n">
        <v>0</v>
      </c>
      <c r="I66" t="n">
        <v>0</v>
      </c>
      <c r="J66" t="n">
        <v>0</v>
      </c>
      <c r="K66" t="n">
        <v>0</v>
      </c>
      <c r="L66" t="n">
        <v>0</v>
      </c>
      <c r="M66" t="n">
        <v>0</v>
      </c>
      <c r="N66" t="n">
        <v>0</v>
      </c>
      <c r="O66" t="n">
        <v>0</v>
      </c>
      <c r="P66" t="n">
        <v>0</v>
      </c>
      <c r="Q66" t="n">
        <v>0</v>
      </c>
      <c r="R66" s="2" t="inlineStr"/>
    </row>
    <row r="67" ht="15" customHeight="1">
      <c r="A67" t="inlineStr">
        <is>
          <t>A 19813-2019</t>
        </is>
      </c>
      <c r="B67" s="1" t="n">
        <v>43567</v>
      </c>
      <c r="C67" s="1" t="n">
        <v>45513</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20653-2019</t>
        </is>
      </c>
      <c r="B68" s="1" t="n">
        <v>43572</v>
      </c>
      <c r="C68" s="1" t="n">
        <v>45513</v>
      </c>
      <c r="D68" t="inlineStr">
        <is>
          <t>VÄSTERNORRLANDS LÄN</t>
        </is>
      </c>
      <c r="E68" t="inlineStr">
        <is>
          <t>KRAMFORS</t>
        </is>
      </c>
      <c r="G68" t="n">
        <v>3.8</v>
      </c>
      <c r="H68" t="n">
        <v>0</v>
      </c>
      <c r="I68" t="n">
        <v>0</v>
      </c>
      <c r="J68" t="n">
        <v>0</v>
      </c>
      <c r="K68" t="n">
        <v>0</v>
      </c>
      <c r="L68" t="n">
        <v>0</v>
      </c>
      <c r="M68" t="n">
        <v>0</v>
      </c>
      <c r="N68" t="n">
        <v>0</v>
      </c>
      <c r="O68" t="n">
        <v>0</v>
      </c>
      <c r="P68" t="n">
        <v>0</v>
      </c>
      <c r="Q68" t="n">
        <v>0</v>
      </c>
      <c r="R68" s="2" t="inlineStr"/>
    </row>
    <row r="69" ht="15" customHeight="1">
      <c r="A69" t="inlineStr">
        <is>
          <t>A 20893-2019</t>
        </is>
      </c>
      <c r="B69" s="1" t="n">
        <v>43578</v>
      </c>
      <c r="C69" s="1" t="n">
        <v>45513</v>
      </c>
      <c r="D69" t="inlineStr">
        <is>
          <t>VÄSTERNORRLANDS LÄN</t>
        </is>
      </c>
      <c r="E69" t="inlineStr">
        <is>
          <t>KRAMFORS</t>
        </is>
      </c>
      <c r="G69" t="n">
        <v>0.7</v>
      </c>
      <c r="H69" t="n">
        <v>0</v>
      </c>
      <c r="I69" t="n">
        <v>0</v>
      </c>
      <c r="J69" t="n">
        <v>0</v>
      </c>
      <c r="K69" t="n">
        <v>0</v>
      </c>
      <c r="L69" t="n">
        <v>0</v>
      </c>
      <c r="M69" t="n">
        <v>0</v>
      </c>
      <c r="N69" t="n">
        <v>0</v>
      </c>
      <c r="O69" t="n">
        <v>0</v>
      </c>
      <c r="P69" t="n">
        <v>0</v>
      </c>
      <c r="Q69" t="n">
        <v>0</v>
      </c>
      <c r="R69" s="2" t="inlineStr"/>
    </row>
    <row r="70" ht="15" customHeight="1">
      <c r="A70" t="inlineStr">
        <is>
          <t>A 21896-2019</t>
        </is>
      </c>
      <c r="B70" s="1" t="n">
        <v>43584</v>
      </c>
      <c r="C70" s="1" t="n">
        <v>45513</v>
      </c>
      <c r="D70" t="inlineStr">
        <is>
          <t>VÄSTERNORRLANDS LÄN</t>
        </is>
      </c>
      <c r="E70" t="inlineStr">
        <is>
          <t>KRAMFORS</t>
        </is>
      </c>
      <c r="G70" t="n">
        <v>4.5</v>
      </c>
      <c r="H70" t="n">
        <v>0</v>
      </c>
      <c r="I70" t="n">
        <v>0</v>
      </c>
      <c r="J70" t="n">
        <v>0</v>
      </c>
      <c r="K70" t="n">
        <v>0</v>
      </c>
      <c r="L70" t="n">
        <v>0</v>
      </c>
      <c r="M70" t="n">
        <v>0</v>
      </c>
      <c r="N70" t="n">
        <v>0</v>
      </c>
      <c r="O70" t="n">
        <v>0</v>
      </c>
      <c r="P70" t="n">
        <v>0</v>
      </c>
      <c r="Q70" t="n">
        <v>0</v>
      </c>
      <c r="R70" s="2" t="inlineStr"/>
    </row>
    <row r="71" ht="15" customHeight="1">
      <c r="A71" t="inlineStr">
        <is>
          <t>A 22022-2019</t>
        </is>
      </c>
      <c r="B71" s="1" t="n">
        <v>43584</v>
      </c>
      <c r="C71" s="1" t="n">
        <v>45513</v>
      </c>
      <c r="D71" t="inlineStr">
        <is>
          <t>VÄSTERNORRLANDS LÄN</t>
        </is>
      </c>
      <c r="E71" t="inlineStr">
        <is>
          <t>KRAMFORS</t>
        </is>
      </c>
      <c r="G71" t="n">
        <v>7.3</v>
      </c>
      <c r="H71" t="n">
        <v>0</v>
      </c>
      <c r="I71" t="n">
        <v>0</v>
      </c>
      <c r="J71" t="n">
        <v>0</v>
      </c>
      <c r="K71" t="n">
        <v>0</v>
      </c>
      <c r="L71" t="n">
        <v>0</v>
      </c>
      <c r="M71" t="n">
        <v>0</v>
      </c>
      <c r="N71" t="n">
        <v>0</v>
      </c>
      <c r="O71" t="n">
        <v>0</v>
      </c>
      <c r="P71" t="n">
        <v>0</v>
      </c>
      <c r="Q71" t="n">
        <v>0</v>
      </c>
      <c r="R71" s="2" t="inlineStr"/>
    </row>
    <row r="72" ht="15" customHeight="1">
      <c r="A72" t="inlineStr">
        <is>
          <t>A 22060-2019</t>
        </is>
      </c>
      <c r="B72" s="1" t="n">
        <v>43584</v>
      </c>
      <c r="C72" s="1" t="n">
        <v>45513</v>
      </c>
      <c r="D72" t="inlineStr">
        <is>
          <t>VÄSTERNORRLANDS LÄN</t>
        </is>
      </c>
      <c r="E72" t="inlineStr">
        <is>
          <t>KRAMFORS</t>
        </is>
      </c>
      <c r="G72" t="n">
        <v>6.6</v>
      </c>
      <c r="H72" t="n">
        <v>0</v>
      </c>
      <c r="I72" t="n">
        <v>0</v>
      </c>
      <c r="J72" t="n">
        <v>0</v>
      </c>
      <c r="K72" t="n">
        <v>0</v>
      </c>
      <c r="L72" t="n">
        <v>0</v>
      </c>
      <c r="M72" t="n">
        <v>0</v>
      </c>
      <c r="N72" t="n">
        <v>0</v>
      </c>
      <c r="O72" t="n">
        <v>0</v>
      </c>
      <c r="P72" t="n">
        <v>0</v>
      </c>
      <c r="Q72" t="n">
        <v>0</v>
      </c>
      <c r="R72" s="2" t="inlineStr"/>
    </row>
    <row r="73" ht="15" customHeight="1">
      <c r="A73" t="inlineStr">
        <is>
          <t>A 22020-2019</t>
        </is>
      </c>
      <c r="B73" s="1" t="n">
        <v>43584</v>
      </c>
      <c r="C73" s="1" t="n">
        <v>45513</v>
      </c>
      <c r="D73" t="inlineStr">
        <is>
          <t>VÄSTERNORRLANDS LÄN</t>
        </is>
      </c>
      <c r="E73" t="inlineStr">
        <is>
          <t>KRAMFORS</t>
        </is>
      </c>
      <c r="G73" t="n">
        <v>1.2</v>
      </c>
      <c r="H73" t="n">
        <v>0</v>
      </c>
      <c r="I73" t="n">
        <v>0</v>
      </c>
      <c r="J73" t="n">
        <v>0</v>
      </c>
      <c r="K73" t="n">
        <v>0</v>
      </c>
      <c r="L73" t="n">
        <v>0</v>
      </c>
      <c r="M73" t="n">
        <v>0</v>
      </c>
      <c r="N73" t="n">
        <v>0</v>
      </c>
      <c r="O73" t="n">
        <v>0</v>
      </c>
      <c r="P73" t="n">
        <v>0</v>
      </c>
      <c r="Q73" t="n">
        <v>0</v>
      </c>
      <c r="R73" s="2" t="inlineStr"/>
    </row>
    <row r="74" ht="15" customHeight="1">
      <c r="A74" t="inlineStr">
        <is>
          <t>A 22288-2019</t>
        </is>
      </c>
      <c r="B74" s="1" t="n">
        <v>43585</v>
      </c>
      <c r="C74" s="1" t="n">
        <v>45513</v>
      </c>
      <c r="D74" t="inlineStr">
        <is>
          <t>VÄSTERNORRLANDS LÄN</t>
        </is>
      </c>
      <c r="E74" t="inlineStr">
        <is>
          <t>KRAMFORS</t>
        </is>
      </c>
      <c r="G74" t="n">
        <v>1.5</v>
      </c>
      <c r="H74" t="n">
        <v>0</v>
      </c>
      <c r="I74" t="n">
        <v>0</v>
      </c>
      <c r="J74" t="n">
        <v>0</v>
      </c>
      <c r="K74" t="n">
        <v>0</v>
      </c>
      <c r="L74" t="n">
        <v>0</v>
      </c>
      <c r="M74" t="n">
        <v>0</v>
      </c>
      <c r="N74" t="n">
        <v>0</v>
      </c>
      <c r="O74" t="n">
        <v>0</v>
      </c>
      <c r="P74" t="n">
        <v>0</v>
      </c>
      <c r="Q74" t="n">
        <v>0</v>
      </c>
      <c r="R74" s="2" t="inlineStr"/>
    </row>
    <row r="75" ht="15" customHeight="1">
      <c r="A75" t="inlineStr">
        <is>
          <t>A 22120-2019</t>
        </is>
      </c>
      <c r="B75" s="1" t="n">
        <v>43585</v>
      </c>
      <c r="C75" s="1" t="n">
        <v>45513</v>
      </c>
      <c r="D75" t="inlineStr">
        <is>
          <t>VÄSTERNORRLANDS LÄN</t>
        </is>
      </c>
      <c r="E75" t="inlineStr">
        <is>
          <t>KRAMFORS</t>
        </is>
      </c>
      <c r="G75" t="n">
        <v>9.5</v>
      </c>
      <c r="H75" t="n">
        <v>0</v>
      </c>
      <c r="I75" t="n">
        <v>0</v>
      </c>
      <c r="J75" t="n">
        <v>0</v>
      </c>
      <c r="K75" t="n">
        <v>0</v>
      </c>
      <c r="L75" t="n">
        <v>0</v>
      </c>
      <c r="M75" t="n">
        <v>0</v>
      </c>
      <c r="N75" t="n">
        <v>0</v>
      </c>
      <c r="O75" t="n">
        <v>0</v>
      </c>
      <c r="P75" t="n">
        <v>0</v>
      </c>
      <c r="Q75" t="n">
        <v>0</v>
      </c>
      <c r="R75" s="2" t="inlineStr"/>
    </row>
    <row r="76" ht="15" customHeight="1">
      <c r="A76" t="inlineStr">
        <is>
          <t>A 22373-2019</t>
        </is>
      </c>
      <c r="B76" s="1" t="n">
        <v>43587</v>
      </c>
      <c r="C76" s="1" t="n">
        <v>45513</v>
      </c>
      <c r="D76" t="inlineStr">
        <is>
          <t>VÄSTERNORRLANDS LÄN</t>
        </is>
      </c>
      <c r="E76" t="inlineStr">
        <is>
          <t>KRAMFORS</t>
        </is>
      </c>
      <c r="G76" t="n">
        <v>3.2</v>
      </c>
      <c r="H76" t="n">
        <v>0</v>
      </c>
      <c r="I76" t="n">
        <v>0</v>
      </c>
      <c r="J76" t="n">
        <v>0</v>
      </c>
      <c r="K76" t="n">
        <v>0</v>
      </c>
      <c r="L76" t="n">
        <v>0</v>
      </c>
      <c r="M76" t="n">
        <v>0</v>
      </c>
      <c r="N76" t="n">
        <v>0</v>
      </c>
      <c r="O76" t="n">
        <v>0</v>
      </c>
      <c r="P76" t="n">
        <v>0</v>
      </c>
      <c r="Q76" t="n">
        <v>0</v>
      </c>
      <c r="R76" s="2" t="inlineStr"/>
    </row>
    <row r="77" ht="15" customHeight="1">
      <c r="A77" t="inlineStr">
        <is>
          <t>A 22380-2019</t>
        </is>
      </c>
      <c r="B77" s="1" t="n">
        <v>43587</v>
      </c>
      <c r="C77" s="1" t="n">
        <v>45513</v>
      </c>
      <c r="D77" t="inlineStr">
        <is>
          <t>VÄSTERNORRLANDS LÄN</t>
        </is>
      </c>
      <c r="E77" t="inlineStr">
        <is>
          <t>KRAMFORS</t>
        </is>
      </c>
      <c r="G77" t="n">
        <v>6.5</v>
      </c>
      <c r="H77" t="n">
        <v>0</v>
      </c>
      <c r="I77" t="n">
        <v>0</v>
      </c>
      <c r="J77" t="n">
        <v>0</v>
      </c>
      <c r="K77" t="n">
        <v>0</v>
      </c>
      <c r="L77" t="n">
        <v>0</v>
      </c>
      <c r="M77" t="n">
        <v>0</v>
      </c>
      <c r="N77" t="n">
        <v>0</v>
      </c>
      <c r="O77" t="n">
        <v>0</v>
      </c>
      <c r="P77" t="n">
        <v>0</v>
      </c>
      <c r="Q77" t="n">
        <v>0</v>
      </c>
      <c r="R77" s="2" t="inlineStr"/>
    </row>
    <row r="78" ht="15" customHeight="1">
      <c r="A78" t="inlineStr">
        <is>
          <t>A 23069-2019</t>
        </is>
      </c>
      <c r="B78" s="1" t="n">
        <v>43591</v>
      </c>
      <c r="C78" s="1" t="n">
        <v>45513</v>
      </c>
      <c r="D78" t="inlineStr">
        <is>
          <t>VÄSTERNORRLANDS LÄN</t>
        </is>
      </c>
      <c r="E78" t="inlineStr">
        <is>
          <t>KRAMFORS</t>
        </is>
      </c>
      <c r="G78" t="n">
        <v>9.6</v>
      </c>
      <c r="H78" t="n">
        <v>0</v>
      </c>
      <c r="I78" t="n">
        <v>0</v>
      </c>
      <c r="J78" t="n">
        <v>0</v>
      </c>
      <c r="K78" t="n">
        <v>0</v>
      </c>
      <c r="L78" t="n">
        <v>0</v>
      </c>
      <c r="M78" t="n">
        <v>0</v>
      </c>
      <c r="N78" t="n">
        <v>0</v>
      </c>
      <c r="O78" t="n">
        <v>0</v>
      </c>
      <c r="P78" t="n">
        <v>0</v>
      </c>
      <c r="Q78" t="n">
        <v>0</v>
      </c>
      <c r="R78" s="2" t="inlineStr"/>
    </row>
    <row r="79" ht="15" customHeight="1">
      <c r="A79" t="inlineStr">
        <is>
          <t>A 23296-2019</t>
        </is>
      </c>
      <c r="B79" s="1" t="n">
        <v>43593</v>
      </c>
      <c r="C79" s="1" t="n">
        <v>45513</v>
      </c>
      <c r="D79" t="inlineStr">
        <is>
          <t>VÄSTERNORRLANDS LÄN</t>
        </is>
      </c>
      <c r="E79" t="inlineStr">
        <is>
          <t>KRAMFORS</t>
        </is>
      </c>
      <c r="G79" t="n">
        <v>6.6</v>
      </c>
      <c r="H79" t="n">
        <v>0</v>
      </c>
      <c r="I79" t="n">
        <v>0</v>
      </c>
      <c r="J79" t="n">
        <v>0</v>
      </c>
      <c r="K79" t="n">
        <v>0</v>
      </c>
      <c r="L79" t="n">
        <v>0</v>
      </c>
      <c r="M79" t="n">
        <v>0</v>
      </c>
      <c r="N79" t="n">
        <v>0</v>
      </c>
      <c r="O79" t="n">
        <v>0</v>
      </c>
      <c r="P79" t="n">
        <v>0</v>
      </c>
      <c r="Q79" t="n">
        <v>0</v>
      </c>
      <c r="R79" s="2" t="inlineStr"/>
    </row>
    <row r="80" ht="15" customHeight="1">
      <c r="A80" t="inlineStr">
        <is>
          <t>A 23766-2019</t>
        </is>
      </c>
      <c r="B80" s="1" t="n">
        <v>43595</v>
      </c>
      <c r="C80" s="1" t="n">
        <v>45513</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26089-2019</t>
        </is>
      </c>
      <c r="B81" s="1" t="n">
        <v>43605</v>
      </c>
      <c r="C81" s="1" t="n">
        <v>45513</v>
      </c>
      <c r="D81" t="inlineStr">
        <is>
          <t>VÄSTERNORRLANDS LÄN</t>
        </is>
      </c>
      <c r="E81" t="inlineStr">
        <is>
          <t>KRAMFORS</t>
        </is>
      </c>
      <c r="G81" t="n">
        <v>0.7</v>
      </c>
      <c r="H81" t="n">
        <v>0</v>
      </c>
      <c r="I81" t="n">
        <v>0</v>
      </c>
      <c r="J81" t="n">
        <v>0</v>
      </c>
      <c r="K81" t="n">
        <v>0</v>
      </c>
      <c r="L81" t="n">
        <v>0</v>
      </c>
      <c r="M81" t="n">
        <v>0</v>
      </c>
      <c r="N81" t="n">
        <v>0</v>
      </c>
      <c r="O81" t="n">
        <v>0</v>
      </c>
      <c r="P81" t="n">
        <v>0</v>
      </c>
      <c r="Q81" t="n">
        <v>0</v>
      </c>
      <c r="R81" s="2" t="inlineStr"/>
    </row>
    <row r="82" ht="15" customHeight="1">
      <c r="A82" t="inlineStr">
        <is>
          <t>A 25450-2019</t>
        </is>
      </c>
      <c r="B82" s="1" t="n">
        <v>43606</v>
      </c>
      <c r="C82" s="1" t="n">
        <v>45513</v>
      </c>
      <c r="D82" t="inlineStr">
        <is>
          <t>VÄSTERNORRLANDS LÄN</t>
        </is>
      </c>
      <c r="E82" t="inlineStr">
        <is>
          <t>KRAMFORS</t>
        </is>
      </c>
      <c r="G82" t="n">
        <v>0.8</v>
      </c>
      <c r="H82" t="n">
        <v>0</v>
      </c>
      <c r="I82" t="n">
        <v>0</v>
      </c>
      <c r="J82" t="n">
        <v>0</v>
      </c>
      <c r="K82" t="n">
        <v>0</v>
      </c>
      <c r="L82" t="n">
        <v>0</v>
      </c>
      <c r="M82" t="n">
        <v>0</v>
      </c>
      <c r="N82" t="n">
        <v>0</v>
      </c>
      <c r="O82" t="n">
        <v>0</v>
      </c>
      <c r="P82" t="n">
        <v>0</v>
      </c>
      <c r="Q82" t="n">
        <v>0</v>
      </c>
      <c r="R82" s="2" t="inlineStr"/>
    </row>
    <row r="83" ht="15" customHeight="1">
      <c r="A83" t="inlineStr">
        <is>
          <t>A 25995-2019</t>
        </is>
      </c>
      <c r="B83" s="1" t="n">
        <v>43608</v>
      </c>
      <c r="C83" s="1" t="n">
        <v>45513</v>
      </c>
      <c r="D83" t="inlineStr">
        <is>
          <t>VÄSTERNORRLANDS LÄN</t>
        </is>
      </c>
      <c r="E83" t="inlineStr">
        <is>
          <t>KRAMFORS</t>
        </is>
      </c>
      <c r="G83" t="n">
        <v>1.6</v>
      </c>
      <c r="H83" t="n">
        <v>0</v>
      </c>
      <c r="I83" t="n">
        <v>0</v>
      </c>
      <c r="J83" t="n">
        <v>0</v>
      </c>
      <c r="K83" t="n">
        <v>0</v>
      </c>
      <c r="L83" t="n">
        <v>0</v>
      </c>
      <c r="M83" t="n">
        <v>0</v>
      </c>
      <c r="N83" t="n">
        <v>0</v>
      </c>
      <c r="O83" t="n">
        <v>0</v>
      </c>
      <c r="P83" t="n">
        <v>0</v>
      </c>
      <c r="Q83" t="n">
        <v>0</v>
      </c>
      <c r="R83" s="2" t="inlineStr"/>
    </row>
    <row r="84" ht="15" customHeight="1">
      <c r="A84" t="inlineStr">
        <is>
          <t>A 25996-2019</t>
        </is>
      </c>
      <c r="B84" s="1" t="n">
        <v>43608</v>
      </c>
      <c r="C84" s="1" t="n">
        <v>45513</v>
      </c>
      <c r="D84" t="inlineStr">
        <is>
          <t>VÄSTERNORRLANDS LÄN</t>
        </is>
      </c>
      <c r="E84" t="inlineStr">
        <is>
          <t>KRAMFORS</t>
        </is>
      </c>
      <c r="G84" t="n">
        <v>1.3</v>
      </c>
      <c r="H84" t="n">
        <v>0</v>
      </c>
      <c r="I84" t="n">
        <v>0</v>
      </c>
      <c r="J84" t="n">
        <v>0</v>
      </c>
      <c r="K84" t="n">
        <v>0</v>
      </c>
      <c r="L84" t="n">
        <v>0</v>
      </c>
      <c r="M84" t="n">
        <v>0</v>
      </c>
      <c r="N84" t="n">
        <v>0</v>
      </c>
      <c r="O84" t="n">
        <v>0</v>
      </c>
      <c r="P84" t="n">
        <v>0</v>
      </c>
      <c r="Q84" t="n">
        <v>0</v>
      </c>
      <c r="R84" s="2" t="inlineStr"/>
    </row>
    <row r="85" ht="15" customHeight="1">
      <c r="A85" t="inlineStr">
        <is>
          <t>A 26062-2019</t>
        </is>
      </c>
      <c r="B85" s="1" t="n">
        <v>43609</v>
      </c>
      <c r="C85" s="1" t="n">
        <v>45513</v>
      </c>
      <c r="D85" t="inlineStr">
        <is>
          <t>VÄSTERNORRLANDS LÄN</t>
        </is>
      </c>
      <c r="E85" t="inlineStr">
        <is>
          <t>KRAMFORS</t>
        </is>
      </c>
      <c r="G85" t="n">
        <v>0.9</v>
      </c>
      <c r="H85" t="n">
        <v>0</v>
      </c>
      <c r="I85" t="n">
        <v>0</v>
      </c>
      <c r="J85" t="n">
        <v>0</v>
      </c>
      <c r="K85" t="n">
        <v>0</v>
      </c>
      <c r="L85" t="n">
        <v>0</v>
      </c>
      <c r="M85" t="n">
        <v>0</v>
      </c>
      <c r="N85" t="n">
        <v>0</v>
      </c>
      <c r="O85" t="n">
        <v>0</v>
      </c>
      <c r="P85" t="n">
        <v>0</v>
      </c>
      <c r="Q85" t="n">
        <v>0</v>
      </c>
      <c r="R85" s="2" t="inlineStr"/>
    </row>
    <row r="86" ht="15" customHeight="1">
      <c r="A86" t="inlineStr">
        <is>
          <t>A 26300-2019</t>
        </is>
      </c>
      <c r="B86" s="1" t="n">
        <v>43612</v>
      </c>
      <c r="C86" s="1" t="n">
        <v>45513</v>
      </c>
      <c r="D86" t="inlineStr">
        <is>
          <t>VÄSTERNORRLANDS LÄN</t>
        </is>
      </c>
      <c r="E86" t="inlineStr">
        <is>
          <t>KRAMFORS</t>
        </is>
      </c>
      <c r="G86" t="n">
        <v>2.2</v>
      </c>
      <c r="H86" t="n">
        <v>0</v>
      </c>
      <c r="I86" t="n">
        <v>0</v>
      </c>
      <c r="J86" t="n">
        <v>0</v>
      </c>
      <c r="K86" t="n">
        <v>0</v>
      </c>
      <c r="L86" t="n">
        <v>0</v>
      </c>
      <c r="M86" t="n">
        <v>0</v>
      </c>
      <c r="N86" t="n">
        <v>0</v>
      </c>
      <c r="O86" t="n">
        <v>0</v>
      </c>
      <c r="P86" t="n">
        <v>0</v>
      </c>
      <c r="Q86" t="n">
        <v>0</v>
      </c>
      <c r="R86" s="2" t="inlineStr"/>
    </row>
    <row r="87" ht="15" customHeight="1">
      <c r="A87" t="inlineStr">
        <is>
          <t>A 27896-2019</t>
        </is>
      </c>
      <c r="B87" s="1" t="n">
        <v>43620</v>
      </c>
      <c r="C87" s="1" t="n">
        <v>45513</v>
      </c>
      <c r="D87" t="inlineStr">
        <is>
          <t>VÄSTERNORRLANDS LÄN</t>
        </is>
      </c>
      <c r="E87" t="inlineStr">
        <is>
          <t>KRAMFORS</t>
        </is>
      </c>
      <c r="G87" t="n">
        <v>1.9</v>
      </c>
      <c r="H87" t="n">
        <v>0</v>
      </c>
      <c r="I87" t="n">
        <v>0</v>
      </c>
      <c r="J87" t="n">
        <v>0</v>
      </c>
      <c r="K87" t="n">
        <v>0</v>
      </c>
      <c r="L87" t="n">
        <v>0</v>
      </c>
      <c r="M87" t="n">
        <v>0</v>
      </c>
      <c r="N87" t="n">
        <v>0</v>
      </c>
      <c r="O87" t="n">
        <v>0</v>
      </c>
      <c r="P87" t="n">
        <v>0</v>
      </c>
      <c r="Q87" t="n">
        <v>0</v>
      </c>
      <c r="R87" s="2" t="inlineStr"/>
    </row>
    <row r="88" ht="15" customHeight="1">
      <c r="A88" t="inlineStr">
        <is>
          <t>A 27895-2019</t>
        </is>
      </c>
      <c r="B88" s="1" t="n">
        <v>43620</v>
      </c>
      <c r="C88" s="1" t="n">
        <v>45513</v>
      </c>
      <c r="D88" t="inlineStr">
        <is>
          <t>VÄSTERNORRLANDS LÄN</t>
        </is>
      </c>
      <c r="E88" t="inlineStr">
        <is>
          <t>KRAMFORS</t>
        </is>
      </c>
      <c r="G88" t="n">
        <v>1.4</v>
      </c>
      <c r="H88" t="n">
        <v>0</v>
      </c>
      <c r="I88" t="n">
        <v>0</v>
      </c>
      <c r="J88" t="n">
        <v>0</v>
      </c>
      <c r="K88" t="n">
        <v>0</v>
      </c>
      <c r="L88" t="n">
        <v>0</v>
      </c>
      <c r="M88" t="n">
        <v>0</v>
      </c>
      <c r="N88" t="n">
        <v>0</v>
      </c>
      <c r="O88" t="n">
        <v>0</v>
      </c>
      <c r="P88" t="n">
        <v>0</v>
      </c>
      <c r="Q88" t="n">
        <v>0</v>
      </c>
      <c r="R88" s="2" t="inlineStr"/>
    </row>
    <row r="89" ht="15" customHeight="1">
      <c r="A89" t="inlineStr">
        <is>
          <t>A 27972-2019</t>
        </is>
      </c>
      <c r="B89" s="1" t="n">
        <v>43620</v>
      </c>
      <c r="C89" s="1" t="n">
        <v>45513</v>
      </c>
      <c r="D89" t="inlineStr">
        <is>
          <t>VÄSTERNORRLANDS LÄN</t>
        </is>
      </c>
      <c r="E89" t="inlineStr">
        <is>
          <t>KRAMFORS</t>
        </is>
      </c>
      <c r="G89" t="n">
        <v>2.7</v>
      </c>
      <c r="H89" t="n">
        <v>0</v>
      </c>
      <c r="I89" t="n">
        <v>0</v>
      </c>
      <c r="J89" t="n">
        <v>0</v>
      </c>
      <c r="K89" t="n">
        <v>0</v>
      </c>
      <c r="L89" t="n">
        <v>0</v>
      </c>
      <c r="M89" t="n">
        <v>0</v>
      </c>
      <c r="N89" t="n">
        <v>0</v>
      </c>
      <c r="O89" t="n">
        <v>0</v>
      </c>
      <c r="P89" t="n">
        <v>0</v>
      </c>
      <c r="Q89" t="n">
        <v>0</v>
      </c>
      <c r="R89" s="2" t="inlineStr"/>
    </row>
    <row r="90" ht="15" customHeight="1">
      <c r="A90" t="inlineStr">
        <is>
          <t>A 28603-2019</t>
        </is>
      </c>
      <c r="B90" s="1" t="n">
        <v>43626</v>
      </c>
      <c r="C90" s="1" t="n">
        <v>45513</v>
      </c>
      <c r="D90" t="inlineStr">
        <is>
          <t>VÄSTERNORRLANDS LÄN</t>
        </is>
      </c>
      <c r="E90" t="inlineStr">
        <is>
          <t>KRAMFORS</t>
        </is>
      </c>
      <c r="G90" t="n">
        <v>9.199999999999999</v>
      </c>
      <c r="H90" t="n">
        <v>0</v>
      </c>
      <c r="I90" t="n">
        <v>0</v>
      </c>
      <c r="J90" t="n">
        <v>0</v>
      </c>
      <c r="K90" t="n">
        <v>0</v>
      </c>
      <c r="L90" t="n">
        <v>0</v>
      </c>
      <c r="M90" t="n">
        <v>0</v>
      </c>
      <c r="N90" t="n">
        <v>0</v>
      </c>
      <c r="O90" t="n">
        <v>0</v>
      </c>
      <c r="P90" t="n">
        <v>0</v>
      </c>
      <c r="Q90" t="n">
        <v>0</v>
      </c>
      <c r="R90" s="2" t="inlineStr"/>
    </row>
    <row r="91" ht="15" customHeight="1">
      <c r="A91" t="inlineStr">
        <is>
          <t>A 28602-2019</t>
        </is>
      </c>
      <c r="B91" s="1" t="n">
        <v>43626</v>
      </c>
      <c r="C91" s="1" t="n">
        <v>45513</v>
      </c>
      <c r="D91" t="inlineStr">
        <is>
          <t>VÄSTERNORRLANDS LÄN</t>
        </is>
      </c>
      <c r="E91" t="inlineStr">
        <is>
          <t>KRAMFORS</t>
        </is>
      </c>
      <c r="G91" t="n">
        <v>3.2</v>
      </c>
      <c r="H91" t="n">
        <v>0</v>
      </c>
      <c r="I91" t="n">
        <v>0</v>
      </c>
      <c r="J91" t="n">
        <v>0</v>
      </c>
      <c r="K91" t="n">
        <v>0</v>
      </c>
      <c r="L91" t="n">
        <v>0</v>
      </c>
      <c r="M91" t="n">
        <v>0</v>
      </c>
      <c r="N91" t="n">
        <v>0</v>
      </c>
      <c r="O91" t="n">
        <v>0</v>
      </c>
      <c r="P91" t="n">
        <v>0</v>
      </c>
      <c r="Q91" t="n">
        <v>0</v>
      </c>
      <c r="R91" s="2" t="inlineStr"/>
    </row>
    <row r="92" ht="15" customHeight="1">
      <c r="A92" t="inlineStr">
        <is>
          <t>A 28516-2019</t>
        </is>
      </c>
      <c r="B92" s="1" t="n">
        <v>43626</v>
      </c>
      <c r="C92" s="1" t="n">
        <v>45513</v>
      </c>
      <c r="D92" t="inlineStr">
        <is>
          <t>VÄSTERNORRLANDS LÄN</t>
        </is>
      </c>
      <c r="E92" t="inlineStr">
        <is>
          <t>KRAMFORS</t>
        </is>
      </c>
      <c r="G92" t="n">
        <v>2.5</v>
      </c>
      <c r="H92" t="n">
        <v>0</v>
      </c>
      <c r="I92" t="n">
        <v>0</v>
      </c>
      <c r="J92" t="n">
        <v>0</v>
      </c>
      <c r="K92" t="n">
        <v>0</v>
      </c>
      <c r="L92" t="n">
        <v>0</v>
      </c>
      <c r="M92" t="n">
        <v>0</v>
      </c>
      <c r="N92" t="n">
        <v>0</v>
      </c>
      <c r="O92" t="n">
        <v>0</v>
      </c>
      <c r="P92" t="n">
        <v>0</v>
      </c>
      <c r="Q92" t="n">
        <v>0</v>
      </c>
      <c r="R92" s="2" t="inlineStr"/>
    </row>
    <row r="93" ht="15" customHeight="1">
      <c r="A93" t="inlineStr">
        <is>
          <t>A 28792-2019</t>
        </is>
      </c>
      <c r="B93" s="1" t="n">
        <v>43627</v>
      </c>
      <c r="C93" s="1" t="n">
        <v>45513</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30985-2019</t>
        </is>
      </c>
      <c r="B94" s="1" t="n">
        <v>43640</v>
      </c>
      <c r="C94" s="1" t="n">
        <v>45513</v>
      </c>
      <c r="D94" t="inlineStr">
        <is>
          <t>VÄSTERNORRLANDS LÄN</t>
        </is>
      </c>
      <c r="E94" t="inlineStr">
        <is>
          <t>KRAMFORS</t>
        </is>
      </c>
      <c r="G94" t="n">
        <v>7.1</v>
      </c>
      <c r="H94" t="n">
        <v>0</v>
      </c>
      <c r="I94" t="n">
        <v>0</v>
      </c>
      <c r="J94" t="n">
        <v>0</v>
      </c>
      <c r="K94" t="n">
        <v>0</v>
      </c>
      <c r="L94" t="n">
        <v>0</v>
      </c>
      <c r="M94" t="n">
        <v>0</v>
      </c>
      <c r="N94" t="n">
        <v>0</v>
      </c>
      <c r="O94" t="n">
        <v>0</v>
      </c>
      <c r="P94" t="n">
        <v>0</v>
      </c>
      <c r="Q94" t="n">
        <v>0</v>
      </c>
      <c r="R94" s="2" t="inlineStr"/>
    </row>
    <row r="95" ht="15" customHeight="1">
      <c r="A95" t="inlineStr">
        <is>
          <t>A 32737-2019</t>
        </is>
      </c>
      <c r="B95" s="1" t="n">
        <v>43647</v>
      </c>
      <c r="C95" s="1" t="n">
        <v>45513</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33965-2019</t>
        </is>
      </c>
      <c r="B96" s="1" t="n">
        <v>43654</v>
      </c>
      <c r="C96" s="1" t="n">
        <v>45513</v>
      </c>
      <c r="D96" t="inlineStr">
        <is>
          <t>VÄSTERNORRLANDS LÄN</t>
        </is>
      </c>
      <c r="E96" t="inlineStr">
        <is>
          <t>KRAMFORS</t>
        </is>
      </c>
      <c r="G96" t="n">
        <v>6.8</v>
      </c>
      <c r="H96" t="n">
        <v>0</v>
      </c>
      <c r="I96" t="n">
        <v>0</v>
      </c>
      <c r="J96" t="n">
        <v>0</v>
      </c>
      <c r="K96" t="n">
        <v>0</v>
      </c>
      <c r="L96" t="n">
        <v>0</v>
      </c>
      <c r="M96" t="n">
        <v>0</v>
      </c>
      <c r="N96" t="n">
        <v>0</v>
      </c>
      <c r="O96" t="n">
        <v>0</v>
      </c>
      <c r="P96" t="n">
        <v>0</v>
      </c>
      <c r="Q96" t="n">
        <v>0</v>
      </c>
      <c r="R96" s="2" t="inlineStr"/>
    </row>
    <row r="97" ht="15" customHeight="1">
      <c r="A97" t="inlineStr">
        <is>
          <t>A 34677-2019</t>
        </is>
      </c>
      <c r="B97" s="1" t="n">
        <v>43657</v>
      </c>
      <c r="C97" s="1" t="n">
        <v>45513</v>
      </c>
      <c r="D97" t="inlineStr">
        <is>
          <t>VÄSTERNORRLANDS LÄN</t>
        </is>
      </c>
      <c r="E97" t="inlineStr">
        <is>
          <t>KRAMFORS</t>
        </is>
      </c>
      <c r="G97" t="n">
        <v>10.1</v>
      </c>
      <c r="H97" t="n">
        <v>0</v>
      </c>
      <c r="I97" t="n">
        <v>0</v>
      </c>
      <c r="J97" t="n">
        <v>0</v>
      </c>
      <c r="K97" t="n">
        <v>0</v>
      </c>
      <c r="L97" t="n">
        <v>0</v>
      </c>
      <c r="M97" t="n">
        <v>0</v>
      </c>
      <c r="N97" t="n">
        <v>0</v>
      </c>
      <c r="O97" t="n">
        <v>0</v>
      </c>
      <c r="P97" t="n">
        <v>0</v>
      </c>
      <c r="Q97" t="n">
        <v>0</v>
      </c>
      <c r="R97" s="2" t="inlineStr"/>
    </row>
    <row r="98" ht="15" customHeight="1">
      <c r="A98" t="inlineStr">
        <is>
          <t>A 37986-2019</t>
        </is>
      </c>
      <c r="B98" s="1" t="n">
        <v>43682</v>
      </c>
      <c r="C98" s="1" t="n">
        <v>45513</v>
      </c>
      <c r="D98" t="inlineStr">
        <is>
          <t>VÄSTERNORRLANDS LÄN</t>
        </is>
      </c>
      <c r="E98" t="inlineStr">
        <is>
          <t>KRAMFORS</t>
        </is>
      </c>
      <c r="G98" t="n">
        <v>0.4</v>
      </c>
      <c r="H98" t="n">
        <v>0</v>
      </c>
      <c r="I98" t="n">
        <v>0</v>
      </c>
      <c r="J98" t="n">
        <v>0</v>
      </c>
      <c r="K98" t="n">
        <v>0</v>
      </c>
      <c r="L98" t="n">
        <v>0</v>
      </c>
      <c r="M98" t="n">
        <v>0</v>
      </c>
      <c r="N98" t="n">
        <v>0</v>
      </c>
      <c r="O98" t="n">
        <v>0</v>
      </c>
      <c r="P98" t="n">
        <v>0</v>
      </c>
      <c r="Q98" t="n">
        <v>0</v>
      </c>
      <c r="R98" s="2" t="inlineStr"/>
    </row>
    <row r="99" ht="15" customHeight="1">
      <c r="A99" t="inlineStr">
        <is>
          <t>A 37914-2019</t>
        </is>
      </c>
      <c r="B99" s="1" t="n">
        <v>43683</v>
      </c>
      <c r="C99" s="1" t="n">
        <v>45513</v>
      </c>
      <c r="D99" t="inlineStr">
        <is>
          <t>VÄSTERNORRLANDS LÄN</t>
        </is>
      </c>
      <c r="E99" t="inlineStr">
        <is>
          <t>KRAMFORS</t>
        </is>
      </c>
      <c r="G99" t="n">
        <v>3.8</v>
      </c>
      <c r="H99" t="n">
        <v>0</v>
      </c>
      <c r="I99" t="n">
        <v>0</v>
      </c>
      <c r="J99" t="n">
        <v>0</v>
      </c>
      <c r="K99" t="n">
        <v>0</v>
      </c>
      <c r="L99" t="n">
        <v>0</v>
      </c>
      <c r="M99" t="n">
        <v>0</v>
      </c>
      <c r="N99" t="n">
        <v>0</v>
      </c>
      <c r="O99" t="n">
        <v>0</v>
      </c>
      <c r="P99" t="n">
        <v>0</v>
      </c>
      <c r="Q99" t="n">
        <v>0</v>
      </c>
      <c r="R99" s="2" t="inlineStr"/>
    </row>
    <row r="100" ht="15" customHeight="1">
      <c r="A100" t="inlineStr">
        <is>
          <t>A 39395-2019</t>
        </is>
      </c>
      <c r="B100" s="1" t="n">
        <v>43690</v>
      </c>
      <c r="C100" s="1" t="n">
        <v>45513</v>
      </c>
      <c r="D100" t="inlineStr">
        <is>
          <t>VÄSTERNORRLANDS LÄN</t>
        </is>
      </c>
      <c r="E100" t="inlineStr">
        <is>
          <t>KRAMFORS</t>
        </is>
      </c>
      <c r="F100" t="inlineStr">
        <is>
          <t>SCA</t>
        </is>
      </c>
      <c r="G100" t="n">
        <v>2.9</v>
      </c>
      <c r="H100" t="n">
        <v>0</v>
      </c>
      <c r="I100" t="n">
        <v>0</v>
      </c>
      <c r="J100" t="n">
        <v>0</v>
      </c>
      <c r="K100" t="n">
        <v>0</v>
      </c>
      <c r="L100" t="n">
        <v>0</v>
      </c>
      <c r="M100" t="n">
        <v>0</v>
      </c>
      <c r="N100" t="n">
        <v>0</v>
      </c>
      <c r="O100" t="n">
        <v>0</v>
      </c>
      <c r="P100" t="n">
        <v>0</v>
      </c>
      <c r="Q100" t="n">
        <v>0</v>
      </c>
      <c r="R100" s="2" t="inlineStr"/>
    </row>
    <row r="101" ht="15" customHeight="1">
      <c r="A101" t="inlineStr">
        <is>
          <t>A 40481-2019</t>
        </is>
      </c>
      <c r="B101" s="1" t="n">
        <v>43696</v>
      </c>
      <c r="C101" s="1" t="n">
        <v>45513</v>
      </c>
      <c r="D101" t="inlineStr">
        <is>
          <t>VÄSTERNORRLANDS LÄN</t>
        </is>
      </c>
      <c r="E101" t="inlineStr">
        <is>
          <t>KRAMFORS</t>
        </is>
      </c>
      <c r="G101" t="n">
        <v>0.7</v>
      </c>
      <c r="H101" t="n">
        <v>0</v>
      </c>
      <c r="I101" t="n">
        <v>0</v>
      </c>
      <c r="J101" t="n">
        <v>0</v>
      </c>
      <c r="K101" t="n">
        <v>0</v>
      </c>
      <c r="L101" t="n">
        <v>0</v>
      </c>
      <c r="M101" t="n">
        <v>0</v>
      </c>
      <c r="N101" t="n">
        <v>0</v>
      </c>
      <c r="O101" t="n">
        <v>0</v>
      </c>
      <c r="P101" t="n">
        <v>0</v>
      </c>
      <c r="Q101" t="n">
        <v>0</v>
      </c>
      <c r="R101" s="2" t="inlineStr"/>
    </row>
    <row r="102" ht="15" customHeight="1">
      <c r="A102" t="inlineStr">
        <is>
          <t>A 40516-2019</t>
        </is>
      </c>
      <c r="B102" s="1" t="n">
        <v>43696</v>
      </c>
      <c r="C102" s="1" t="n">
        <v>45513</v>
      </c>
      <c r="D102" t="inlineStr">
        <is>
          <t>VÄSTERNORRLANDS LÄN</t>
        </is>
      </c>
      <c r="E102" t="inlineStr">
        <is>
          <t>KRAMFORS</t>
        </is>
      </c>
      <c r="G102" t="n">
        <v>16.7</v>
      </c>
      <c r="H102" t="n">
        <v>0</v>
      </c>
      <c r="I102" t="n">
        <v>0</v>
      </c>
      <c r="J102" t="n">
        <v>0</v>
      </c>
      <c r="K102" t="n">
        <v>0</v>
      </c>
      <c r="L102" t="n">
        <v>0</v>
      </c>
      <c r="M102" t="n">
        <v>0</v>
      </c>
      <c r="N102" t="n">
        <v>0</v>
      </c>
      <c r="O102" t="n">
        <v>0</v>
      </c>
      <c r="P102" t="n">
        <v>0</v>
      </c>
      <c r="Q102" t="n">
        <v>0</v>
      </c>
      <c r="R102" s="2" t="inlineStr"/>
    </row>
    <row r="103" ht="15" customHeight="1">
      <c r="A103" t="inlineStr">
        <is>
          <t>A 40480-2019</t>
        </is>
      </c>
      <c r="B103" s="1" t="n">
        <v>43696</v>
      </c>
      <c r="C103" s="1" t="n">
        <v>45513</v>
      </c>
      <c r="D103" t="inlineStr">
        <is>
          <t>VÄSTERNORRLANDS LÄN</t>
        </is>
      </c>
      <c r="E103" t="inlineStr">
        <is>
          <t>KRAMFORS</t>
        </is>
      </c>
      <c r="G103" t="n">
        <v>4.4</v>
      </c>
      <c r="H103" t="n">
        <v>0</v>
      </c>
      <c r="I103" t="n">
        <v>0</v>
      </c>
      <c r="J103" t="n">
        <v>0</v>
      </c>
      <c r="K103" t="n">
        <v>0</v>
      </c>
      <c r="L103" t="n">
        <v>0</v>
      </c>
      <c r="M103" t="n">
        <v>0</v>
      </c>
      <c r="N103" t="n">
        <v>0</v>
      </c>
      <c r="O103" t="n">
        <v>0</v>
      </c>
      <c r="P103" t="n">
        <v>0</v>
      </c>
      <c r="Q103" t="n">
        <v>0</v>
      </c>
      <c r="R103" s="2" t="inlineStr"/>
    </row>
    <row r="104" ht="15" customHeight="1">
      <c r="A104" t="inlineStr">
        <is>
          <t>A 43201-2019</t>
        </is>
      </c>
      <c r="B104" s="1" t="n">
        <v>43705</v>
      </c>
      <c r="C104" s="1" t="n">
        <v>45513</v>
      </c>
      <c r="D104" t="inlineStr">
        <is>
          <t>VÄSTERNORRLANDS LÄN</t>
        </is>
      </c>
      <c r="E104" t="inlineStr">
        <is>
          <t>KRAMFORS</t>
        </is>
      </c>
      <c r="F104" t="inlineStr">
        <is>
          <t>SCA</t>
        </is>
      </c>
      <c r="G104" t="n">
        <v>16.6</v>
      </c>
      <c r="H104" t="n">
        <v>0</v>
      </c>
      <c r="I104" t="n">
        <v>0</v>
      </c>
      <c r="J104" t="n">
        <v>0</v>
      </c>
      <c r="K104" t="n">
        <v>0</v>
      </c>
      <c r="L104" t="n">
        <v>0</v>
      </c>
      <c r="M104" t="n">
        <v>0</v>
      </c>
      <c r="N104" t="n">
        <v>0</v>
      </c>
      <c r="O104" t="n">
        <v>0</v>
      </c>
      <c r="P104" t="n">
        <v>0</v>
      </c>
      <c r="Q104" t="n">
        <v>0</v>
      </c>
      <c r="R104" s="2" t="inlineStr"/>
    </row>
    <row r="105" ht="15" customHeight="1">
      <c r="A105" t="inlineStr">
        <is>
          <t>A 44328-2019</t>
        </is>
      </c>
      <c r="B105" s="1" t="n">
        <v>43710</v>
      </c>
      <c r="C105" s="1" t="n">
        <v>45513</v>
      </c>
      <c r="D105" t="inlineStr">
        <is>
          <t>VÄSTERNORRLANDS LÄN</t>
        </is>
      </c>
      <c r="E105" t="inlineStr">
        <is>
          <t>KRAMFORS</t>
        </is>
      </c>
      <c r="G105" t="n">
        <v>2.7</v>
      </c>
      <c r="H105" t="n">
        <v>0</v>
      </c>
      <c r="I105" t="n">
        <v>0</v>
      </c>
      <c r="J105" t="n">
        <v>0</v>
      </c>
      <c r="K105" t="n">
        <v>0</v>
      </c>
      <c r="L105" t="n">
        <v>0</v>
      </c>
      <c r="M105" t="n">
        <v>0</v>
      </c>
      <c r="N105" t="n">
        <v>0</v>
      </c>
      <c r="O105" t="n">
        <v>0</v>
      </c>
      <c r="P105" t="n">
        <v>0</v>
      </c>
      <c r="Q105" t="n">
        <v>0</v>
      </c>
      <c r="R105" s="2" t="inlineStr"/>
    </row>
    <row r="106" ht="15" customHeight="1">
      <c r="A106" t="inlineStr">
        <is>
          <t>A 44317-2019</t>
        </is>
      </c>
      <c r="B106" s="1" t="n">
        <v>43710</v>
      </c>
      <c r="C106" s="1" t="n">
        <v>45513</v>
      </c>
      <c r="D106" t="inlineStr">
        <is>
          <t>VÄSTERNORRLANDS LÄN</t>
        </is>
      </c>
      <c r="E106" t="inlineStr">
        <is>
          <t>KRAMFORS</t>
        </is>
      </c>
      <c r="G106" t="n">
        <v>5.5</v>
      </c>
      <c r="H106" t="n">
        <v>0</v>
      </c>
      <c r="I106" t="n">
        <v>0</v>
      </c>
      <c r="J106" t="n">
        <v>0</v>
      </c>
      <c r="K106" t="n">
        <v>0</v>
      </c>
      <c r="L106" t="n">
        <v>0</v>
      </c>
      <c r="M106" t="n">
        <v>0</v>
      </c>
      <c r="N106" t="n">
        <v>0</v>
      </c>
      <c r="O106" t="n">
        <v>0</v>
      </c>
      <c r="P106" t="n">
        <v>0</v>
      </c>
      <c r="Q106" t="n">
        <v>0</v>
      </c>
      <c r="R106" s="2" t="inlineStr"/>
    </row>
    <row r="107" ht="15" customHeight="1">
      <c r="A107" t="inlineStr">
        <is>
          <t>A 44772-2019</t>
        </is>
      </c>
      <c r="B107" s="1" t="n">
        <v>43712</v>
      </c>
      <c r="C107" s="1" t="n">
        <v>45513</v>
      </c>
      <c r="D107" t="inlineStr">
        <is>
          <t>VÄSTERNORRLANDS LÄN</t>
        </is>
      </c>
      <c r="E107" t="inlineStr">
        <is>
          <t>KRAMFORS</t>
        </is>
      </c>
      <c r="G107" t="n">
        <v>1.9</v>
      </c>
      <c r="H107" t="n">
        <v>0</v>
      </c>
      <c r="I107" t="n">
        <v>0</v>
      </c>
      <c r="J107" t="n">
        <v>0</v>
      </c>
      <c r="K107" t="n">
        <v>0</v>
      </c>
      <c r="L107" t="n">
        <v>0</v>
      </c>
      <c r="M107" t="n">
        <v>0</v>
      </c>
      <c r="N107" t="n">
        <v>0</v>
      </c>
      <c r="O107" t="n">
        <v>0</v>
      </c>
      <c r="P107" t="n">
        <v>0</v>
      </c>
      <c r="Q107" t="n">
        <v>0</v>
      </c>
      <c r="R107" s="2" t="inlineStr"/>
    </row>
    <row r="108" ht="15" customHeight="1">
      <c r="A108" t="inlineStr">
        <is>
          <t>A 46583-2019</t>
        </is>
      </c>
      <c r="B108" s="1" t="n">
        <v>43717</v>
      </c>
      <c r="C108" s="1" t="n">
        <v>45513</v>
      </c>
      <c r="D108" t="inlineStr">
        <is>
          <t>VÄSTERNORRLANDS LÄN</t>
        </is>
      </c>
      <c r="E108" t="inlineStr">
        <is>
          <t>KRAMFORS</t>
        </is>
      </c>
      <c r="G108" t="n">
        <v>0.7</v>
      </c>
      <c r="H108" t="n">
        <v>0</v>
      </c>
      <c r="I108" t="n">
        <v>0</v>
      </c>
      <c r="J108" t="n">
        <v>0</v>
      </c>
      <c r="K108" t="n">
        <v>0</v>
      </c>
      <c r="L108" t="n">
        <v>0</v>
      </c>
      <c r="M108" t="n">
        <v>0</v>
      </c>
      <c r="N108" t="n">
        <v>0</v>
      </c>
      <c r="O108" t="n">
        <v>0</v>
      </c>
      <c r="P108" t="n">
        <v>0</v>
      </c>
      <c r="Q108" t="n">
        <v>0</v>
      </c>
      <c r="R108" s="2" t="inlineStr"/>
    </row>
    <row r="109" ht="15" customHeight="1">
      <c r="A109" t="inlineStr">
        <is>
          <t>A 46527-2019</t>
        </is>
      </c>
      <c r="B109" s="1" t="n">
        <v>43717</v>
      </c>
      <c r="C109" s="1" t="n">
        <v>45513</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47832-2019</t>
        </is>
      </c>
      <c r="B110" s="1" t="n">
        <v>43724</v>
      </c>
      <c r="C110" s="1" t="n">
        <v>45513</v>
      </c>
      <c r="D110" t="inlineStr">
        <is>
          <t>VÄSTERNORRLANDS LÄN</t>
        </is>
      </c>
      <c r="E110" t="inlineStr">
        <is>
          <t>KRAMFORS</t>
        </is>
      </c>
      <c r="G110" t="n">
        <v>4.5</v>
      </c>
      <c r="H110" t="n">
        <v>0</v>
      </c>
      <c r="I110" t="n">
        <v>0</v>
      </c>
      <c r="J110" t="n">
        <v>0</v>
      </c>
      <c r="K110" t="n">
        <v>0</v>
      </c>
      <c r="L110" t="n">
        <v>0</v>
      </c>
      <c r="M110" t="n">
        <v>0</v>
      </c>
      <c r="N110" t="n">
        <v>0</v>
      </c>
      <c r="O110" t="n">
        <v>0</v>
      </c>
      <c r="P110" t="n">
        <v>0</v>
      </c>
      <c r="Q110" t="n">
        <v>0</v>
      </c>
      <c r="R110" s="2" t="inlineStr"/>
    </row>
    <row r="111" ht="15" customHeight="1">
      <c r="A111" t="inlineStr">
        <is>
          <t>A 49137-2019</t>
        </is>
      </c>
      <c r="B111" s="1" t="n">
        <v>43727</v>
      </c>
      <c r="C111" s="1" t="n">
        <v>45513</v>
      </c>
      <c r="D111" t="inlineStr">
        <is>
          <t>VÄSTERNORRLANDS LÄN</t>
        </is>
      </c>
      <c r="E111" t="inlineStr">
        <is>
          <t>KRAMFORS</t>
        </is>
      </c>
      <c r="G111" t="n">
        <v>14.2</v>
      </c>
      <c r="H111" t="n">
        <v>0</v>
      </c>
      <c r="I111" t="n">
        <v>0</v>
      </c>
      <c r="J111" t="n">
        <v>0</v>
      </c>
      <c r="K111" t="n">
        <v>0</v>
      </c>
      <c r="L111" t="n">
        <v>0</v>
      </c>
      <c r="M111" t="n">
        <v>0</v>
      </c>
      <c r="N111" t="n">
        <v>0</v>
      </c>
      <c r="O111" t="n">
        <v>0</v>
      </c>
      <c r="P111" t="n">
        <v>0</v>
      </c>
      <c r="Q111" t="n">
        <v>0</v>
      </c>
      <c r="R111" s="2" t="inlineStr"/>
    </row>
    <row r="112" ht="15" customHeight="1">
      <c r="A112" t="inlineStr">
        <is>
          <t>A 49188-2019</t>
        </is>
      </c>
      <c r="B112" s="1" t="n">
        <v>43728</v>
      </c>
      <c r="C112" s="1" t="n">
        <v>45513</v>
      </c>
      <c r="D112" t="inlineStr">
        <is>
          <t>VÄSTERNORRLANDS LÄN</t>
        </is>
      </c>
      <c r="E112" t="inlineStr">
        <is>
          <t>KRAMFORS</t>
        </is>
      </c>
      <c r="F112" t="inlineStr">
        <is>
          <t>Kommuner</t>
        </is>
      </c>
      <c r="G112" t="n">
        <v>4.2</v>
      </c>
      <c r="H112" t="n">
        <v>0</v>
      </c>
      <c r="I112" t="n">
        <v>0</v>
      </c>
      <c r="J112" t="n">
        <v>0</v>
      </c>
      <c r="K112" t="n">
        <v>0</v>
      </c>
      <c r="L112" t="n">
        <v>0</v>
      </c>
      <c r="M112" t="n">
        <v>0</v>
      </c>
      <c r="N112" t="n">
        <v>0</v>
      </c>
      <c r="O112" t="n">
        <v>0</v>
      </c>
      <c r="P112" t="n">
        <v>0</v>
      </c>
      <c r="Q112" t="n">
        <v>0</v>
      </c>
      <c r="R112" s="2" t="inlineStr"/>
    </row>
    <row r="113" ht="15" customHeight="1">
      <c r="A113" t="inlineStr">
        <is>
          <t>A 49490-2019</t>
        </is>
      </c>
      <c r="B113" s="1" t="n">
        <v>43732</v>
      </c>
      <c r="C113" s="1" t="n">
        <v>45513</v>
      </c>
      <c r="D113" t="inlineStr">
        <is>
          <t>VÄSTERNORRLANDS LÄN</t>
        </is>
      </c>
      <c r="E113" t="inlineStr">
        <is>
          <t>KRAMFORS</t>
        </is>
      </c>
      <c r="G113" t="n">
        <v>0.6</v>
      </c>
      <c r="H113" t="n">
        <v>0</v>
      </c>
      <c r="I113" t="n">
        <v>0</v>
      </c>
      <c r="J113" t="n">
        <v>0</v>
      </c>
      <c r="K113" t="n">
        <v>0</v>
      </c>
      <c r="L113" t="n">
        <v>0</v>
      </c>
      <c r="M113" t="n">
        <v>0</v>
      </c>
      <c r="N113" t="n">
        <v>0</v>
      </c>
      <c r="O113" t="n">
        <v>0</v>
      </c>
      <c r="P113" t="n">
        <v>0</v>
      </c>
      <c r="Q113" t="n">
        <v>0</v>
      </c>
      <c r="R113" s="2" t="inlineStr"/>
    </row>
    <row r="114" ht="15" customHeight="1">
      <c r="A114" t="inlineStr">
        <is>
          <t>A 51890-2019</t>
        </is>
      </c>
      <c r="B114" s="1" t="n">
        <v>43734</v>
      </c>
      <c r="C114" s="1" t="n">
        <v>45513</v>
      </c>
      <c r="D114" t="inlineStr">
        <is>
          <t>VÄSTERNORRLANDS LÄN</t>
        </is>
      </c>
      <c r="E114" t="inlineStr">
        <is>
          <t>KRAMFORS</t>
        </is>
      </c>
      <c r="F114" t="inlineStr">
        <is>
          <t>Kommuner</t>
        </is>
      </c>
      <c r="G114" t="n">
        <v>6.1</v>
      </c>
      <c r="H114" t="n">
        <v>0</v>
      </c>
      <c r="I114" t="n">
        <v>0</v>
      </c>
      <c r="J114" t="n">
        <v>0</v>
      </c>
      <c r="K114" t="n">
        <v>0</v>
      </c>
      <c r="L114" t="n">
        <v>0</v>
      </c>
      <c r="M114" t="n">
        <v>0</v>
      </c>
      <c r="N114" t="n">
        <v>0</v>
      </c>
      <c r="O114" t="n">
        <v>0</v>
      </c>
      <c r="P114" t="n">
        <v>0</v>
      </c>
      <c r="Q114" t="n">
        <v>0</v>
      </c>
      <c r="R114" s="2" t="inlineStr"/>
    </row>
    <row r="115" ht="15" customHeight="1">
      <c r="A115" t="inlineStr">
        <is>
          <t>A 51323-2019</t>
        </is>
      </c>
      <c r="B115" s="1" t="n">
        <v>43740</v>
      </c>
      <c r="C115" s="1" t="n">
        <v>45513</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51305-2019</t>
        </is>
      </c>
      <c r="B116" s="1" t="n">
        <v>43739</v>
      </c>
      <c r="C116" s="1" t="n">
        <v>45513</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51057-2019</t>
        </is>
      </c>
      <c r="B117" s="1" t="n">
        <v>43739</v>
      </c>
      <c r="C117" s="1" t="n">
        <v>45513</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51035-2019</t>
        </is>
      </c>
      <c r="B118" s="1" t="n">
        <v>43739</v>
      </c>
      <c r="C118" s="1" t="n">
        <v>45513</v>
      </c>
      <c r="D118" t="inlineStr">
        <is>
          <t>VÄSTERNORRLANDS LÄN</t>
        </is>
      </c>
      <c r="E118" t="inlineStr">
        <is>
          <t>KRAMFORS</t>
        </is>
      </c>
      <c r="G118" t="n">
        <v>6.5</v>
      </c>
      <c r="H118" t="n">
        <v>0</v>
      </c>
      <c r="I118" t="n">
        <v>0</v>
      </c>
      <c r="J118" t="n">
        <v>0</v>
      </c>
      <c r="K118" t="n">
        <v>0</v>
      </c>
      <c r="L118" t="n">
        <v>0</v>
      </c>
      <c r="M118" t="n">
        <v>0</v>
      </c>
      <c r="N118" t="n">
        <v>0</v>
      </c>
      <c r="O118" t="n">
        <v>0</v>
      </c>
      <c r="P118" t="n">
        <v>0</v>
      </c>
      <c r="Q118" t="n">
        <v>0</v>
      </c>
      <c r="R118" s="2" t="inlineStr"/>
    </row>
    <row r="119" ht="15" customHeight="1">
      <c r="A119" t="inlineStr">
        <is>
          <t>A 53167-2019</t>
        </is>
      </c>
      <c r="B119" s="1" t="n">
        <v>43747</v>
      </c>
      <c r="C119" s="1" t="n">
        <v>45513</v>
      </c>
      <c r="D119" t="inlineStr">
        <is>
          <t>VÄSTERNORRLANDS LÄN</t>
        </is>
      </c>
      <c r="E119" t="inlineStr">
        <is>
          <t>KRAMFORS</t>
        </is>
      </c>
      <c r="G119" t="n">
        <v>2.9</v>
      </c>
      <c r="H119" t="n">
        <v>0</v>
      </c>
      <c r="I119" t="n">
        <v>0</v>
      </c>
      <c r="J119" t="n">
        <v>0</v>
      </c>
      <c r="K119" t="n">
        <v>0</v>
      </c>
      <c r="L119" t="n">
        <v>0</v>
      </c>
      <c r="M119" t="n">
        <v>0</v>
      </c>
      <c r="N119" t="n">
        <v>0</v>
      </c>
      <c r="O119" t="n">
        <v>0</v>
      </c>
      <c r="P119" t="n">
        <v>0</v>
      </c>
      <c r="Q119" t="n">
        <v>0</v>
      </c>
      <c r="R119" s="2" t="inlineStr"/>
    </row>
    <row r="120" ht="15" customHeight="1">
      <c r="A120" t="inlineStr">
        <is>
          <t>A 56486-2019</t>
        </is>
      </c>
      <c r="B120" s="1" t="n">
        <v>43762</v>
      </c>
      <c r="C120" s="1" t="n">
        <v>45513</v>
      </c>
      <c r="D120" t="inlineStr">
        <is>
          <t>VÄSTERNORRLANDS LÄN</t>
        </is>
      </c>
      <c r="E120" t="inlineStr">
        <is>
          <t>KRAMFORS</t>
        </is>
      </c>
      <c r="G120" t="n">
        <v>0.6</v>
      </c>
      <c r="H120" t="n">
        <v>0</v>
      </c>
      <c r="I120" t="n">
        <v>0</v>
      </c>
      <c r="J120" t="n">
        <v>0</v>
      </c>
      <c r="K120" t="n">
        <v>0</v>
      </c>
      <c r="L120" t="n">
        <v>0</v>
      </c>
      <c r="M120" t="n">
        <v>0</v>
      </c>
      <c r="N120" t="n">
        <v>0</v>
      </c>
      <c r="O120" t="n">
        <v>0</v>
      </c>
      <c r="P120" t="n">
        <v>0</v>
      </c>
      <c r="Q120" t="n">
        <v>0</v>
      </c>
      <c r="R120" s="2" t="inlineStr"/>
    </row>
    <row r="121" ht="15" customHeight="1">
      <c r="A121" t="inlineStr">
        <is>
          <t>A 56544-2019</t>
        </is>
      </c>
      <c r="B121" s="1" t="n">
        <v>43763</v>
      </c>
      <c r="C121" s="1" t="n">
        <v>45513</v>
      </c>
      <c r="D121" t="inlineStr">
        <is>
          <t>VÄSTERNORRLANDS LÄN</t>
        </is>
      </c>
      <c r="E121" t="inlineStr">
        <is>
          <t>KRAMFORS</t>
        </is>
      </c>
      <c r="G121" t="n">
        <v>31.4</v>
      </c>
      <c r="H121" t="n">
        <v>0</v>
      </c>
      <c r="I121" t="n">
        <v>0</v>
      </c>
      <c r="J121" t="n">
        <v>0</v>
      </c>
      <c r="K121" t="n">
        <v>0</v>
      </c>
      <c r="L121" t="n">
        <v>0</v>
      </c>
      <c r="M121" t="n">
        <v>0</v>
      </c>
      <c r="N121" t="n">
        <v>0</v>
      </c>
      <c r="O121" t="n">
        <v>0</v>
      </c>
      <c r="P121" t="n">
        <v>0</v>
      </c>
      <c r="Q121" t="n">
        <v>0</v>
      </c>
      <c r="R121" s="2" t="inlineStr"/>
    </row>
    <row r="122" ht="15" customHeight="1">
      <c r="A122" t="inlineStr">
        <is>
          <t>A 56988-2019</t>
        </is>
      </c>
      <c r="B122" s="1" t="n">
        <v>43766</v>
      </c>
      <c r="C122" s="1" t="n">
        <v>45513</v>
      </c>
      <c r="D122" t="inlineStr">
        <is>
          <t>VÄSTERNORRLANDS LÄN</t>
        </is>
      </c>
      <c r="E122" t="inlineStr">
        <is>
          <t>KRAMFORS</t>
        </is>
      </c>
      <c r="G122" t="n">
        <v>1.7</v>
      </c>
      <c r="H122" t="n">
        <v>0</v>
      </c>
      <c r="I122" t="n">
        <v>0</v>
      </c>
      <c r="J122" t="n">
        <v>0</v>
      </c>
      <c r="K122" t="n">
        <v>0</v>
      </c>
      <c r="L122" t="n">
        <v>0</v>
      </c>
      <c r="M122" t="n">
        <v>0</v>
      </c>
      <c r="N122" t="n">
        <v>0</v>
      </c>
      <c r="O122" t="n">
        <v>0</v>
      </c>
      <c r="P122" t="n">
        <v>0</v>
      </c>
      <c r="Q122" t="n">
        <v>0</v>
      </c>
      <c r="R122" s="2" t="inlineStr"/>
    </row>
    <row r="123" ht="15" customHeight="1">
      <c r="A123" t="inlineStr">
        <is>
          <t>A 57859-2019</t>
        </is>
      </c>
      <c r="B123" s="1" t="n">
        <v>43768</v>
      </c>
      <c r="C123" s="1" t="n">
        <v>45513</v>
      </c>
      <c r="D123" t="inlineStr">
        <is>
          <t>VÄSTERNORRLANDS LÄN</t>
        </is>
      </c>
      <c r="E123" t="inlineStr">
        <is>
          <t>KRAMFORS</t>
        </is>
      </c>
      <c r="F123" t="inlineStr">
        <is>
          <t>Kommuner</t>
        </is>
      </c>
      <c r="G123" t="n">
        <v>3.9</v>
      </c>
      <c r="H123" t="n">
        <v>0</v>
      </c>
      <c r="I123" t="n">
        <v>0</v>
      </c>
      <c r="J123" t="n">
        <v>0</v>
      </c>
      <c r="K123" t="n">
        <v>0</v>
      </c>
      <c r="L123" t="n">
        <v>0</v>
      </c>
      <c r="M123" t="n">
        <v>0</v>
      </c>
      <c r="N123" t="n">
        <v>0</v>
      </c>
      <c r="O123" t="n">
        <v>0</v>
      </c>
      <c r="P123" t="n">
        <v>0</v>
      </c>
      <c r="Q123" t="n">
        <v>0</v>
      </c>
      <c r="R123" s="2" t="inlineStr"/>
    </row>
    <row r="124" ht="15" customHeight="1">
      <c r="A124" t="inlineStr">
        <is>
          <t>A 58834-2019</t>
        </is>
      </c>
      <c r="B124" s="1" t="n">
        <v>43768</v>
      </c>
      <c r="C124" s="1" t="n">
        <v>45513</v>
      </c>
      <c r="D124" t="inlineStr">
        <is>
          <t>VÄSTERNORRLANDS LÄN</t>
        </is>
      </c>
      <c r="E124" t="inlineStr">
        <is>
          <t>KRAMFORS</t>
        </is>
      </c>
      <c r="G124" t="n">
        <v>7.7</v>
      </c>
      <c r="H124" t="n">
        <v>0</v>
      </c>
      <c r="I124" t="n">
        <v>0</v>
      </c>
      <c r="J124" t="n">
        <v>0</v>
      </c>
      <c r="K124" t="n">
        <v>0</v>
      </c>
      <c r="L124" t="n">
        <v>0</v>
      </c>
      <c r="M124" t="n">
        <v>0</v>
      </c>
      <c r="N124" t="n">
        <v>0</v>
      </c>
      <c r="O124" t="n">
        <v>0</v>
      </c>
      <c r="P124" t="n">
        <v>0</v>
      </c>
      <c r="Q124" t="n">
        <v>0</v>
      </c>
      <c r="R124" s="2" t="inlineStr"/>
    </row>
    <row r="125" ht="15" customHeight="1">
      <c r="A125" t="inlineStr">
        <is>
          <t>A 58841-2019</t>
        </is>
      </c>
      <c r="B125" s="1" t="n">
        <v>43768</v>
      </c>
      <c r="C125" s="1" t="n">
        <v>45513</v>
      </c>
      <c r="D125" t="inlineStr">
        <is>
          <t>VÄSTERNORRLANDS LÄN</t>
        </is>
      </c>
      <c r="E125" t="inlineStr">
        <is>
          <t>KRAMFORS</t>
        </is>
      </c>
      <c r="G125" t="n">
        <v>3.2</v>
      </c>
      <c r="H125" t="n">
        <v>0</v>
      </c>
      <c r="I125" t="n">
        <v>0</v>
      </c>
      <c r="J125" t="n">
        <v>0</v>
      </c>
      <c r="K125" t="n">
        <v>0</v>
      </c>
      <c r="L125" t="n">
        <v>0</v>
      </c>
      <c r="M125" t="n">
        <v>0</v>
      </c>
      <c r="N125" t="n">
        <v>0</v>
      </c>
      <c r="O125" t="n">
        <v>0</v>
      </c>
      <c r="P125" t="n">
        <v>0</v>
      </c>
      <c r="Q125" t="n">
        <v>0</v>
      </c>
      <c r="R125" s="2" t="inlineStr"/>
    </row>
    <row r="126" ht="15" customHeight="1">
      <c r="A126" t="inlineStr">
        <is>
          <t>A 58768-2019</t>
        </is>
      </c>
      <c r="B126" s="1" t="n">
        <v>43773</v>
      </c>
      <c r="C126" s="1" t="n">
        <v>45513</v>
      </c>
      <c r="D126" t="inlineStr">
        <is>
          <t>VÄSTERNORRLANDS LÄN</t>
        </is>
      </c>
      <c r="E126" t="inlineStr">
        <is>
          <t>KRAMFORS</t>
        </is>
      </c>
      <c r="G126" t="n">
        <v>5.3</v>
      </c>
      <c r="H126" t="n">
        <v>0</v>
      </c>
      <c r="I126" t="n">
        <v>0</v>
      </c>
      <c r="J126" t="n">
        <v>0</v>
      </c>
      <c r="K126" t="n">
        <v>0</v>
      </c>
      <c r="L126" t="n">
        <v>0</v>
      </c>
      <c r="M126" t="n">
        <v>0</v>
      </c>
      <c r="N126" t="n">
        <v>0</v>
      </c>
      <c r="O126" t="n">
        <v>0</v>
      </c>
      <c r="P126" t="n">
        <v>0</v>
      </c>
      <c r="Q126" t="n">
        <v>0</v>
      </c>
      <c r="R126" s="2" t="inlineStr"/>
    </row>
    <row r="127" ht="15" customHeight="1">
      <c r="A127" t="inlineStr">
        <is>
          <t>A 58769-2019</t>
        </is>
      </c>
      <c r="B127" s="1" t="n">
        <v>43773</v>
      </c>
      <c r="C127" s="1" t="n">
        <v>45513</v>
      </c>
      <c r="D127" t="inlineStr">
        <is>
          <t>VÄSTERNORRLANDS LÄN</t>
        </is>
      </c>
      <c r="E127" t="inlineStr">
        <is>
          <t>KRAMFORS</t>
        </is>
      </c>
      <c r="G127" t="n">
        <v>1.3</v>
      </c>
      <c r="H127" t="n">
        <v>0</v>
      </c>
      <c r="I127" t="n">
        <v>0</v>
      </c>
      <c r="J127" t="n">
        <v>0</v>
      </c>
      <c r="K127" t="n">
        <v>0</v>
      </c>
      <c r="L127" t="n">
        <v>0</v>
      </c>
      <c r="M127" t="n">
        <v>0</v>
      </c>
      <c r="N127" t="n">
        <v>0</v>
      </c>
      <c r="O127" t="n">
        <v>0</v>
      </c>
      <c r="P127" t="n">
        <v>0</v>
      </c>
      <c r="Q127" t="n">
        <v>0</v>
      </c>
      <c r="R127" s="2" t="inlineStr"/>
    </row>
    <row r="128" ht="15" customHeight="1">
      <c r="A128" t="inlineStr">
        <is>
          <t>A 58847-2019</t>
        </is>
      </c>
      <c r="B128" s="1" t="n">
        <v>43774</v>
      </c>
      <c r="C128" s="1" t="n">
        <v>45513</v>
      </c>
      <c r="D128" t="inlineStr">
        <is>
          <t>VÄSTERNORRLANDS LÄN</t>
        </is>
      </c>
      <c r="E128" t="inlineStr">
        <is>
          <t>KRAMFORS</t>
        </is>
      </c>
      <c r="G128" t="n">
        <v>1</v>
      </c>
      <c r="H128" t="n">
        <v>0</v>
      </c>
      <c r="I128" t="n">
        <v>0</v>
      </c>
      <c r="J128" t="n">
        <v>0</v>
      </c>
      <c r="K128" t="n">
        <v>0</v>
      </c>
      <c r="L128" t="n">
        <v>0</v>
      </c>
      <c r="M128" t="n">
        <v>0</v>
      </c>
      <c r="N128" t="n">
        <v>0</v>
      </c>
      <c r="O128" t="n">
        <v>0</v>
      </c>
      <c r="P128" t="n">
        <v>0</v>
      </c>
      <c r="Q128" t="n">
        <v>0</v>
      </c>
      <c r="R128" s="2" t="inlineStr"/>
    </row>
    <row r="129" ht="15" customHeight="1">
      <c r="A129" t="inlineStr">
        <is>
          <t>A 59686-2019</t>
        </is>
      </c>
      <c r="B129" s="1" t="n">
        <v>43774</v>
      </c>
      <c r="C129" s="1" t="n">
        <v>45513</v>
      </c>
      <c r="D129" t="inlineStr">
        <is>
          <t>VÄSTERNORRLANDS LÄN</t>
        </is>
      </c>
      <c r="E129" t="inlineStr">
        <is>
          <t>KRAMFORS</t>
        </is>
      </c>
      <c r="G129" t="n">
        <v>1.5</v>
      </c>
      <c r="H129" t="n">
        <v>0</v>
      </c>
      <c r="I129" t="n">
        <v>0</v>
      </c>
      <c r="J129" t="n">
        <v>0</v>
      </c>
      <c r="K129" t="n">
        <v>0</v>
      </c>
      <c r="L129" t="n">
        <v>0</v>
      </c>
      <c r="M129" t="n">
        <v>0</v>
      </c>
      <c r="N129" t="n">
        <v>0</v>
      </c>
      <c r="O129" t="n">
        <v>0</v>
      </c>
      <c r="P129" t="n">
        <v>0</v>
      </c>
      <c r="Q129" t="n">
        <v>0</v>
      </c>
      <c r="R129" s="2" t="inlineStr"/>
    </row>
    <row r="130" ht="15" customHeight="1">
      <c r="A130" t="inlineStr">
        <is>
          <t>A 58852-2019</t>
        </is>
      </c>
      <c r="B130" s="1" t="n">
        <v>43774</v>
      </c>
      <c r="C130" s="1" t="n">
        <v>45513</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62178-2019</t>
        </is>
      </c>
      <c r="B131" s="1" t="n">
        <v>43787</v>
      </c>
      <c r="C131" s="1" t="n">
        <v>45513</v>
      </c>
      <c r="D131" t="inlineStr">
        <is>
          <t>VÄSTERNORRLANDS LÄN</t>
        </is>
      </c>
      <c r="E131" t="inlineStr">
        <is>
          <t>KRAMFORS</t>
        </is>
      </c>
      <c r="G131" t="n">
        <v>1.7</v>
      </c>
      <c r="H131" t="n">
        <v>0</v>
      </c>
      <c r="I131" t="n">
        <v>0</v>
      </c>
      <c r="J131" t="n">
        <v>0</v>
      </c>
      <c r="K131" t="n">
        <v>0</v>
      </c>
      <c r="L131" t="n">
        <v>0</v>
      </c>
      <c r="M131" t="n">
        <v>0</v>
      </c>
      <c r="N131" t="n">
        <v>0</v>
      </c>
      <c r="O131" t="n">
        <v>0</v>
      </c>
      <c r="P131" t="n">
        <v>0</v>
      </c>
      <c r="Q131" t="n">
        <v>0</v>
      </c>
      <c r="R131" s="2" t="inlineStr"/>
    </row>
    <row r="132" ht="15" customHeight="1">
      <c r="A132" t="inlineStr">
        <is>
          <t>A 62180-2019</t>
        </is>
      </c>
      <c r="B132" s="1" t="n">
        <v>43787</v>
      </c>
      <c r="C132" s="1" t="n">
        <v>45513</v>
      </c>
      <c r="D132" t="inlineStr">
        <is>
          <t>VÄSTERNORRLANDS LÄN</t>
        </is>
      </c>
      <c r="E132" t="inlineStr">
        <is>
          <t>KRAMFORS</t>
        </is>
      </c>
      <c r="G132" t="n">
        <v>1.5</v>
      </c>
      <c r="H132" t="n">
        <v>0</v>
      </c>
      <c r="I132" t="n">
        <v>0</v>
      </c>
      <c r="J132" t="n">
        <v>0</v>
      </c>
      <c r="K132" t="n">
        <v>0</v>
      </c>
      <c r="L132" t="n">
        <v>0</v>
      </c>
      <c r="M132" t="n">
        <v>0</v>
      </c>
      <c r="N132" t="n">
        <v>0</v>
      </c>
      <c r="O132" t="n">
        <v>0</v>
      </c>
      <c r="P132" t="n">
        <v>0</v>
      </c>
      <c r="Q132" t="n">
        <v>0</v>
      </c>
      <c r="R132" s="2" t="inlineStr"/>
    </row>
    <row r="133" ht="15" customHeight="1">
      <c r="A133" t="inlineStr">
        <is>
          <t>A 63612-2019</t>
        </is>
      </c>
      <c r="B133" s="1" t="n">
        <v>43789</v>
      </c>
      <c r="C133" s="1" t="n">
        <v>45513</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64217-2019</t>
        </is>
      </c>
      <c r="B134" s="1" t="n">
        <v>43797</v>
      </c>
      <c r="C134" s="1" t="n">
        <v>45513</v>
      </c>
      <c r="D134" t="inlineStr">
        <is>
          <t>VÄSTERNORRLANDS LÄN</t>
        </is>
      </c>
      <c r="E134" t="inlineStr">
        <is>
          <t>KRAMFORS</t>
        </is>
      </c>
      <c r="G134" t="n">
        <v>2.2</v>
      </c>
      <c r="H134" t="n">
        <v>0</v>
      </c>
      <c r="I134" t="n">
        <v>0</v>
      </c>
      <c r="J134" t="n">
        <v>0</v>
      </c>
      <c r="K134" t="n">
        <v>0</v>
      </c>
      <c r="L134" t="n">
        <v>0</v>
      </c>
      <c r="M134" t="n">
        <v>0</v>
      </c>
      <c r="N134" t="n">
        <v>0</v>
      </c>
      <c r="O134" t="n">
        <v>0</v>
      </c>
      <c r="P134" t="n">
        <v>0</v>
      </c>
      <c r="Q134" t="n">
        <v>0</v>
      </c>
      <c r="R134" s="2" t="inlineStr"/>
    </row>
    <row r="135" ht="15" customHeight="1">
      <c r="A135" t="inlineStr">
        <is>
          <t>A 65354-2019</t>
        </is>
      </c>
      <c r="B135" s="1" t="n">
        <v>43803</v>
      </c>
      <c r="C135" s="1" t="n">
        <v>45513</v>
      </c>
      <c r="D135" t="inlineStr">
        <is>
          <t>VÄSTERNORRLANDS LÄN</t>
        </is>
      </c>
      <c r="E135" t="inlineStr">
        <is>
          <t>KRAMFORS</t>
        </is>
      </c>
      <c r="G135" t="n">
        <v>2.9</v>
      </c>
      <c r="H135" t="n">
        <v>0</v>
      </c>
      <c r="I135" t="n">
        <v>0</v>
      </c>
      <c r="J135" t="n">
        <v>0</v>
      </c>
      <c r="K135" t="n">
        <v>0</v>
      </c>
      <c r="L135" t="n">
        <v>0</v>
      </c>
      <c r="M135" t="n">
        <v>0</v>
      </c>
      <c r="N135" t="n">
        <v>0</v>
      </c>
      <c r="O135" t="n">
        <v>0</v>
      </c>
      <c r="P135" t="n">
        <v>0</v>
      </c>
      <c r="Q135" t="n">
        <v>0</v>
      </c>
      <c r="R135" s="2" t="inlineStr"/>
    </row>
    <row r="136" ht="15" customHeight="1">
      <c r="A136" t="inlineStr">
        <is>
          <t>A 66975-2019</t>
        </is>
      </c>
      <c r="B136" s="1" t="n">
        <v>43810</v>
      </c>
      <c r="C136" s="1" t="n">
        <v>45513</v>
      </c>
      <c r="D136" t="inlineStr">
        <is>
          <t>VÄSTERNORRLANDS LÄN</t>
        </is>
      </c>
      <c r="E136" t="inlineStr">
        <is>
          <t>KRAMFORS</t>
        </is>
      </c>
      <c r="G136" t="n">
        <v>4</v>
      </c>
      <c r="H136" t="n">
        <v>0</v>
      </c>
      <c r="I136" t="n">
        <v>0</v>
      </c>
      <c r="J136" t="n">
        <v>0</v>
      </c>
      <c r="K136" t="n">
        <v>0</v>
      </c>
      <c r="L136" t="n">
        <v>0</v>
      </c>
      <c r="M136" t="n">
        <v>0</v>
      </c>
      <c r="N136" t="n">
        <v>0</v>
      </c>
      <c r="O136" t="n">
        <v>0</v>
      </c>
      <c r="P136" t="n">
        <v>0</v>
      </c>
      <c r="Q136" t="n">
        <v>0</v>
      </c>
      <c r="R136" s="2" t="inlineStr"/>
    </row>
    <row r="137" ht="15" customHeight="1">
      <c r="A137" t="inlineStr">
        <is>
          <t>A 67272-2019</t>
        </is>
      </c>
      <c r="B137" s="1" t="n">
        <v>43812</v>
      </c>
      <c r="C137" s="1" t="n">
        <v>45513</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67366-2019</t>
        </is>
      </c>
      <c r="B138" s="1" t="n">
        <v>43812</v>
      </c>
      <c r="C138" s="1" t="n">
        <v>45513</v>
      </c>
      <c r="D138" t="inlineStr">
        <is>
          <t>VÄSTERNORRLANDS LÄN</t>
        </is>
      </c>
      <c r="E138" t="inlineStr">
        <is>
          <t>KRAMFORS</t>
        </is>
      </c>
      <c r="G138" t="n">
        <v>0.8</v>
      </c>
      <c r="H138" t="n">
        <v>0</v>
      </c>
      <c r="I138" t="n">
        <v>0</v>
      </c>
      <c r="J138" t="n">
        <v>0</v>
      </c>
      <c r="K138" t="n">
        <v>0</v>
      </c>
      <c r="L138" t="n">
        <v>0</v>
      </c>
      <c r="M138" t="n">
        <v>0</v>
      </c>
      <c r="N138" t="n">
        <v>0</v>
      </c>
      <c r="O138" t="n">
        <v>0</v>
      </c>
      <c r="P138" t="n">
        <v>0</v>
      </c>
      <c r="Q138" t="n">
        <v>0</v>
      </c>
      <c r="R138" s="2" t="inlineStr"/>
    </row>
    <row r="139" ht="15" customHeight="1">
      <c r="A139" t="inlineStr">
        <is>
          <t>A 67278-2019</t>
        </is>
      </c>
      <c r="B139" s="1" t="n">
        <v>43812</v>
      </c>
      <c r="C139" s="1" t="n">
        <v>45513</v>
      </c>
      <c r="D139" t="inlineStr">
        <is>
          <t>VÄSTERNORRLANDS LÄN</t>
        </is>
      </c>
      <c r="E139" t="inlineStr">
        <is>
          <t>KRAMFORS</t>
        </is>
      </c>
      <c r="G139" t="n">
        <v>4.6</v>
      </c>
      <c r="H139" t="n">
        <v>0</v>
      </c>
      <c r="I139" t="n">
        <v>0</v>
      </c>
      <c r="J139" t="n">
        <v>0</v>
      </c>
      <c r="K139" t="n">
        <v>0</v>
      </c>
      <c r="L139" t="n">
        <v>0</v>
      </c>
      <c r="M139" t="n">
        <v>0</v>
      </c>
      <c r="N139" t="n">
        <v>0</v>
      </c>
      <c r="O139" t="n">
        <v>0</v>
      </c>
      <c r="P139" t="n">
        <v>0</v>
      </c>
      <c r="Q139" t="n">
        <v>0</v>
      </c>
      <c r="R139" s="2" t="inlineStr"/>
    </row>
    <row r="140" ht="15" customHeight="1">
      <c r="A140" t="inlineStr">
        <is>
          <t>A 67813-2019</t>
        </is>
      </c>
      <c r="B140" s="1" t="n">
        <v>43815</v>
      </c>
      <c r="C140" s="1" t="n">
        <v>45513</v>
      </c>
      <c r="D140" t="inlineStr">
        <is>
          <t>VÄSTERNORRLANDS LÄN</t>
        </is>
      </c>
      <c r="E140" t="inlineStr">
        <is>
          <t>KRAMFORS</t>
        </is>
      </c>
      <c r="F140" t="inlineStr">
        <is>
          <t>SCA</t>
        </is>
      </c>
      <c r="G140" t="n">
        <v>24.1</v>
      </c>
      <c r="H140" t="n">
        <v>0</v>
      </c>
      <c r="I140" t="n">
        <v>0</v>
      </c>
      <c r="J140" t="n">
        <v>0</v>
      </c>
      <c r="K140" t="n">
        <v>0</v>
      </c>
      <c r="L140" t="n">
        <v>0</v>
      </c>
      <c r="M140" t="n">
        <v>0</v>
      </c>
      <c r="N140" t="n">
        <v>0</v>
      </c>
      <c r="O140" t="n">
        <v>0</v>
      </c>
      <c r="P140" t="n">
        <v>0</v>
      </c>
      <c r="Q140" t="n">
        <v>0</v>
      </c>
      <c r="R140" s="2" t="inlineStr"/>
    </row>
    <row r="141" ht="15" customHeight="1">
      <c r="A141" t="inlineStr">
        <is>
          <t>A 975-2020</t>
        </is>
      </c>
      <c r="B141" s="1" t="n">
        <v>43819</v>
      </c>
      <c r="C141" s="1" t="n">
        <v>45513</v>
      </c>
      <c r="D141" t="inlineStr">
        <is>
          <t>VÄSTERNORRLANDS LÄN</t>
        </is>
      </c>
      <c r="E141" t="inlineStr">
        <is>
          <t>KRAMFORS</t>
        </is>
      </c>
      <c r="G141" t="n">
        <v>6.8</v>
      </c>
      <c r="H141" t="n">
        <v>0</v>
      </c>
      <c r="I141" t="n">
        <v>0</v>
      </c>
      <c r="J141" t="n">
        <v>0</v>
      </c>
      <c r="K141" t="n">
        <v>0</v>
      </c>
      <c r="L141" t="n">
        <v>0</v>
      </c>
      <c r="M141" t="n">
        <v>0</v>
      </c>
      <c r="N141" t="n">
        <v>0</v>
      </c>
      <c r="O141" t="n">
        <v>0</v>
      </c>
      <c r="P141" t="n">
        <v>0</v>
      </c>
      <c r="Q141" t="n">
        <v>0</v>
      </c>
      <c r="R141" s="2" t="inlineStr"/>
    </row>
    <row r="142" ht="15" customHeight="1">
      <c r="A142" t="inlineStr">
        <is>
          <t>A 68845-2019</t>
        </is>
      </c>
      <c r="B142" s="1" t="n">
        <v>43819</v>
      </c>
      <c r="C142" s="1" t="n">
        <v>45513</v>
      </c>
      <c r="D142" t="inlineStr">
        <is>
          <t>VÄSTERNORRLANDS LÄN</t>
        </is>
      </c>
      <c r="E142" t="inlineStr">
        <is>
          <t>KRAMFORS</t>
        </is>
      </c>
      <c r="G142" t="n">
        <v>2.3</v>
      </c>
      <c r="H142" t="n">
        <v>0</v>
      </c>
      <c r="I142" t="n">
        <v>0</v>
      </c>
      <c r="J142" t="n">
        <v>0</v>
      </c>
      <c r="K142" t="n">
        <v>0</v>
      </c>
      <c r="L142" t="n">
        <v>0</v>
      </c>
      <c r="M142" t="n">
        <v>0</v>
      </c>
      <c r="N142" t="n">
        <v>0</v>
      </c>
      <c r="O142" t="n">
        <v>0</v>
      </c>
      <c r="P142" t="n">
        <v>0</v>
      </c>
      <c r="Q142" t="n">
        <v>0</v>
      </c>
      <c r="R142" s="2" t="inlineStr"/>
    </row>
    <row r="143" ht="15" customHeight="1">
      <c r="A143" t="inlineStr">
        <is>
          <t>A 1982-2020</t>
        </is>
      </c>
      <c r="B143" s="1" t="n">
        <v>43845</v>
      </c>
      <c r="C143" s="1" t="n">
        <v>45513</v>
      </c>
      <c r="D143" t="inlineStr">
        <is>
          <t>VÄSTERNORRLANDS LÄN</t>
        </is>
      </c>
      <c r="E143" t="inlineStr">
        <is>
          <t>KRAMFORS</t>
        </is>
      </c>
      <c r="G143" t="n">
        <v>3.3</v>
      </c>
      <c r="H143" t="n">
        <v>0</v>
      </c>
      <c r="I143" t="n">
        <v>0</v>
      </c>
      <c r="J143" t="n">
        <v>0</v>
      </c>
      <c r="K143" t="n">
        <v>0</v>
      </c>
      <c r="L143" t="n">
        <v>0</v>
      </c>
      <c r="M143" t="n">
        <v>0</v>
      </c>
      <c r="N143" t="n">
        <v>0</v>
      </c>
      <c r="O143" t="n">
        <v>0</v>
      </c>
      <c r="P143" t="n">
        <v>0</v>
      </c>
      <c r="Q143" t="n">
        <v>0</v>
      </c>
      <c r="R143" s="2" t="inlineStr"/>
    </row>
    <row r="144" ht="15" customHeight="1">
      <c r="A144" t="inlineStr">
        <is>
          <t>A 2361-2020</t>
        </is>
      </c>
      <c r="B144" s="1" t="n">
        <v>43846</v>
      </c>
      <c r="C144" s="1" t="n">
        <v>45513</v>
      </c>
      <c r="D144" t="inlineStr">
        <is>
          <t>VÄSTERNORRLANDS LÄN</t>
        </is>
      </c>
      <c r="E144" t="inlineStr">
        <is>
          <t>KRAMFORS</t>
        </is>
      </c>
      <c r="G144" t="n">
        <v>4.6</v>
      </c>
      <c r="H144" t="n">
        <v>0</v>
      </c>
      <c r="I144" t="n">
        <v>0</v>
      </c>
      <c r="J144" t="n">
        <v>0</v>
      </c>
      <c r="K144" t="n">
        <v>0</v>
      </c>
      <c r="L144" t="n">
        <v>0</v>
      </c>
      <c r="M144" t="n">
        <v>0</v>
      </c>
      <c r="N144" t="n">
        <v>0</v>
      </c>
      <c r="O144" t="n">
        <v>0</v>
      </c>
      <c r="P144" t="n">
        <v>0</v>
      </c>
      <c r="Q144" t="n">
        <v>0</v>
      </c>
      <c r="R144" s="2" t="inlineStr"/>
    </row>
    <row r="145" ht="15" customHeight="1">
      <c r="A145" t="inlineStr">
        <is>
          <t>A 2794-2020</t>
        </is>
      </c>
      <c r="B145" s="1" t="n">
        <v>43850</v>
      </c>
      <c r="C145" s="1" t="n">
        <v>45513</v>
      </c>
      <c r="D145" t="inlineStr">
        <is>
          <t>VÄSTERNORRLANDS LÄN</t>
        </is>
      </c>
      <c r="E145" t="inlineStr">
        <is>
          <t>KRAMFORS</t>
        </is>
      </c>
      <c r="G145" t="n">
        <v>2.4</v>
      </c>
      <c r="H145" t="n">
        <v>0</v>
      </c>
      <c r="I145" t="n">
        <v>0</v>
      </c>
      <c r="J145" t="n">
        <v>0</v>
      </c>
      <c r="K145" t="n">
        <v>0</v>
      </c>
      <c r="L145" t="n">
        <v>0</v>
      </c>
      <c r="M145" t="n">
        <v>0</v>
      </c>
      <c r="N145" t="n">
        <v>0</v>
      </c>
      <c r="O145" t="n">
        <v>0</v>
      </c>
      <c r="P145" t="n">
        <v>0</v>
      </c>
      <c r="Q145" t="n">
        <v>0</v>
      </c>
      <c r="R145" s="2" t="inlineStr"/>
    </row>
    <row r="146" ht="15" customHeight="1">
      <c r="A146" t="inlineStr">
        <is>
          <t>A 2793-2020</t>
        </is>
      </c>
      <c r="B146" s="1" t="n">
        <v>43850</v>
      </c>
      <c r="C146" s="1" t="n">
        <v>45513</v>
      </c>
      <c r="D146" t="inlineStr">
        <is>
          <t>VÄSTERNORRLANDS LÄN</t>
        </is>
      </c>
      <c r="E146" t="inlineStr">
        <is>
          <t>KRAMFORS</t>
        </is>
      </c>
      <c r="G146" t="n">
        <v>1.8</v>
      </c>
      <c r="H146" t="n">
        <v>0</v>
      </c>
      <c r="I146" t="n">
        <v>0</v>
      </c>
      <c r="J146" t="n">
        <v>0</v>
      </c>
      <c r="K146" t="n">
        <v>0</v>
      </c>
      <c r="L146" t="n">
        <v>0</v>
      </c>
      <c r="M146" t="n">
        <v>0</v>
      </c>
      <c r="N146" t="n">
        <v>0</v>
      </c>
      <c r="O146" t="n">
        <v>0</v>
      </c>
      <c r="P146" t="n">
        <v>0</v>
      </c>
      <c r="Q146" t="n">
        <v>0</v>
      </c>
      <c r="R146" s="2" t="inlineStr"/>
    </row>
    <row r="147" ht="15" customHeight="1">
      <c r="A147" t="inlineStr">
        <is>
          <t>A 3496-2020</t>
        </is>
      </c>
      <c r="B147" s="1" t="n">
        <v>43852</v>
      </c>
      <c r="C147" s="1" t="n">
        <v>45513</v>
      </c>
      <c r="D147" t="inlineStr">
        <is>
          <t>VÄSTERNORRLANDS LÄN</t>
        </is>
      </c>
      <c r="E147" t="inlineStr">
        <is>
          <t>KRAMFORS</t>
        </is>
      </c>
      <c r="G147" t="n">
        <v>0.8</v>
      </c>
      <c r="H147" t="n">
        <v>0</v>
      </c>
      <c r="I147" t="n">
        <v>0</v>
      </c>
      <c r="J147" t="n">
        <v>0</v>
      </c>
      <c r="K147" t="n">
        <v>0</v>
      </c>
      <c r="L147" t="n">
        <v>0</v>
      </c>
      <c r="M147" t="n">
        <v>0</v>
      </c>
      <c r="N147" t="n">
        <v>0</v>
      </c>
      <c r="O147" t="n">
        <v>0</v>
      </c>
      <c r="P147" t="n">
        <v>0</v>
      </c>
      <c r="Q147" t="n">
        <v>0</v>
      </c>
      <c r="R147" s="2" t="inlineStr"/>
    </row>
    <row r="148" ht="15" customHeight="1">
      <c r="A148" t="inlineStr">
        <is>
          <t>A 3490-2020</t>
        </is>
      </c>
      <c r="B148" s="1" t="n">
        <v>43852</v>
      </c>
      <c r="C148" s="1" t="n">
        <v>45513</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5707-2020</t>
        </is>
      </c>
      <c r="B149" s="1" t="n">
        <v>43861</v>
      </c>
      <c r="C149" s="1" t="n">
        <v>45513</v>
      </c>
      <c r="D149" t="inlineStr">
        <is>
          <t>VÄSTERNORRLANDS LÄN</t>
        </is>
      </c>
      <c r="E149" t="inlineStr">
        <is>
          <t>KRAMFORS</t>
        </is>
      </c>
      <c r="G149" t="n">
        <v>3.9</v>
      </c>
      <c r="H149" t="n">
        <v>0</v>
      </c>
      <c r="I149" t="n">
        <v>0</v>
      </c>
      <c r="J149" t="n">
        <v>0</v>
      </c>
      <c r="K149" t="n">
        <v>0</v>
      </c>
      <c r="L149" t="n">
        <v>0</v>
      </c>
      <c r="M149" t="n">
        <v>0</v>
      </c>
      <c r="N149" t="n">
        <v>0</v>
      </c>
      <c r="O149" t="n">
        <v>0</v>
      </c>
      <c r="P149" t="n">
        <v>0</v>
      </c>
      <c r="Q149" t="n">
        <v>0</v>
      </c>
      <c r="R149" s="2" t="inlineStr"/>
    </row>
    <row r="150" ht="15" customHeight="1">
      <c r="A150" t="inlineStr">
        <is>
          <t>A 6269-2020</t>
        </is>
      </c>
      <c r="B150" s="1" t="n">
        <v>43866</v>
      </c>
      <c r="C150" s="1" t="n">
        <v>45513</v>
      </c>
      <c r="D150" t="inlineStr">
        <is>
          <t>VÄSTERNORRLANDS LÄN</t>
        </is>
      </c>
      <c r="E150" t="inlineStr">
        <is>
          <t>KRAMFORS</t>
        </is>
      </c>
      <c r="G150" t="n">
        <v>1.8</v>
      </c>
      <c r="H150" t="n">
        <v>0</v>
      </c>
      <c r="I150" t="n">
        <v>0</v>
      </c>
      <c r="J150" t="n">
        <v>0</v>
      </c>
      <c r="K150" t="n">
        <v>0</v>
      </c>
      <c r="L150" t="n">
        <v>0</v>
      </c>
      <c r="M150" t="n">
        <v>0</v>
      </c>
      <c r="N150" t="n">
        <v>0</v>
      </c>
      <c r="O150" t="n">
        <v>0</v>
      </c>
      <c r="P150" t="n">
        <v>0</v>
      </c>
      <c r="Q150" t="n">
        <v>0</v>
      </c>
      <c r="R150" s="2" t="inlineStr"/>
    </row>
    <row r="151" ht="15" customHeight="1">
      <c r="A151" t="inlineStr">
        <is>
          <t>A 8130-2020</t>
        </is>
      </c>
      <c r="B151" s="1" t="n">
        <v>43867</v>
      </c>
      <c r="C151" s="1" t="n">
        <v>45513</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7175-2020</t>
        </is>
      </c>
      <c r="B152" s="1" t="n">
        <v>43868</v>
      </c>
      <c r="C152" s="1" t="n">
        <v>45513</v>
      </c>
      <c r="D152" t="inlineStr">
        <is>
          <t>VÄSTERNORRLANDS LÄN</t>
        </is>
      </c>
      <c r="E152" t="inlineStr">
        <is>
          <t>KRAMFORS</t>
        </is>
      </c>
      <c r="G152" t="n">
        <v>3.5</v>
      </c>
      <c r="H152" t="n">
        <v>0</v>
      </c>
      <c r="I152" t="n">
        <v>0</v>
      </c>
      <c r="J152" t="n">
        <v>0</v>
      </c>
      <c r="K152" t="n">
        <v>0</v>
      </c>
      <c r="L152" t="n">
        <v>0</v>
      </c>
      <c r="M152" t="n">
        <v>0</v>
      </c>
      <c r="N152" t="n">
        <v>0</v>
      </c>
      <c r="O152" t="n">
        <v>0</v>
      </c>
      <c r="P152" t="n">
        <v>0</v>
      </c>
      <c r="Q152" t="n">
        <v>0</v>
      </c>
      <c r="R152" s="2" t="inlineStr"/>
    </row>
    <row r="153" ht="15" customHeight="1">
      <c r="A153" t="inlineStr">
        <is>
          <t>A 8487-2020</t>
        </is>
      </c>
      <c r="B153" s="1" t="n">
        <v>43874</v>
      </c>
      <c r="C153" s="1" t="n">
        <v>45513</v>
      </c>
      <c r="D153" t="inlineStr">
        <is>
          <t>VÄSTERNORRLANDS LÄN</t>
        </is>
      </c>
      <c r="E153" t="inlineStr">
        <is>
          <t>KRAMFORS</t>
        </is>
      </c>
      <c r="G153" t="n">
        <v>1.2</v>
      </c>
      <c r="H153" t="n">
        <v>0</v>
      </c>
      <c r="I153" t="n">
        <v>0</v>
      </c>
      <c r="J153" t="n">
        <v>0</v>
      </c>
      <c r="K153" t="n">
        <v>0</v>
      </c>
      <c r="L153" t="n">
        <v>0</v>
      </c>
      <c r="M153" t="n">
        <v>0</v>
      </c>
      <c r="N153" t="n">
        <v>0</v>
      </c>
      <c r="O153" t="n">
        <v>0</v>
      </c>
      <c r="P153" t="n">
        <v>0</v>
      </c>
      <c r="Q153" t="n">
        <v>0</v>
      </c>
      <c r="R153" s="2" t="inlineStr"/>
    </row>
    <row r="154" ht="15" customHeight="1">
      <c r="A154" t="inlineStr">
        <is>
          <t>A 8486-2020</t>
        </is>
      </c>
      <c r="B154" s="1" t="n">
        <v>43875</v>
      </c>
      <c r="C154" s="1" t="n">
        <v>45513</v>
      </c>
      <c r="D154" t="inlineStr">
        <is>
          <t>VÄSTERNORRLANDS LÄN</t>
        </is>
      </c>
      <c r="E154" t="inlineStr">
        <is>
          <t>KRAMFORS</t>
        </is>
      </c>
      <c r="F154" t="inlineStr">
        <is>
          <t>Kommuner</t>
        </is>
      </c>
      <c r="G154" t="n">
        <v>0.8</v>
      </c>
      <c r="H154" t="n">
        <v>0</v>
      </c>
      <c r="I154" t="n">
        <v>0</v>
      </c>
      <c r="J154" t="n">
        <v>0</v>
      </c>
      <c r="K154" t="n">
        <v>0</v>
      </c>
      <c r="L154" t="n">
        <v>0</v>
      </c>
      <c r="M154" t="n">
        <v>0</v>
      </c>
      <c r="N154" t="n">
        <v>0</v>
      </c>
      <c r="O154" t="n">
        <v>0</v>
      </c>
      <c r="P154" t="n">
        <v>0</v>
      </c>
      <c r="Q154" t="n">
        <v>0</v>
      </c>
      <c r="R154" s="2" t="inlineStr"/>
    </row>
    <row r="155" ht="15" customHeight="1">
      <c r="A155" t="inlineStr">
        <is>
          <t>A 8524-2020</t>
        </is>
      </c>
      <c r="B155" s="1" t="n">
        <v>43875</v>
      </c>
      <c r="C155" s="1" t="n">
        <v>45513</v>
      </c>
      <c r="D155" t="inlineStr">
        <is>
          <t>VÄSTERNORRLANDS LÄN</t>
        </is>
      </c>
      <c r="E155" t="inlineStr">
        <is>
          <t>KRAMFORS</t>
        </is>
      </c>
      <c r="F155" t="inlineStr">
        <is>
          <t>Kommuner</t>
        </is>
      </c>
      <c r="G155" t="n">
        <v>0.7</v>
      </c>
      <c r="H155" t="n">
        <v>0</v>
      </c>
      <c r="I155" t="n">
        <v>0</v>
      </c>
      <c r="J155" t="n">
        <v>0</v>
      </c>
      <c r="K155" t="n">
        <v>0</v>
      </c>
      <c r="L155" t="n">
        <v>0</v>
      </c>
      <c r="M155" t="n">
        <v>0</v>
      </c>
      <c r="N155" t="n">
        <v>0</v>
      </c>
      <c r="O155" t="n">
        <v>0</v>
      </c>
      <c r="P155" t="n">
        <v>0</v>
      </c>
      <c r="Q155" t="n">
        <v>0</v>
      </c>
      <c r="R155" s="2" t="inlineStr"/>
    </row>
    <row r="156" ht="15" customHeight="1">
      <c r="A156" t="inlineStr">
        <is>
          <t>A 8479-2020</t>
        </is>
      </c>
      <c r="B156" s="1" t="n">
        <v>43875</v>
      </c>
      <c r="C156" s="1" t="n">
        <v>45513</v>
      </c>
      <c r="D156" t="inlineStr">
        <is>
          <t>VÄSTERNORRLANDS LÄN</t>
        </is>
      </c>
      <c r="E156" t="inlineStr">
        <is>
          <t>KRAMFORS</t>
        </is>
      </c>
      <c r="G156" t="n">
        <v>0.7</v>
      </c>
      <c r="H156" t="n">
        <v>0</v>
      </c>
      <c r="I156" t="n">
        <v>0</v>
      </c>
      <c r="J156" t="n">
        <v>0</v>
      </c>
      <c r="K156" t="n">
        <v>0</v>
      </c>
      <c r="L156" t="n">
        <v>0</v>
      </c>
      <c r="M156" t="n">
        <v>0</v>
      </c>
      <c r="N156" t="n">
        <v>0</v>
      </c>
      <c r="O156" t="n">
        <v>0</v>
      </c>
      <c r="P156" t="n">
        <v>0</v>
      </c>
      <c r="Q156" t="n">
        <v>0</v>
      </c>
      <c r="R156" s="2" t="inlineStr"/>
    </row>
    <row r="157" ht="15" customHeight="1">
      <c r="A157" t="inlineStr">
        <is>
          <t>A 8525-2020</t>
        </is>
      </c>
      <c r="B157" s="1" t="n">
        <v>43875</v>
      </c>
      <c r="C157" s="1" t="n">
        <v>45513</v>
      </c>
      <c r="D157" t="inlineStr">
        <is>
          <t>VÄSTERNORRLANDS LÄN</t>
        </is>
      </c>
      <c r="E157" t="inlineStr">
        <is>
          <t>KRAMFORS</t>
        </is>
      </c>
      <c r="F157" t="inlineStr">
        <is>
          <t>Kommuner</t>
        </is>
      </c>
      <c r="G157" t="n">
        <v>0.7</v>
      </c>
      <c r="H157" t="n">
        <v>0</v>
      </c>
      <c r="I157" t="n">
        <v>0</v>
      </c>
      <c r="J157" t="n">
        <v>0</v>
      </c>
      <c r="K157" t="n">
        <v>0</v>
      </c>
      <c r="L157" t="n">
        <v>0</v>
      </c>
      <c r="M157" t="n">
        <v>0</v>
      </c>
      <c r="N157" t="n">
        <v>0</v>
      </c>
      <c r="O157" t="n">
        <v>0</v>
      </c>
      <c r="P157" t="n">
        <v>0</v>
      </c>
      <c r="Q157" t="n">
        <v>0</v>
      </c>
      <c r="R157" s="2" t="inlineStr"/>
    </row>
    <row r="158" ht="15" customHeight="1">
      <c r="A158" t="inlineStr">
        <is>
          <t>A 9674-2020</t>
        </is>
      </c>
      <c r="B158" s="1" t="n">
        <v>43881</v>
      </c>
      <c r="C158" s="1" t="n">
        <v>45513</v>
      </c>
      <c r="D158" t="inlineStr">
        <is>
          <t>VÄSTERNORRLANDS LÄN</t>
        </is>
      </c>
      <c r="E158" t="inlineStr">
        <is>
          <t>KRAMFORS</t>
        </is>
      </c>
      <c r="G158" t="n">
        <v>25</v>
      </c>
      <c r="H158" t="n">
        <v>0</v>
      </c>
      <c r="I158" t="n">
        <v>0</v>
      </c>
      <c r="J158" t="n">
        <v>0</v>
      </c>
      <c r="K158" t="n">
        <v>0</v>
      </c>
      <c r="L158" t="n">
        <v>0</v>
      </c>
      <c r="M158" t="n">
        <v>0</v>
      </c>
      <c r="N158" t="n">
        <v>0</v>
      </c>
      <c r="O158" t="n">
        <v>0</v>
      </c>
      <c r="P158" t="n">
        <v>0</v>
      </c>
      <c r="Q158" t="n">
        <v>0</v>
      </c>
      <c r="R158" s="2" t="inlineStr"/>
    </row>
    <row r="159" ht="15" customHeight="1">
      <c r="A159" t="inlineStr">
        <is>
          <t>A 9836-2020</t>
        </is>
      </c>
      <c r="B159" s="1" t="n">
        <v>43881</v>
      </c>
      <c r="C159" s="1" t="n">
        <v>45513</v>
      </c>
      <c r="D159" t="inlineStr">
        <is>
          <t>VÄSTERNORRLANDS LÄN</t>
        </is>
      </c>
      <c r="E159" t="inlineStr">
        <is>
          <t>KRAMFORS</t>
        </is>
      </c>
      <c r="G159" t="n">
        <v>3.2</v>
      </c>
      <c r="H159" t="n">
        <v>0</v>
      </c>
      <c r="I159" t="n">
        <v>0</v>
      </c>
      <c r="J159" t="n">
        <v>0</v>
      </c>
      <c r="K159" t="n">
        <v>0</v>
      </c>
      <c r="L159" t="n">
        <v>0</v>
      </c>
      <c r="M159" t="n">
        <v>0</v>
      </c>
      <c r="N159" t="n">
        <v>0</v>
      </c>
      <c r="O159" t="n">
        <v>0</v>
      </c>
      <c r="P159" t="n">
        <v>0</v>
      </c>
      <c r="Q159" t="n">
        <v>0</v>
      </c>
      <c r="R159" s="2" t="inlineStr"/>
    </row>
    <row r="160" ht="15" customHeight="1">
      <c r="A160" t="inlineStr">
        <is>
          <t>A 12464-2020</t>
        </is>
      </c>
      <c r="B160" s="1" t="n">
        <v>43892</v>
      </c>
      <c r="C160" s="1" t="n">
        <v>45513</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14092-2020</t>
        </is>
      </c>
      <c r="B161" s="1" t="n">
        <v>43899</v>
      </c>
      <c r="C161" s="1" t="n">
        <v>45513</v>
      </c>
      <c r="D161" t="inlineStr">
        <is>
          <t>VÄSTERNORRLANDS LÄN</t>
        </is>
      </c>
      <c r="E161" t="inlineStr">
        <is>
          <t>KRAMFORS</t>
        </is>
      </c>
      <c r="G161" t="n">
        <v>1.3</v>
      </c>
      <c r="H161" t="n">
        <v>0</v>
      </c>
      <c r="I161" t="n">
        <v>0</v>
      </c>
      <c r="J161" t="n">
        <v>0</v>
      </c>
      <c r="K161" t="n">
        <v>0</v>
      </c>
      <c r="L161" t="n">
        <v>0</v>
      </c>
      <c r="M161" t="n">
        <v>0</v>
      </c>
      <c r="N161" t="n">
        <v>0</v>
      </c>
      <c r="O161" t="n">
        <v>0</v>
      </c>
      <c r="P161" t="n">
        <v>0</v>
      </c>
      <c r="Q161" t="n">
        <v>0</v>
      </c>
      <c r="R161" s="2" t="inlineStr"/>
    </row>
    <row r="162" ht="15" customHeight="1">
      <c r="A162" t="inlineStr">
        <is>
          <t>A 14086-2020</t>
        </is>
      </c>
      <c r="B162" s="1" t="n">
        <v>43899</v>
      </c>
      <c r="C162" s="1" t="n">
        <v>45513</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14861-2020</t>
        </is>
      </c>
      <c r="B163" s="1" t="n">
        <v>43909</v>
      </c>
      <c r="C163" s="1" t="n">
        <v>45513</v>
      </c>
      <c r="D163" t="inlineStr">
        <is>
          <t>VÄSTERNORRLANDS LÄN</t>
        </is>
      </c>
      <c r="E163" t="inlineStr">
        <is>
          <t>KRAMFORS</t>
        </is>
      </c>
      <c r="G163" t="n">
        <v>0.6</v>
      </c>
      <c r="H163" t="n">
        <v>0</v>
      </c>
      <c r="I163" t="n">
        <v>0</v>
      </c>
      <c r="J163" t="n">
        <v>0</v>
      </c>
      <c r="K163" t="n">
        <v>0</v>
      </c>
      <c r="L163" t="n">
        <v>0</v>
      </c>
      <c r="M163" t="n">
        <v>0</v>
      </c>
      <c r="N163" t="n">
        <v>0</v>
      </c>
      <c r="O163" t="n">
        <v>0</v>
      </c>
      <c r="P163" t="n">
        <v>0</v>
      </c>
      <c r="Q163" t="n">
        <v>0</v>
      </c>
      <c r="R163" s="2" t="inlineStr"/>
    </row>
    <row r="164" ht="15" customHeight="1">
      <c r="A164" t="inlineStr">
        <is>
          <t>A 16160-2020</t>
        </is>
      </c>
      <c r="B164" s="1" t="n">
        <v>43916</v>
      </c>
      <c r="C164" s="1" t="n">
        <v>45513</v>
      </c>
      <c r="D164" t="inlineStr">
        <is>
          <t>VÄSTERNORRLANDS LÄN</t>
        </is>
      </c>
      <c r="E164" t="inlineStr">
        <is>
          <t>KRAMFORS</t>
        </is>
      </c>
      <c r="G164" t="n">
        <v>2.1</v>
      </c>
      <c r="H164" t="n">
        <v>0</v>
      </c>
      <c r="I164" t="n">
        <v>0</v>
      </c>
      <c r="J164" t="n">
        <v>0</v>
      </c>
      <c r="K164" t="n">
        <v>0</v>
      </c>
      <c r="L164" t="n">
        <v>0</v>
      </c>
      <c r="M164" t="n">
        <v>0</v>
      </c>
      <c r="N164" t="n">
        <v>0</v>
      </c>
      <c r="O164" t="n">
        <v>0</v>
      </c>
      <c r="P164" t="n">
        <v>0</v>
      </c>
      <c r="Q164" t="n">
        <v>0</v>
      </c>
      <c r="R164" s="2" t="inlineStr"/>
    </row>
    <row r="165" ht="15" customHeight="1">
      <c r="A165" t="inlineStr">
        <is>
          <t>A 19000-2020</t>
        </is>
      </c>
      <c r="B165" s="1" t="n">
        <v>43935</v>
      </c>
      <c r="C165" s="1" t="n">
        <v>45513</v>
      </c>
      <c r="D165" t="inlineStr">
        <is>
          <t>VÄSTERNORRLANDS LÄN</t>
        </is>
      </c>
      <c r="E165" t="inlineStr">
        <is>
          <t>KRAMFORS</t>
        </is>
      </c>
      <c r="G165" t="n">
        <v>1.1</v>
      </c>
      <c r="H165" t="n">
        <v>0</v>
      </c>
      <c r="I165" t="n">
        <v>0</v>
      </c>
      <c r="J165" t="n">
        <v>0</v>
      </c>
      <c r="K165" t="n">
        <v>0</v>
      </c>
      <c r="L165" t="n">
        <v>0</v>
      </c>
      <c r="M165" t="n">
        <v>0</v>
      </c>
      <c r="N165" t="n">
        <v>0</v>
      </c>
      <c r="O165" t="n">
        <v>0</v>
      </c>
      <c r="P165" t="n">
        <v>0</v>
      </c>
      <c r="Q165" t="n">
        <v>0</v>
      </c>
      <c r="R165" s="2" t="inlineStr"/>
    </row>
    <row r="166" ht="15" customHeight="1">
      <c r="A166" t="inlineStr">
        <is>
          <t>A 19164-2020</t>
        </is>
      </c>
      <c r="B166" s="1" t="n">
        <v>43936</v>
      </c>
      <c r="C166" s="1" t="n">
        <v>45513</v>
      </c>
      <c r="D166" t="inlineStr">
        <is>
          <t>VÄSTERNORRLANDS LÄN</t>
        </is>
      </c>
      <c r="E166" t="inlineStr">
        <is>
          <t>KRAMFORS</t>
        </is>
      </c>
      <c r="G166" t="n">
        <v>4.8</v>
      </c>
      <c r="H166" t="n">
        <v>0</v>
      </c>
      <c r="I166" t="n">
        <v>0</v>
      </c>
      <c r="J166" t="n">
        <v>0</v>
      </c>
      <c r="K166" t="n">
        <v>0</v>
      </c>
      <c r="L166" t="n">
        <v>0</v>
      </c>
      <c r="M166" t="n">
        <v>0</v>
      </c>
      <c r="N166" t="n">
        <v>0</v>
      </c>
      <c r="O166" t="n">
        <v>0</v>
      </c>
      <c r="P166" t="n">
        <v>0</v>
      </c>
      <c r="Q166" t="n">
        <v>0</v>
      </c>
      <c r="R166" s="2" t="inlineStr"/>
    </row>
    <row r="167" ht="15" customHeight="1">
      <c r="A167" t="inlineStr">
        <is>
          <t>A 19708-2020</t>
        </is>
      </c>
      <c r="B167" s="1" t="n">
        <v>43937</v>
      </c>
      <c r="C167" s="1" t="n">
        <v>45513</v>
      </c>
      <c r="D167" t="inlineStr">
        <is>
          <t>VÄSTERNORRLANDS LÄN</t>
        </is>
      </c>
      <c r="E167" t="inlineStr">
        <is>
          <t>KRAMFORS</t>
        </is>
      </c>
      <c r="F167" t="inlineStr">
        <is>
          <t>Kyrkan</t>
        </is>
      </c>
      <c r="G167" t="n">
        <v>6.4</v>
      </c>
      <c r="H167" t="n">
        <v>0</v>
      </c>
      <c r="I167" t="n">
        <v>0</v>
      </c>
      <c r="J167" t="n">
        <v>0</v>
      </c>
      <c r="K167" t="n">
        <v>0</v>
      </c>
      <c r="L167" t="n">
        <v>0</v>
      </c>
      <c r="M167" t="n">
        <v>0</v>
      </c>
      <c r="N167" t="n">
        <v>0</v>
      </c>
      <c r="O167" t="n">
        <v>0</v>
      </c>
      <c r="P167" t="n">
        <v>0</v>
      </c>
      <c r="Q167" t="n">
        <v>0</v>
      </c>
      <c r="R167" s="2" t="inlineStr"/>
    </row>
    <row r="168" ht="15" customHeight="1">
      <c r="A168" t="inlineStr">
        <is>
          <t>A 21021-2020</t>
        </is>
      </c>
      <c r="B168" s="1" t="n">
        <v>43950</v>
      </c>
      <c r="C168" s="1" t="n">
        <v>45513</v>
      </c>
      <c r="D168" t="inlineStr">
        <is>
          <t>VÄSTERNORRLANDS LÄN</t>
        </is>
      </c>
      <c r="E168" t="inlineStr">
        <is>
          <t>KRAMFORS</t>
        </is>
      </c>
      <c r="F168" t="inlineStr">
        <is>
          <t>SCA</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22369-2020</t>
        </is>
      </c>
      <c r="B169" s="1" t="n">
        <v>43957</v>
      </c>
      <c r="C169" s="1" t="n">
        <v>45513</v>
      </c>
      <c r="D169" t="inlineStr">
        <is>
          <t>VÄSTERNORRLANDS LÄN</t>
        </is>
      </c>
      <c r="E169" t="inlineStr">
        <is>
          <t>KRAMFORS</t>
        </is>
      </c>
      <c r="G169" t="n">
        <v>1.5</v>
      </c>
      <c r="H169" t="n">
        <v>0</v>
      </c>
      <c r="I169" t="n">
        <v>0</v>
      </c>
      <c r="J169" t="n">
        <v>0</v>
      </c>
      <c r="K169" t="n">
        <v>0</v>
      </c>
      <c r="L169" t="n">
        <v>0</v>
      </c>
      <c r="M169" t="n">
        <v>0</v>
      </c>
      <c r="N169" t="n">
        <v>0</v>
      </c>
      <c r="O169" t="n">
        <v>0</v>
      </c>
      <c r="P169" t="n">
        <v>0</v>
      </c>
      <c r="Q169" t="n">
        <v>0</v>
      </c>
      <c r="R169" s="2" t="inlineStr"/>
    </row>
    <row r="170" ht="15" customHeight="1">
      <c r="A170" t="inlineStr">
        <is>
          <t>A 22698-2020</t>
        </is>
      </c>
      <c r="B170" s="1" t="n">
        <v>43963</v>
      </c>
      <c r="C170" s="1" t="n">
        <v>45513</v>
      </c>
      <c r="D170" t="inlineStr">
        <is>
          <t>VÄSTERNORRLANDS LÄN</t>
        </is>
      </c>
      <c r="E170" t="inlineStr">
        <is>
          <t>KRAMFORS</t>
        </is>
      </c>
      <c r="F170" t="inlineStr">
        <is>
          <t>SCA</t>
        </is>
      </c>
      <c r="G170" t="n">
        <v>8.5</v>
      </c>
      <c r="H170" t="n">
        <v>0</v>
      </c>
      <c r="I170" t="n">
        <v>0</v>
      </c>
      <c r="J170" t="n">
        <v>0</v>
      </c>
      <c r="K170" t="n">
        <v>0</v>
      </c>
      <c r="L170" t="n">
        <v>0</v>
      </c>
      <c r="M170" t="n">
        <v>0</v>
      </c>
      <c r="N170" t="n">
        <v>0</v>
      </c>
      <c r="O170" t="n">
        <v>0</v>
      </c>
      <c r="P170" t="n">
        <v>0</v>
      </c>
      <c r="Q170" t="n">
        <v>0</v>
      </c>
      <c r="R170" s="2" t="inlineStr"/>
    </row>
    <row r="171" ht="15" customHeight="1">
      <c r="A171" t="inlineStr">
        <is>
          <t>A 22829-2020</t>
        </is>
      </c>
      <c r="B171" s="1" t="n">
        <v>43964</v>
      </c>
      <c r="C171" s="1" t="n">
        <v>45513</v>
      </c>
      <c r="D171" t="inlineStr">
        <is>
          <t>VÄSTERNORRLANDS LÄN</t>
        </is>
      </c>
      <c r="E171" t="inlineStr">
        <is>
          <t>KRAMFORS</t>
        </is>
      </c>
      <c r="G171" t="n">
        <v>1.1</v>
      </c>
      <c r="H171" t="n">
        <v>0</v>
      </c>
      <c r="I171" t="n">
        <v>0</v>
      </c>
      <c r="J171" t="n">
        <v>0</v>
      </c>
      <c r="K171" t="n">
        <v>0</v>
      </c>
      <c r="L171" t="n">
        <v>0</v>
      </c>
      <c r="M171" t="n">
        <v>0</v>
      </c>
      <c r="N171" t="n">
        <v>0</v>
      </c>
      <c r="O171" t="n">
        <v>0</v>
      </c>
      <c r="P171" t="n">
        <v>0</v>
      </c>
      <c r="Q171" t="n">
        <v>0</v>
      </c>
      <c r="R171" s="2" t="inlineStr"/>
    </row>
    <row r="172" ht="15" customHeight="1">
      <c r="A172" t="inlineStr">
        <is>
          <t>A 22841-2020</t>
        </is>
      </c>
      <c r="B172" s="1" t="n">
        <v>43964</v>
      </c>
      <c r="C172" s="1" t="n">
        <v>45513</v>
      </c>
      <c r="D172" t="inlineStr">
        <is>
          <t>VÄSTERNORRLANDS LÄN</t>
        </is>
      </c>
      <c r="E172" t="inlineStr">
        <is>
          <t>KRAMFORS</t>
        </is>
      </c>
      <c r="G172" t="n">
        <v>0.9</v>
      </c>
      <c r="H172" t="n">
        <v>0</v>
      </c>
      <c r="I172" t="n">
        <v>0</v>
      </c>
      <c r="J172" t="n">
        <v>0</v>
      </c>
      <c r="K172" t="n">
        <v>0</v>
      </c>
      <c r="L172" t="n">
        <v>0</v>
      </c>
      <c r="M172" t="n">
        <v>0</v>
      </c>
      <c r="N172" t="n">
        <v>0</v>
      </c>
      <c r="O172" t="n">
        <v>0</v>
      </c>
      <c r="P172" t="n">
        <v>0</v>
      </c>
      <c r="Q172" t="n">
        <v>0</v>
      </c>
      <c r="R172" s="2" t="inlineStr"/>
    </row>
    <row r="173" ht="15" customHeight="1">
      <c r="A173" t="inlineStr">
        <is>
          <t>A 23752-2020</t>
        </is>
      </c>
      <c r="B173" s="1" t="n">
        <v>43969</v>
      </c>
      <c r="C173" s="1" t="n">
        <v>45513</v>
      </c>
      <c r="D173" t="inlineStr">
        <is>
          <t>VÄSTERNORRLANDS LÄN</t>
        </is>
      </c>
      <c r="E173" t="inlineStr">
        <is>
          <t>KRAMFORS</t>
        </is>
      </c>
      <c r="G173" t="n">
        <v>4.1</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45513</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45513</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45513</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45513</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45513</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45513</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45513</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45513</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45513</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45513</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45513</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45513</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45513</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45513</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45513</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45513</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45513</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45513</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45513</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45513</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45513</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45513</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45513</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45513</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45513</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45513</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45513</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45513</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45513</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45513</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45513</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45513</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45513</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45513</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45513</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45513</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45513</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45513</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45513</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45513</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45513</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45513</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45513</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45513</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45513</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45513</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45513</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45513</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45513</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45513</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45513</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45513</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45513</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45513</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45513</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45513</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45513</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45513</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45513</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45513</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45513</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45513</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45513</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45513</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45513</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45513</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45513</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45513</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45513</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45513</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45513</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45513</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45513</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45513</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45513</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45513</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45513</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45513</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45513</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45513</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45513</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45513</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45513</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45513</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45513</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45513</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45513</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45513</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45513</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45513</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45513</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45513</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45513</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45513</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45513</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45513</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45513</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45513</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45513</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45513</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45513</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45513</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45513</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45513</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45513</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45513</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45513</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45513</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45513</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45513</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45513</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45513</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45513</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45513</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45513</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45513</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45513</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45513</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45513</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45513</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45513</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45513</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45513</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45513</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45513</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45513</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45513</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45513</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45513</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45513</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45513</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45513</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45513</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45513</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45513</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45513</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45513</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45513</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45513</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45513</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45513</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45513</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45513</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45513</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45513</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45513</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45513</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45513</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45513</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45513</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45513</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45513</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45513</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45513</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45513</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45513</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45513</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45513</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45513</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45513</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45513</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45513</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45513</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45513</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45513</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45513</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45513</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45513</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45513</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45513</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45513</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45513</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45513</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45513</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45513</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45513</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45513</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45513</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45513</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45513</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45513</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45513</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45513</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45513</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45513</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45513</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45513</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45513</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45513</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45513</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45513</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45513</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45513</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45513</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45513</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45513</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45513</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45513</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45513</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45513</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45513</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45513</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45513</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45513</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45513</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45513</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45513</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45513</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45513</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45513</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45513</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45513</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45513</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45513</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45513</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45513</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45513</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45513</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45513</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45513</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45513</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45513</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45513</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45513</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45513</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45513</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45513</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45513</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45513</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45513</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45513</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45513</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45513</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45513</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45513</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45513</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45513</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45513</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45513</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45513</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45513</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45513</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45513</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45513</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45513</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45513</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45513</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45513</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45513</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45513</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45513</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45513</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45513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45513</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45513</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45513</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45513</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45513</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45513</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45513</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45513</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45513</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45513</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45513</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45513</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45513</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45513</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45513</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45513</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45513</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45513</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45513</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45513</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45513</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45513</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45513</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45513</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45513</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45513</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45513</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45513</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45513</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45513</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45513</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45513</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45513</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45513</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45513</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45513</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45513</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45513</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45513</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45513</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45513</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45513</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45513</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45513</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45513</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45513</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45513</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45513</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45513</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45513</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45513</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45513</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45513</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45513</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45513</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45513</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45513</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45513</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45513</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45513</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45513</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45513</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45513</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45513</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45513</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45513</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45513</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45513</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45513</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45513</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45513</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45513</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45513</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45513</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45513</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45513</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45513</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45513</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45513</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45513</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45513</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45513</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45513</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45513</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45513</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45513</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45513</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45513</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45513</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45513</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45513</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45513</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45513</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45513</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45513</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45513</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45513</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45513</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45513</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45513</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45513</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45513</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45513</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45513</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45513</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45513</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45513</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45513</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45513</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45513</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45513</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45513</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45513</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45513</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45513</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45513</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45513</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45513</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45513</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45513</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45513</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45513</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45513</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45513</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45513</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45513</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45513</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45513</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45513</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45513</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45513</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45513</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45513</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45513</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45513</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45513</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45513</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45513</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45513</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45513</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45513</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45513</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45513</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45513</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45513</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45513</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45513</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45513</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45513</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45513</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45513</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45513</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45513</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45513</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45513</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45513</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45513</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45513</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45513</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45513</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45513</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45513</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45513</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45513</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45513</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45513</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45513</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45513</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45513</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45513</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45513</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45513</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45513</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45513</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45513</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45513</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45513</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45513</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45513</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45513</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45513</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45513</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45513</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45513</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45513</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45513</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45513</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45513</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45513</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45513</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45513</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45513</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45513</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45513</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45513</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45513</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45513</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45513</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45513</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45513</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45513</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45513</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45513</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45513</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45513</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45513</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45513</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45513</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45513</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45513</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45513</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45513</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45513</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45513</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45513</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45513</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45513</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45513</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45513</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45513</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45513</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45513</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45513</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45513</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45513</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45513</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45513</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45513</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45513</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45513</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45513</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45513</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45513</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45513</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45513</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45513</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45513</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45513</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45513</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45513</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45513</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45513</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45513</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45513</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45513</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45513</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45513</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45513</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45513</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45513</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45513</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45513</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45513</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45513</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45513</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45513</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45513</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45513</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45513</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45513</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45513</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45513</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45513</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45513</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45513</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45513</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45513</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45513</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45513</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45513</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45513</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45513</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45513</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45513</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45513</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45513</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45513</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45513</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45513</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45513</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45513</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45513</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45513</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45513</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45513</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45513</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45513</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45513</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45513</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45513</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45513</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45513</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45513</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45513</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45513</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45513</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45513</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45513</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45513</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45513</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45513</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45513</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45513</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45513</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45513</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45513</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45513</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45513</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45513</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45513</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45513</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45513</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45513</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45513</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45513</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45513</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45513</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45513</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45513</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45513</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45513</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45513</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45513</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45513</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45513</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45513</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45513</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45513</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45513</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45513</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45513</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45513</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45513</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45513</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45513</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45513</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45513</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45513</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45513</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45513</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45513</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45513</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45513</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45513</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45513</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45513</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45513</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45513</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45513</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45513</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45513</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45513</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45513</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45513</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45513</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45513</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45513</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45513</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45513</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45513</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45513</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45513</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45513</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45513</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45513</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45513</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45513</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45513</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45513</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45513</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45513</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45513</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45513</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45513</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45513</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45513</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45513</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45513</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45513</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45513</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45513</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45513</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45513</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45513</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45513</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45513</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45513</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45513</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45513</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45513</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45513</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45513</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45513</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45513</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45513</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45513</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45513</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45513</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45513</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45513</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45513</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45513</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45513</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45513</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45513</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45513</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45513</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45513</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45513</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45513</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45513</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45513</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45513</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45513</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45513</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45513</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45513</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45513</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45513</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45513</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45513</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45513</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45513</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45513</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45513</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45513</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45513</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45513</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45513</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45513</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45513</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45513</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45513</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45513</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45513</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45513</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45513</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45513</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45513</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45513</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45513</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45513</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45513</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45513</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45513</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45513</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45513</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45513</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45513</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45513</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45513</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45513</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45513</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45513</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45513</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45513</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45513</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45513</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45513</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45513</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45513</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45513</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45513</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45513</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45513</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45513</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45513</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45513</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45513</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45513</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45513</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45513</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45513</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45513</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45513</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45513</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45513</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45513</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45513</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45513</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45513</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45513</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45513</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45513</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45513</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45513</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45513</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45513</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45513</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45513</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45513</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45513</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45513</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45513</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45513</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45513</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45513</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45513</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45513</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45513</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45513</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45513</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45513</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45513</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45513</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45513</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45513</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45513</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45513</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45513</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45513</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45513</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45513</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45513</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45513</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45513</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45513</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45513</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45513</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45513</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45513</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45513</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45513</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45513</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45513</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45513</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45513</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45513</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45513</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45513</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45513</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45513</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45513</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45513</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45513</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45513</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45513</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45513</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45513</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45513</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45513</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45513</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45513</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45513</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45513</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45513</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45513</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45513</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45513</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45513</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45513</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45513</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45513</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45513</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45513</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45513</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45513</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45513</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45513</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45513</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45513</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45513</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45513</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45513</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45513</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45513</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45513</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45513</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45513</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45513</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45513</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45513</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45513</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45513</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45513</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45513</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45513</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45513</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45513</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45513</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45513</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45513</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45513</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45513</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45513</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45513</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45513</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45513</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45513</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45513</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45513</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45513</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45513</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45513</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45513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45513</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45513</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45513</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45513</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45513</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45513</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45513</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45513</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45513</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45513</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45513</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45513</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45513</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45513</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45513</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45513</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45513</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45513</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45513</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45513</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45513</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45513</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45513</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45513</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45513</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45513</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45513</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45513</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45513</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45513</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45513</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45513</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45513</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45513</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45513</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45513</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45513</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45513</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45513</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45513</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45513</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45513</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45513</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45513</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45513</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45513</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45513</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45513</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45513</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45513</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45513</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45513</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45513</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45513</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45513</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45513</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45513</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45513</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45513</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45513</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45513</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45513</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45513</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45513</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45513</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45513</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45513</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45513</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45513</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45513</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45513</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45513</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45513</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45513</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45513</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45513</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45513</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45513</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45513</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45513</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45513</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45513</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45513</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45513</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45513</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45513</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45513</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45513</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45513</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45513</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45513</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45513</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45513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45513</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45513</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45513</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45513</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45513</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45513</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45513</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45513</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45513</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45513</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45513</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45513</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45513</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45513</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45513</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45513</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45513</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45513</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45513</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45513</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45513</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45513</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45513</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45513</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45513</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45513</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45513</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45513</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45513</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45513</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45513</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45513</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45513</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45513</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45513</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45513</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45513</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45513</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45513</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45513</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45513</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45513</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45513</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45513</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45513</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45513</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45513</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45513</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45513</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29592-2024</t>
        </is>
      </c>
      <c r="B1164" s="1" t="n">
        <v>45484</v>
      </c>
      <c r="C1164" s="1" t="n">
        <v>45513</v>
      </c>
      <c r="D1164" t="inlineStr">
        <is>
          <t>VÄSTERNORRLANDS LÄN</t>
        </is>
      </c>
      <c r="E1164" t="inlineStr">
        <is>
          <t>KRAMFORS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29613-2024</t>
        </is>
      </c>
      <c r="B1165" s="1" t="n">
        <v>45484</v>
      </c>
      <c r="C1165" s="1" t="n">
        <v>45513</v>
      </c>
      <c r="D1165" t="inlineStr">
        <is>
          <t>VÄSTERNORRLANDS LÄN</t>
        </is>
      </c>
      <c r="E1165" t="inlineStr">
        <is>
          <t>KRAMFORS</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45513</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45513</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30458-2024</t>
        </is>
      </c>
      <c r="B1168" s="1" t="n">
        <v>45492</v>
      </c>
      <c r="C1168" s="1" t="n">
        <v>45513</v>
      </c>
      <c r="D1168" t="inlineStr">
        <is>
          <t>VÄSTERNORRLANDS LÄN</t>
        </is>
      </c>
      <c r="E1168" t="inlineStr">
        <is>
          <t>KRAMFORS</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30457-2024</t>
        </is>
      </c>
      <c r="B1169" s="1" t="n">
        <v>45492</v>
      </c>
      <c r="C1169" s="1" t="n">
        <v>45513</v>
      </c>
      <c r="D1169" t="inlineStr">
        <is>
          <t>VÄSTERNORRLANDS LÄN</t>
        </is>
      </c>
      <c r="E1169" t="inlineStr">
        <is>
          <t>KRAMFORS</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30456-2024</t>
        </is>
      </c>
      <c r="B1170" s="1" t="n">
        <v>45492</v>
      </c>
      <c r="C1170" s="1" t="n">
        <v>45513</v>
      </c>
      <c r="D1170" t="inlineStr">
        <is>
          <t>VÄSTERNORRLANDS LÄN</t>
        </is>
      </c>
      <c r="E1170" t="inlineStr">
        <is>
          <t>KRAMFORS</t>
        </is>
      </c>
      <c r="F1170" t="inlineStr">
        <is>
          <t>SCA</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30615-2024</t>
        </is>
      </c>
      <c r="B1171" s="1" t="n">
        <v>45495</v>
      </c>
      <c r="C1171" s="1" t="n">
        <v>45513</v>
      </c>
      <c r="D1171" t="inlineStr">
        <is>
          <t>VÄSTERNORRLANDS LÄN</t>
        </is>
      </c>
      <c r="E1171" t="inlineStr">
        <is>
          <t>KRAMFORS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30621-2024</t>
        </is>
      </c>
      <c r="B1172" s="1" t="n">
        <v>45495</v>
      </c>
      <c r="C1172" s="1" t="n">
        <v>45513</v>
      </c>
      <c r="D1172" t="inlineStr">
        <is>
          <t>VÄSTERNORRLANDS LÄN</t>
        </is>
      </c>
      <c r="E1172" t="inlineStr">
        <is>
          <t>KRAMFORS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30768-2024</t>
        </is>
      </c>
      <c r="B1173" s="1" t="n">
        <v>45496</v>
      </c>
      <c r="C1173" s="1" t="n">
        <v>45513</v>
      </c>
      <c r="D1173" t="inlineStr">
        <is>
          <t>VÄSTERNORRLANDS LÄN</t>
        </is>
      </c>
      <c r="E1173" t="inlineStr">
        <is>
          <t>KRAMFORS</t>
        </is>
      </c>
      <c r="F1173" t="inlineStr">
        <is>
          <t>Kyrkan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30769-2024</t>
        </is>
      </c>
      <c r="B1174" s="1" t="n">
        <v>45497</v>
      </c>
      <c r="C1174" s="1" t="n">
        <v>45513</v>
      </c>
      <c r="D1174" t="inlineStr">
        <is>
          <t>VÄSTERNORRLANDS LÄN</t>
        </is>
      </c>
      <c r="E1174" t="inlineStr">
        <is>
          <t>KRAMFORS</t>
        </is>
      </c>
      <c r="F1174" t="inlineStr">
        <is>
          <t>Kyrkan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30770-2024</t>
        </is>
      </c>
      <c r="B1175" s="1" t="n">
        <v>45497</v>
      </c>
      <c r="C1175" s="1" t="n">
        <v>45513</v>
      </c>
      <c r="D1175" t="inlineStr">
        <is>
          <t>VÄSTERNORRLANDS LÄN</t>
        </is>
      </c>
      <c r="E1175" t="inlineStr">
        <is>
          <t>KRAMFORS</t>
        </is>
      </c>
      <c r="F1175" t="inlineStr">
        <is>
          <t>Kyrkan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31138-2024</t>
        </is>
      </c>
      <c r="B1176" s="1" t="n">
        <v>45502</v>
      </c>
      <c r="C1176" s="1" t="n">
        <v>45513</v>
      </c>
      <c r="D1176" t="inlineStr">
        <is>
          <t>VÄSTERNORRLANDS LÄN</t>
        </is>
      </c>
      <c r="E1176" t="inlineStr">
        <is>
          <t>KRAMFORS</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31140-2024</t>
        </is>
      </c>
      <c r="B1177" s="1" t="n">
        <v>45502</v>
      </c>
      <c r="C1177" s="1" t="n">
        <v>45513</v>
      </c>
      <c r="D1177" t="inlineStr">
        <is>
          <t>VÄSTERNORRLANDS LÄN</t>
        </is>
      </c>
      <c r="E1177" t="inlineStr">
        <is>
          <t>KRAMFORS</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45513</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31663-2024</t>
        </is>
      </c>
      <c r="B1179" s="1" t="n">
        <v>45507</v>
      </c>
      <c r="C1179" s="1" t="n">
        <v>45513</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31890-2024</t>
        </is>
      </c>
      <c r="B1180" s="1" t="n">
        <v>45510</v>
      </c>
      <c r="C1180" s="1" t="n">
        <v>45513</v>
      </c>
      <c r="D1180" t="inlineStr">
        <is>
          <t>VÄSTERNORRLANDS LÄN</t>
        </is>
      </c>
      <c r="E1180" t="inlineStr">
        <is>
          <t>KRAMFORS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32184-2024</t>
        </is>
      </c>
      <c r="B1181" s="1" t="n">
        <v>45511</v>
      </c>
      <c r="C1181" s="1" t="n">
        <v>45513</v>
      </c>
      <c r="D1181" t="inlineStr">
        <is>
          <t>VÄSTERNORRLANDS LÄN</t>
        </is>
      </c>
      <c r="E1181" t="inlineStr">
        <is>
          <t>KRAMFORS</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32170-2024</t>
        </is>
      </c>
      <c r="B1182" s="1" t="n">
        <v>45511</v>
      </c>
      <c r="C1182" s="1" t="n">
        <v>45513</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c r="A1183" t="inlineStr">
        <is>
          <t>A 32271-2024</t>
        </is>
      </c>
      <c r="B1183" s="1" t="n">
        <v>45512</v>
      </c>
      <c r="C1183" s="1" t="n">
        <v>45513</v>
      </c>
      <c r="D1183" t="inlineStr">
        <is>
          <t>VÄSTERNORRLANDS LÄN</t>
        </is>
      </c>
      <c r="E1183" t="inlineStr">
        <is>
          <t>KRAMFORS</t>
        </is>
      </c>
      <c r="G1183" t="n">
        <v>2.3</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2024-08-09T10:42:20Z</dcterms:created>
  <dcterms:modified xmlns:dcterms="http://purl.org/dc/terms/" xmlns:xsi="http://www.w3.org/2001/XMLSchema-instance" xsi:type="dcterms:W3CDTF">2024-08-09T10:42:21Z</dcterms:modified>
</cp:coreProperties>
</file>