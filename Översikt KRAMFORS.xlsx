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45745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45745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45745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45745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45745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45745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45745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45745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45745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45745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45745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45745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45745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45745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45745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45745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45745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45745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45745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45745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45745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45745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45745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45745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45745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45745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45745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45745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45745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45745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45745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45745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45745</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45745</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45745</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45745</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45745</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45745</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45745</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45745</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45745</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45745</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45745</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45745</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45745</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45745</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45745</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45745</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45745</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45745</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45745</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45745</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45745</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45745</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45745</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45745</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45745</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45745</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45745</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45745</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45745</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45745</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45745</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HYPERLINK("https://klasma.github.io/Logging_222282/artfynd/A 12120-2025 artfynd.xlsx", "A 12120-2025")</f>
        <v/>
      </c>
      <c r="T64">
        <f>HYPERLINK("https://klasma.github.io/Logging_222282/kartor/A 12120-2025 karta.png", "A 12120-2025")</f>
        <v/>
      </c>
      <c r="V64">
        <f>HYPERLINK("https://klasma.github.io/Logging_222282/klagomål/A 12120-2025 FSC-klagomål.docx", "A 12120-2025")</f>
        <v/>
      </c>
      <c r="W64">
        <f>HYPERLINK("https://klasma.github.io/Logging_222282/klagomålsmail/A 12120-2025 FSC-klagomål mail.docx", "A 12120-2025")</f>
        <v/>
      </c>
      <c r="X64">
        <f>HYPERLINK("https://klasma.github.io/Logging_222282/tillsyn/A 12120-2025 tillsynsbegäran.docx", "A 12120-2025")</f>
        <v/>
      </c>
      <c r="Y64">
        <f>HYPERLINK("https://klasma.github.io/Logging_222282/tillsynsmail/A 12120-2025 tillsynsbegäran mail.docx", "A 12120-2025")</f>
        <v/>
      </c>
    </row>
    <row r="65" ht="15" customHeight="1">
      <c r="A65" t="inlineStr">
        <is>
          <t>A 16648-2020</t>
        </is>
      </c>
      <c r="B65" s="1" t="n">
        <v>43920</v>
      </c>
      <c r="C65" s="1" t="n">
        <v>45745</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45745</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45745</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45745</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45745</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45745</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45745</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45745</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45745</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45745</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45745</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45745</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45745</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45745</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45745</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45745</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HYPERLINK("https://klasma.github.io/Logging_222282/artfynd/A 11276-2025 artfynd.xlsx", "A 11276-2025")</f>
        <v/>
      </c>
      <c r="T80">
        <f>HYPERLINK("https://klasma.github.io/Logging_222282/kartor/A 11276-2025 karta.png", "A 11276-2025")</f>
        <v/>
      </c>
      <c r="V80">
        <f>HYPERLINK("https://klasma.github.io/Logging_222282/klagomål/A 11276-2025 FSC-klagomål.docx", "A 11276-2025")</f>
        <v/>
      </c>
      <c r="W80">
        <f>HYPERLINK("https://klasma.github.io/Logging_222282/klagomålsmail/A 11276-2025 FSC-klagomål mail.docx", "A 11276-2025")</f>
        <v/>
      </c>
      <c r="X80">
        <f>HYPERLINK("https://klasma.github.io/Logging_222282/tillsyn/A 11276-2025 tillsynsbegäran.docx", "A 11276-2025")</f>
        <v/>
      </c>
      <c r="Y80">
        <f>HYPERLINK("https://klasma.github.io/Logging_222282/tillsynsmail/A 11276-2025 tillsynsbegäran mail.docx", "A 11276-2025")</f>
        <v/>
      </c>
    </row>
    <row r="81" ht="15" customHeight="1">
      <c r="A81" t="inlineStr">
        <is>
          <t>A 18842-2019</t>
        </is>
      </c>
      <c r="B81" s="1" t="n">
        <v>43563</v>
      </c>
      <c r="C81" s="1" t="n">
        <v>45745</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45745</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45745</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45745</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45745</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45745</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45745</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45745</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45745</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45745</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45745</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45745</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45745</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45745</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45745</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45745</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45745</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45745</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45745</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45745</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45745</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45745</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45745</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45745</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45745</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45745</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45745</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45745</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45745</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45745</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45745</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45745</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45745</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45745</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45745</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45745</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45745</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45745</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45745</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45745</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45745</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45745</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45745</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45745</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45745</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45745</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45745</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45745</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45745</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45745</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45745</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45745</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45745</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45745</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45745</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45745</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45745</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45745</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45745</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45745</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45745</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45745</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45745</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45745</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45745</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45745</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45745</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45745</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45745</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45745</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45745</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45745</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45745</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45745</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45745</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45745</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45745</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45745</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45745</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45745</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45745</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45745</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45745</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45745</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45745</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45745</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45745</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45745</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45745</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45745</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45745</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45745</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45745</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45745</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45745</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45745</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45745</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45745</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45745</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45745</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45745</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45745</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45745</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45745</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45745</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45745</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45745</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45745</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45745</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45745</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45745</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45745</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45745</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45745</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45745</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45745</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45745</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45745</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45745</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45745</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45745</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45745</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45745</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45745</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45745</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45745</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45745</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45745</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45745</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45745</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45745</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45745</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45745</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45745</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45745</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45745</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45745</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45745</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45745</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45745</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45745</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45745</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45745</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45745</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45745</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45745</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45745</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45745</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45745</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45745</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45745</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45745</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45745</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45745</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45745</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45745</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45745</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45745</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45745</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45745</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45745</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45745</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45745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45745</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45745</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45745</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45745</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45745</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45745</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45745</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45745</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45745</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45745</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45745</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45745</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45745</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45745</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45745</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45745</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45745</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45745</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45745</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45745</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45745</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45745</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45745</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45745</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45745</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45745</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45745</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45745</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45745</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45745</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45745</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45745</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45745</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45745</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45745</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45745</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45745</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45745</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45745</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45745</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45745</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45745</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45745</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45745</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45745</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45745</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45745</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45745</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45745</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45745</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45745</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45745</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45745</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45745</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45745</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45745</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45745</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45745</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45745</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45745</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45745</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45745</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45745</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45745</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45745</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45745</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45745</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45745</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45745</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45745</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45745</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45745</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45745</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45745</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45745</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45745</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45745</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45745</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45745</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45745</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45745</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45745</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45745</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45745</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45745</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45745</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45745</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45745</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45745</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45745</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45745</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45745</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45745</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45745</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45745</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45745</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45745</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45745</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45745</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45745</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45745</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45745</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45745</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45745</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45745</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45745</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45745</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45745</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45745</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45745</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45745</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45745</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45745</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45745</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45745</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45745</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45745</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45745</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45745</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45745</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45745</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45745</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45745</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45745</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45745</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45745</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45745</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45745</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45745</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45745</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45745</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45745</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45745</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45745</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45745</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45745</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45745</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45745</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45745</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45745</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45745</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45745</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45745</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45745</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45745</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45745</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45745</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45745</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45745</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45745</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45745</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45745</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45745</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45745</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45745</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45745</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45745</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45745</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45745</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45745</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45745</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45745</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45745</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45745</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45745</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45745</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45745</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45745</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45745</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45745</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45745</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45745</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45745</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45745</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45745</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45745</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45745</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45745</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45745</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45745</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45745</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45745</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45745</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45745</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45745</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45745</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45745</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45745</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45745</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45745</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45745</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45745</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45745</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45745</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45745</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45745</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45745</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45745</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45745</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45745</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45745</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45745</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45745</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45745</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45745</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45745</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45745</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45745</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45745</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45745</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45745</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45745</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45745</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45745</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45745</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45745</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45745</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45745</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45745</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45745</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45745</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45745</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45745</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45745</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45745</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45745</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45745</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45745</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45745</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45745</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45745</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45745</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45745</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45745</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45745</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45745</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45745</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45745</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45745</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45745</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45745</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45745</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45745</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45745</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45745</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45745</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45745</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45745</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45745</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45745</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45745</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45745</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45745</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45745</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45745</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45745</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45745</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45745</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45745</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45745</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45745</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45745</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45745</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45745</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45745</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45745</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45745</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45745</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45745</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45745</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45745</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45745</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45745</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45745</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45745</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45745</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45745</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45745</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45745</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45745</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45745</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45745</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45745</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45745</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45745</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45745</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45745</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45745</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45745</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45745</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45745</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45745</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45745</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45745</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45745</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45745</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45745</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45745</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45745</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45745</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45745</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45745</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45745</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45745</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45745</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45745</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45745</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45745</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45745</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45745</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45745</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45745</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45745</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45745</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45745</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45745</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45745</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45745</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45745</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45745</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45745</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45745</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45745</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45745</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45745</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45745</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45745</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45745</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45745</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45745</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45745</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45745</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45745</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45745</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45745</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45745</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45745</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45745</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45745</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45745</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45745</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45745</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45745</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45745</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45745</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45745</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45745</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45745</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45745</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45745</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45745</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45745</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45745</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45745</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45745</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45745</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45745</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45745</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45745</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45745</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45745</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45745</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45745</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45745</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45745</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45745</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45745</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45745</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45745</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45745</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45745</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45745</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45745</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45745</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45745</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45745</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45745</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45745</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45745</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45745</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45745</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45745</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45745</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45745</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45745</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45745</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45745</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45745</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45745</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45745</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45745</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45745</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45745</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45745</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45745</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45745</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45745</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45745</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45745</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45745</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45745</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45745</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45745</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45745</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45745</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45745</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45745</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45745</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45745</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45745</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45745</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45745</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45745</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45745</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45745</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45745</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45745</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45745</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45745</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45745</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45745</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45745</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45745</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45745</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45745</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45745</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45745</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45745</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45745</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45745</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45745</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45745</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45745</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45745</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45745</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45745</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45745</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45745</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45745</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45745</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45745</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45745</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45745</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45745</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45745</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45745</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45745</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45745</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45745</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45745</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45745</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45745</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45745</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45745</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45745</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45745</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45745</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45745</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45745</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45745</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45745</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45745</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45745</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45745</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45745</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45745</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45745</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45745</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45745</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45745</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45745</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45745</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45745</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45745</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45745</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45745</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45745</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45745</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45745</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45745</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45745</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45745</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45745</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45745</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45745</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45745</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45745</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45745</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45745</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45745</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45745</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45745</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45745</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45745</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45745</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45745</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45745</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45745</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45745</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45745</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45745</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45745</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45745</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45745</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45745</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45745</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45745</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45745</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45745</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45745</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45745</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45745</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45745</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45745</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45745</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45745</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45745</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45745</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45745</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45745</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45745</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45745</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45745</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45745</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45745</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45745</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45745</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45745</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45745</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45745</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45745</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45745</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45745</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45745</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45745</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45745</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45745</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45745</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45745</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45745</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45745</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45745</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45745</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45745</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45745</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45745</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45745</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45745</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45745</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45745</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45745</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45745</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45745</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45745</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45745</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45745</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45745</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45745</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45745</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45745</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45745</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45745</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45745</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45745</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45745</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45745</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45745</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45745</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45745</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45745</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45745</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45745</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45745</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45745</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45745</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45745</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45745</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45745</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45745</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45745</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45745</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45745</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45745</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45745</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45745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45745</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45745</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45745</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45745</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45745</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45745</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45745</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45745</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45745</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45745</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45745</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45745</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45745</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45745</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45745</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45745</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45745</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45745</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45745</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45745</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45745</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45745</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45745</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45745</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45745</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45745</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45745</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45745</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45745</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45745</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45745</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45745</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45745</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45745</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45745</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45745</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45745</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45745</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45745</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45745</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45745</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45745</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45745</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45745</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45745</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45745</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45745</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45745</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45745</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45745</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45745</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45745</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45745</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45745</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45745</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45745</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45745</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45745</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45745</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45745</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45745</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45745</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45745</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45745</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45745</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45745</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45745</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45745</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45745</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45745</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45745</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45745</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45745</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45745</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45745</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45745</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45745</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45745</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45745</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45745</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45745</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45745</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45745</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45745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45745</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45745</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45745</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45745</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45745</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45745</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45745</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45745</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45745</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45745</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45745</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45745</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45745</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45745</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45745</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45745</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45745</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45745</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45745</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45745</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45745</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45745</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45745</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45745</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45745</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45745</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45745</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45745</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45745</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45745</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45745</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45745</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45745</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45745</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45745</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45745</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45745</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45745</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45745</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45745</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45745</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45745</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45745</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45745</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45745</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45745</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45745</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45745</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45745</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45745</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45745</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45745</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45745</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45745</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45745</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45745</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45745</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45745</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45745</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45745</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45745</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45745</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45745</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45745</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45745</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45745</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45745</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45745</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45745</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45745</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45745</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45745</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45745</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45745</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45745</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45745</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45745</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45745</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45745</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45745</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45745</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45745</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45745</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45745</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45745</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45745</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45745</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45745</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45745</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45745</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45745</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45745</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45745</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45745</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45745</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45745</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45745</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45745</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45745</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45745</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45745</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45745</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45745</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45745</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45745</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45745</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45745</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45745</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45745</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45745</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45745</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45745</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45745</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45745</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45745</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45745</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45745</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45745</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45745</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45745</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45745</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45745</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45745</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45745</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45745</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45745</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45745</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45745</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45745</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45745</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45745</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45745</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45745</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45745</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45745</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45745</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45745</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45745</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45745</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45745</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45745</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45745</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45745</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45745</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45745</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45745</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45745</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45745</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45745</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45745</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45745</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45745</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45745</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45745</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45745</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45745</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45745</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45745</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45745</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45745</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45745</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45745</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45745</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45745</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45745</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45745</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45745</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45745</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45745</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45745</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45745</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45745</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45745</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45745</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45745</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45745</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45745</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45745</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45745</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45745</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45745</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45745</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45745</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45745</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45745</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45745</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45745</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45745</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45745</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45745</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45745</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45745</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45745</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45745</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45745</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45745</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45745</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45745</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45745</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45745</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45745</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45745</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45745</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45745</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45745</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45745</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45745</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45745</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45745</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45745</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45745</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45745</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45745</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45745</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45745</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45745</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45745</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45745</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45745</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45745</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45745</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45745</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45745</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45745</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45745</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45745</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45745</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45745</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45745</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45745</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45745</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45745</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45745</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45745</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45745</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45745</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45745</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45745</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45745</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45745</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45745</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45745</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45745</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45745</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45745</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45745</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45745</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45745</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45745</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45745</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45745</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45745</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45745</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45745</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45745</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45745</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45745</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45745</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45745</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45745</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45745</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45745</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45745</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45745</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45745</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45745</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45745</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45745</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45745</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45745</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45745</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45745</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45745</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45745</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45745</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45745</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45745</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45745</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45745</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45745</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45745</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45745</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45745</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45745</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45745</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45745</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45745</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45745</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45745</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45745</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45745</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45745</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45745</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45745</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45745</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45745</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45745</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45745</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45745</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45745</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45745</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45745</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45745</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45745</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45745</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45745</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45745</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45745</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45745</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45745</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45745</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45745</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45745</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45745</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45745</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45745</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45745</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45745</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45745</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45745</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45745</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45745</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45745</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45745</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45745</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45745</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45745</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45745</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45745</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45745</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45745</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45745</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45745</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45745</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45745</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45745</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45745</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45745</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45745</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45745</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45745</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45745</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45745</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45745</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45745</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45745</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45745</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45745</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45745</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45745</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45745</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45745</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45745</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45745</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45745</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45745</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45745</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45745</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45745</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45745</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45745</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45745</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45745</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45745</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45745</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45745</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45745</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45745</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45745</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45745</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45745</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45745</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45745</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45745</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45745</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45745</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45745</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45745</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45745</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45745</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45745</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45745</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45745</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45745</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45745</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45745</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45745</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45745</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45745</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45745</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45745</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45745</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45745</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45745</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45745</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45745</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45745</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45745</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45745</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45745</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45745</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45745</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45745</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45745</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45745</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45745</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45745</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45745</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45745</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45745</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45745</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45745</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45745</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45745</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45745</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45745</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45745</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45745</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45745</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45745</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45745</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45745</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45745</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45745</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45745</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45745</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45745</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45745</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45745</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45745</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45745</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45745</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45745</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45745</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45745</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45745</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45745</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45745</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45745</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45745</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45745</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45745</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45745</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45745</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45745</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45745</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45745</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45745</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45745</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45745</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45745</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45745</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45745</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45745</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45745</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45745</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45745</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45745</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45745</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45745</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45745</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45745</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45745</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45745</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45745</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45745</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45745</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45745</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45745</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45745</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45745</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45745</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45745</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45745</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45745</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45745</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45745</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45745</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45745</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45745</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45745</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45745</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45745</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45745</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45745</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45745</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45745</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45745</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45745</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45745</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45745</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45745</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45745</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45745</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45745</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45745</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45745</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45745</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45745</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45745</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45745</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45745</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45745</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45745</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45745</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45745</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45745</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45745</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10503-2025</t>
        </is>
      </c>
      <c r="B1421" s="1" t="n">
        <v>45721</v>
      </c>
      <c r="C1421" s="1" t="n">
        <v>45745</v>
      </c>
      <c r="D1421" t="inlineStr">
        <is>
          <t>VÄSTERNORRLANDS LÄN</t>
        </is>
      </c>
      <c r="E1421" t="inlineStr">
        <is>
          <t>KRAMFORS</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45745</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45745</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45745</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45745</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45745</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45745</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11247-2025</t>
        </is>
      </c>
      <c r="B1428" s="1" t="n">
        <v>45726</v>
      </c>
      <c r="C1428" s="1" t="n">
        <v>45745</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45745</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45745</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45745</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45745</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45745</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45745</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45745</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45745</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45745</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45745</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45745</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45745</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45745</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45745</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45745</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45745</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45745</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45745</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45745</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45745</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45745</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45745</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45745</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45745</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45745</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45745</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45745</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45745</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45745</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45745</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45745</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14841-2025</t>
        </is>
      </c>
      <c r="B1460" s="1" t="n">
        <v>45743</v>
      </c>
      <c r="C1460" s="1" t="n">
        <v>45745</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14842-2025</t>
        </is>
      </c>
      <c r="B1461" s="1" t="n">
        <v>45743</v>
      </c>
      <c r="C1461" s="1" t="n">
        <v>45745</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14843-2025</t>
        </is>
      </c>
      <c r="B1462" s="1" t="n">
        <v>45743</v>
      </c>
      <c r="C1462" s="1" t="n">
        <v>45745</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14870-2025</t>
        </is>
      </c>
      <c r="B1463" s="1" t="n">
        <v>45743</v>
      </c>
      <c r="C1463" s="1" t="n">
        <v>45745</v>
      </c>
      <c r="D1463" t="inlineStr">
        <is>
          <t>VÄSTERNORRLANDS LÄN</t>
        </is>
      </c>
      <c r="E1463" t="inlineStr">
        <is>
          <t>KRAMFORS</t>
        </is>
      </c>
      <c r="G1463" t="n">
        <v>0.7</v>
      </c>
      <c r="H1463" t="n">
        <v>0</v>
      </c>
      <c r="I1463" t="n">
        <v>0</v>
      </c>
      <c r="J1463" t="n">
        <v>0</v>
      </c>
      <c r="K1463" t="n">
        <v>0</v>
      </c>
      <c r="L1463" t="n">
        <v>0</v>
      </c>
      <c r="M1463" t="n">
        <v>0</v>
      </c>
      <c r="N1463" t="n">
        <v>0</v>
      </c>
      <c r="O1463" t="n">
        <v>0</v>
      </c>
      <c r="P1463" t="n">
        <v>0</v>
      </c>
      <c r="Q1463" t="n">
        <v>0</v>
      </c>
      <c r="R1463" s="2" t="inlineStr"/>
    </row>
    <row r="1464">
      <c r="A1464" t="inlineStr">
        <is>
          <t>A 15190-2025</t>
        </is>
      </c>
      <c r="B1464" s="1" t="n">
        <v>45744</v>
      </c>
      <c r="C1464" s="1" t="n">
        <v>45745</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2025-03-29T18:01:26Z</dcterms:created>
  <dcterms:modified xmlns:dcterms="http://purl.org/dc/terms/" xmlns:xsi="http://www.w3.org/2001/XMLSchema-instance" xsi:type="dcterms:W3CDTF">2025-03-29T18:01:27Z</dcterms:modified>
</cp:coreProperties>
</file>